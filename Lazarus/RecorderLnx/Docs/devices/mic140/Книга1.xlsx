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\OburecGH\Lazarus\RecorderLnx\Docs\devices\mic140\"/>
    </mc:Choice>
  </mc:AlternateContent>
  <xr:revisionPtr revIDLastSave="0" documentId="13_ncr:1_{8DD54020-2323-43CB-A76D-3414FEDE15C7}" xr6:coauthVersionLast="47" xr6:coauthVersionMax="47" xr10:uidLastSave="{00000000-0000-0000-0000-000000000000}"/>
  <bookViews>
    <workbookView xWindow="-120" yWindow="-120" windowWidth="29040" windowHeight="15840" xr2:uid="{259C84DC-4674-48B3-A586-46148F7BB9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F7" i="1"/>
  <c r="E7" i="1"/>
  <c r="D37" i="1"/>
  <c r="C37" i="1"/>
  <c r="G15" i="1"/>
  <c r="C7" i="1"/>
</calcChain>
</file>

<file path=xl/sharedStrings.xml><?xml version="1.0" encoding="utf-8"?>
<sst xmlns="http://schemas.openxmlformats.org/spreadsheetml/2006/main" count="31" uniqueCount="28">
  <si>
    <t>fs</t>
  </si>
  <si>
    <t>T</t>
  </si>
  <si>
    <t>Chcount</t>
  </si>
  <si>
    <t>Tchan, uS</t>
  </si>
  <si>
    <t>T0</t>
  </si>
  <si>
    <t>Tgnd</t>
  </si>
  <si>
    <t>Tadc, uS</t>
  </si>
  <si>
    <t>Count</t>
  </si>
  <si>
    <t>Период прерываний MIC140</t>
  </si>
  <si>
    <t>Scale</t>
  </si>
  <si>
    <t>Тиков на один кадр</t>
  </si>
  <si>
    <t>Fclk</t>
  </si>
  <si>
    <t>Mhz</t>
  </si>
  <si>
    <t>Tпрервывания</t>
  </si>
  <si>
    <t>uS</t>
  </si>
  <si>
    <t>модификатор времени прерываний. Всегда 1 кроме частоты 1Гц, тогда 2</t>
  </si>
  <si>
    <t>Частота опроса задается</t>
  </si>
  <si>
    <t>16*2/(scale*640*5000)</t>
  </si>
  <si>
    <t>Число тиков 20 мкС на период опроса</t>
  </si>
  <si>
    <t>Fs</t>
  </si>
  <si>
    <t>Div - число тиков 20 мкС на период опроса</t>
  </si>
  <si>
    <t>Служебные затраты  паралельно с кадрами прерывания циклограммы 112 — лишь 3.5 µs</t>
  </si>
  <si>
    <t>Эффективное время при частоте опроса 10Гц</t>
  </si>
  <si>
    <t>Tisr</t>
  </si>
  <si>
    <t>Teff</t>
  </si>
  <si>
    <t>Tframe</t>
  </si>
  <si>
    <t>Teff, ms</t>
  </si>
  <si>
    <t>Старт АЦП → RegLatch,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</si>
</sst>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wrapText="1"/>
    </xf>
    <xf numFmtId="0" fontId="0" fillId="2" borderId="0" xfId="0" applyNumberForma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0" xfId="0" applyNumberFormat="1" applyFill="1" applyAlignment="1">
      <alignment horizontal="left"/>
    </xf>
    <xf numFmtId="0" fontId="0" fillId="3" borderId="0" xfId="0" applyNumberForma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</xdr:row>
      <xdr:rowOff>38100</xdr:rowOff>
    </xdr:from>
    <xdr:to>
      <xdr:col>4</xdr:col>
      <xdr:colOff>543253</xdr:colOff>
      <xdr:row>11</xdr:row>
      <xdr:rowOff>133416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F920EB1-C206-E917-CA18-10D29DB97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752600"/>
          <a:ext cx="2353003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16</xdr:row>
      <xdr:rowOff>28575</xdr:rowOff>
    </xdr:from>
    <xdr:to>
      <xdr:col>3</xdr:col>
      <xdr:colOff>581274</xdr:colOff>
      <xdr:row>18</xdr:row>
      <xdr:rowOff>38155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42B1B1F-5CC1-3249-ED9B-F81008221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3305175"/>
          <a:ext cx="1781424" cy="39058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32</xdr:row>
      <xdr:rowOff>114300</xdr:rowOff>
    </xdr:from>
    <xdr:to>
      <xdr:col>6</xdr:col>
      <xdr:colOff>305170</xdr:colOff>
      <xdr:row>34</xdr:row>
      <xdr:rowOff>142932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D73BA38-38AA-70C9-3091-5DEF6FDED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225" y="6534150"/>
          <a:ext cx="2648320" cy="409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3AEF-378C-4CA5-8BC6-38FBD97F6D09}">
  <dimension ref="B2:U37"/>
  <sheetViews>
    <sheetView tabSelected="1" workbookViewId="0">
      <selection activeCell="I8" sqref="I8"/>
    </sheetView>
  </sheetViews>
  <sheetFormatPr defaultRowHeight="15" x14ac:dyDescent="0.25"/>
  <cols>
    <col min="5" max="5" width="24.28515625" customWidth="1"/>
    <col min="6" max="6" width="29.85546875" customWidth="1"/>
    <col min="7" max="7" width="24.5703125" customWidth="1"/>
  </cols>
  <sheetData>
    <row r="2" spans="2:2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2:21" x14ac:dyDescent="0.25">
      <c r="B6" s="1" t="s">
        <v>0</v>
      </c>
      <c r="C6" s="1" t="s">
        <v>1</v>
      </c>
      <c r="D6" s="1" t="s">
        <v>2</v>
      </c>
      <c r="E6" s="1" t="s">
        <v>24</v>
      </c>
      <c r="F6" s="1" t="s">
        <v>3</v>
      </c>
      <c r="G6" s="1" t="s">
        <v>27</v>
      </c>
      <c r="H6" s="1" t="s">
        <v>4</v>
      </c>
      <c r="I6" s="1" t="s">
        <v>5</v>
      </c>
      <c r="J6" s="1" t="s">
        <v>6</v>
      </c>
      <c r="K6" s="1" t="s">
        <v>7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2:21" x14ac:dyDescent="0.25">
      <c r="B7" s="8">
        <v>10</v>
      </c>
      <c r="C7" s="8">
        <f>1/B7</f>
        <v>0.1</v>
      </c>
      <c r="D7" s="8">
        <v>51</v>
      </c>
      <c r="E7" s="13">
        <f>D37/1000</f>
        <v>8.5106382978723402E-2</v>
      </c>
      <c r="F7" s="14">
        <f>E7/D7*10^6</f>
        <v>1668.752607425949</v>
      </c>
      <c r="G7" s="10">
        <v>0.84399999999999997</v>
      </c>
      <c r="H7" s="8">
        <v>57</v>
      </c>
      <c r="I7" s="8">
        <v>19.687999999999999</v>
      </c>
      <c r="J7" s="8">
        <v>5</v>
      </c>
      <c r="K7" s="9">
        <f>(F7-H7-I7-G7)/J7</f>
        <v>318.24412148518979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2:2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2:21" x14ac:dyDescent="0.25">
      <c r="B9" s="1"/>
      <c r="C9" s="1"/>
      <c r="D9" s="1"/>
      <c r="E9" s="1"/>
      <c r="F9" s="1"/>
      <c r="G9" s="1"/>
      <c r="H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2:21" x14ac:dyDescent="0.25">
      <c r="B10" s="1"/>
      <c r="C10" s="1"/>
      <c r="D10" s="1"/>
      <c r="E10" s="1"/>
      <c r="G10" s="1"/>
      <c r="H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2:21" x14ac:dyDescent="0.25">
      <c r="B11" s="1"/>
      <c r="C11" s="1"/>
      <c r="D11" s="1"/>
      <c r="E11" s="1"/>
      <c r="F11" s="4" t="s">
        <v>8</v>
      </c>
      <c r="G11" s="1"/>
      <c r="H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21" x14ac:dyDescent="0.25">
      <c r="B12" s="1"/>
      <c r="C12" s="1"/>
      <c r="D12" s="1"/>
      <c r="E12" s="1"/>
      <c r="F12" s="1" t="s">
        <v>9</v>
      </c>
      <c r="G12" s="2">
        <v>2</v>
      </c>
      <c r="H12" s="1" t="s">
        <v>15</v>
      </c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2:21" ht="18" customHeight="1" x14ac:dyDescent="0.25">
      <c r="B13" s="1"/>
      <c r="C13" s="1"/>
      <c r="D13" s="1"/>
      <c r="E13" s="1"/>
      <c r="F13" s="3" t="s">
        <v>10</v>
      </c>
      <c r="G13" s="2">
        <v>640</v>
      </c>
      <c r="H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2:21" x14ac:dyDescent="0.25">
      <c r="B14" s="1"/>
      <c r="C14" s="1"/>
      <c r="D14" s="1"/>
      <c r="E14" s="1"/>
      <c r="F14" s="1" t="s">
        <v>11</v>
      </c>
      <c r="G14" s="2">
        <v>16</v>
      </c>
      <c r="H14" s="1" t="s">
        <v>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2:21" x14ac:dyDescent="0.25">
      <c r="B15" s="1"/>
      <c r="C15" s="1"/>
      <c r="D15" s="1"/>
      <c r="E15" s="1"/>
      <c r="F15" s="1" t="s">
        <v>13</v>
      </c>
      <c r="G15" s="2">
        <f>G13/(2*G14)</f>
        <v>20</v>
      </c>
      <c r="H15" s="1" t="s">
        <v>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2:2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25">
      <c r="B17" s="1"/>
      <c r="C17" s="1"/>
      <c r="D17" s="1"/>
      <c r="E17" s="1"/>
      <c r="F17" s="1" t="s">
        <v>16</v>
      </c>
      <c r="G17" s="1" t="s">
        <v>17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 x14ac:dyDescent="0.25">
      <c r="B20" s="1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ht="37.5" customHeight="1" x14ac:dyDescent="0.25">
      <c r="B22" s="1" t="s">
        <v>19</v>
      </c>
      <c r="C22" s="1" t="s">
        <v>9</v>
      </c>
      <c r="D22" s="1" t="s">
        <v>7</v>
      </c>
      <c r="E22" s="3" t="s">
        <v>20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25">
      <c r="B23" s="1">
        <v>1</v>
      </c>
      <c r="C23" s="1">
        <v>2</v>
      </c>
      <c r="D23" s="1">
        <v>640</v>
      </c>
      <c r="E23" s="6">
        <v>25000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25">
      <c r="B24" s="1">
        <v>2</v>
      </c>
      <c r="C24" s="1">
        <v>1</v>
      </c>
      <c r="D24" s="1">
        <v>640</v>
      </c>
      <c r="E24" s="5">
        <v>25000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25">
      <c r="B25" s="1">
        <v>5</v>
      </c>
      <c r="C25" s="1">
        <v>1</v>
      </c>
      <c r="D25" s="1">
        <v>640</v>
      </c>
      <c r="E25" s="5">
        <v>10000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25">
      <c r="B26" s="1">
        <v>10</v>
      </c>
      <c r="C26" s="1">
        <v>1</v>
      </c>
      <c r="D26" s="1">
        <v>640</v>
      </c>
      <c r="E26" s="6">
        <v>5000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x14ac:dyDescent="0.25">
      <c r="B27" s="1">
        <v>20</v>
      </c>
      <c r="C27" s="1">
        <v>1</v>
      </c>
      <c r="D27" s="1">
        <v>640</v>
      </c>
      <c r="E27" s="5">
        <v>2500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25">
      <c r="B28" s="1">
        <v>25</v>
      </c>
      <c r="C28" s="1">
        <v>1</v>
      </c>
      <c r="D28" s="1">
        <v>640</v>
      </c>
      <c r="E28" s="5">
        <v>2000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2:21" x14ac:dyDescent="0.25">
      <c r="B29" s="1">
        <v>50</v>
      </c>
      <c r="C29" s="1">
        <v>1</v>
      </c>
      <c r="D29" s="1">
        <v>640</v>
      </c>
      <c r="E29" s="5">
        <v>1000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2:21" x14ac:dyDescent="0.25">
      <c r="B30" s="1">
        <v>100</v>
      </c>
      <c r="C30" s="1">
        <v>1</v>
      </c>
      <c r="D30" s="1">
        <v>640</v>
      </c>
      <c r="E30" s="5">
        <v>500</v>
      </c>
    </row>
    <row r="32" spans="2:21" x14ac:dyDescent="0.25">
      <c r="B32" s="7" t="s">
        <v>21</v>
      </c>
      <c r="C32" s="7"/>
      <c r="D32" s="7"/>
      <c r="E32" s="7"/>
      <c r="F32" s="7"/>
      <c r="G32" s="12" t="s">
        <v>23</v>
      </c>
      <c r="H32">
        <v>3.5</v>
      </c>
      <c r="I32" t="s">
        <v>14</v>
      </c>
    </row>
    <row r="34" spans="2:4" x14ac:dyDescent="0.25">
      <c r="B34" t="s">
        <v>22</v>
      </c>
    </row>
    <row r="36" spans="2:4" x14ac:dyDescent="0.25">
      <c r="C36" t="s">
        <v>25</v>
      </c>
      <c r="D36" t="s">
        <v>26</v>
      </c>
    </row>
    <row r="37" spans="2:4" x14ac:dyDescent="0.25">
      <c r="C37" s="11">
        <f>C7</f>
        <v>0.1</v>
      </c>
      <c r="D37" s="11">
        <f>1000*C37/(1+(50000*H32*10^-6))</f>
        <v>85.106382978723403</v>
      </c>
    </row>
  </sheetData>
  <mergeCells count="1">
    <mergeCell ref="B32:F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2026-07-02T15:11:43Z</dcterms:created>
  <dcterms:modified xsi:type="dcterms:W3CDTF">2026-07-02T17:10:20Z</dcterms:modified>
</cp:coreProperties>
</file>