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works\OburecGH\"/>
    </mc:Choice>
  </mc:AlternateContent>
  <xr:revisionPtr revIDLastSave="0" documentId="8_{7B350BF3-5409-4F7B-B314-7659FA186600}" xr6:coauthVersionLast="47" xr6:coauthVersionMax="47" xr10:uidLastSave="{00000000-0000-0000-0000-000000000000}"/>
  <bookViews>
    <workbookView xWindow="7200" yWindow="4215" windowWidth="21600" windowHeight="11385" tabRatio="604" activeTab="1" xr2:uid="{00000000-000D-0000-FFFF-FFFF00000000}"/>
  </bookViews>
  <sheets>
    <sheet name="Расчет" sheetId="14" r:id="rId1"/>
    <sheet name="Приложение1" sheetId="18" r:id="rId2"/>
    <sheet name="История" sheetId="15" state="hidden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</externalReferences>
  <definedNames>
    <definedName name="c_base">Приложение1!$C$2</definedName>
    <definedName name="c_N">Приложение1!$H$5</definedName>
    <definedName name="c_name">Приложение1!$D$13</definedName>
    <definedName name="c_price">Приложение1!$Q$12</definedName>
    <definedName name="c_price_main">Приложение1!$D$5</definedName>
    <definedName name="c_process">[1]Лист1!$O$3</definedName>
    <definedName name="eur">Расчет!$G$38</definedName>
    <definedName name="kz">Расчет!$G$40</definedName>
    <definedName name="LINK">Приложение1!$D$3</definedName>
    <definedName name="LINK_pxi">Приложение1!$D$3</definedName>
    <definedName name="LINK_rxi">Приложение1!$D$4</definedName>
    <definedName name="md">Расчет!$G$41</definedName>
    <definedName name="metka1">Приложение1!$I:$I</definedName>
    <definedName name="metka3">Приложение1!$P:$P</definedName>
    <definedName name="metka4">Приложение1!$Q:$Q</definedName>
    <definedName name="metka5">Приложение1!$AB:$AB</definedName>
    <definedName name="Ndi">Приложение1!$F$1</definedName>
    <definedName name="Nf">Приложение1!$F$2</definedName>
    <definedName name="Niepe">Приложение1!$F$6</definedName>
    <definedName name="Nдеф">Приложение1!$F$7</definedName>
    <definedName name="Nпос">Приложение1!$F$5</definedName>
    <definedName name="Nтенз">Приложение1!$F$8</definedName>
    <definedName name="Nтп">Приложение1!$F$3</definedName>
    <definedName name="Nтс">Приложение1!$F$4</definedName>
    <definedName name="Print_Area" localSheetId="1">Приложение1!$B$10:$J$107</definedName>
    <definedName name="Print_Area" localSheetId="0">Расчет!$B$2:$G$49</definedName>
    <definedName name="stolb1">Приложение1!$M:$M</definedName>
    <definedName name="stolb2">Приложение1!$N:$O</definedName>
    <definedName name="stolb3">Приложение1!$P:$R</definedName>
    <definedName name="stolb4">Приложение1!$S:$AA</definedName>
    <definedName name="stolb5">Приложение1!$AB:$AG</definedName>
    <definedName name="usd">Расчет!$G$39</definedName>
    <definedName name="БанковскаяГарантия">Приложение1!$O$4</definedName>
    <definedName name="БГ">Приложение1!$J$100</definedName>
    <definedName name="ВедениеПроекта">Приложение1!$W$104</definedName>
    <definedName name="ВедениеПроектаСкрытое">Приложение1!$O$5</definedName>
    <definedName name="ВоеннаяПриемка">Приложение1!$Q$4</definedName>
    <definedName name="ВТК">Приложение1!$J$102</definedName>
    <definedName name="Дополнительно">Приложение1!$J$103</definedName>
    <definedName name="Доставка">Приложение1!$Q$87</definedName>
    <definedName name="дубль">Приложение1!$F$9</definedName>
    <definedName name="Итог_система">Приложение1!$J$98</definedName>
    <definedName name="Итого">Приложение1!$J$104</definedName>
    <definedName name="Итого_первый">Расчет!$F$36</definedName>
    <definedName name="КД_КО">Приложение1!$T$104</definedName>
    <definedName name="КД_Кросс">Приложение1!$S$104</definedName>
    <definedName name="ком.расх">Приложение1!$AG$96</definedName>
    <definedName name="Критерий_дата">[1]Лист1!#REF!</definedName>
    <definedName name="Метрология">Приложение1!$U$104</definedName>
    <definedName name="Монтаж">Приложение1!$AA$104</definedName>
    <definedName name="_xlnm.Print_Area" localSheetId="1">Приложение1!$A$11:$J$107</definedName>
    <definedName name="Оплата">Приложение1!$D$106</definedName>
    <definedName name="ОплатаИсх">Расчет!$B$45:$D$49</definedName>
    <definedName name="ОРАС" localSheetId="1">Приложение1!#REF!</definedName>
    <definedName name="ОРАС">Приложение1!#REF!</definedName>
    <definedName name="ПНР">Приложение1!$Y$104</definedName>
    <definedName name="ПолнаяЦена">Приложение1!$S$6</definedName>
    <definedName name="пример">Расчет!$H$41</definedName>
    <definedName name="ПСИ_АИ">Приложение1!$X$104</definedName>
    <definedName name="РазработкаПО">Приложение1!$V$104</definedName>
    <definedName name="РазработкаЭД">Приложение1!$Z$104</definedName>
    <definedName name="Резерв">Приложение1!$J$101</definedName>
    <definedName name="Скрытое">Приложение1!$S$4</definedName>
    <definedName name="СкрытыйРезерв">Приложение1!$Q$5</definedName>
    <definedName name="Сумма_K">Приложение1!#REF!</definedName>
    <definedName name="Цена_без_БГ">Приложение1!$S$5</definedName>
    <definedName name="ЧелМесИнженер">Расчет!$G$41</definedName>
    <definedName name="ЧелМесОстальные">Расчет!$G$42</definedName>
    <definedName name="чл_мес">Расчет!$G$41</definedName>
    <definedName name="Этапы">Приложение1!$D$107</definedName>
    <definedName name="ЭтапыИсх">Расчет!$B$39:$D$42</definedName>
  </definedNames>
  <calcPr calcId="191029"/>
  <fileRecoveryPr repairLoad="1"/>
</workbook>
</file>

<file path=xl/calcChain.xml><?xml version="1.0" encoding="utf-8"?>
<calcChain xmlns="http://schemas.openxmlformats.org/spreadsheetml/2006/main">
  <c r="B839" i="15" l="1"/>
  <c r="B838" i="15" l="1"/>
  <c r="B837" i="15"/>
  <c r="H21" i="18"/>
  <c r="B836" i="15" l="1"/>
  <c r="B835" i="15"/>
  <c r="F15" i="18"/>
  <c r="B834" i="15"/>
  <c r="B833" i="15" l="1"/>
  <c r="B832" i="15"/>
  <c r="B831" i="15"/>
  <c r="B830" i="15"/>
  <c r="B829" i="15" l="1"/>
  <c r="B828" i="15" l="1"/>
  <c r="B827" i="15"/>
  <c r="B826" i="15"/>
  <c r="B825" i="15" l="1"/>
  <c r="B824" i="15"/>
  <c r="B823" i="15"/>
  <c r="F25" i="18"/>
  <c r="F23" i="18"/>
  <c r="F22" i="18"/>
  <c r="F21" i="18"/>
  <c r="B822" i="15"/>
  <c r="B821" i="15" l="1"/>
  <c r="B820" i="15"/>
  <c r="H22" i="18"/>
  <c r="I22" i="18"/>
  <c r="M22" i="18"/>
  <c r="H23" i="18"/>
  <c r="I23" i="18"/>
  <c r="M23" i="18"/>
  <c r="I24" i="18"/>
  <c r="M24" i="18"/>
  <c r="H25" i="18"/>
  <c r="I25" i="18"/>
  <c r="M25" i="18"/>
  <c r="M26" i="18"/>
  <c r="B819" i="15"/>
  <c r="B818" i="15"/>
  <c r="B817" i="15"/>
  <c r="B816" i="15"/>
  <c r="B815" i="15"/>
  <c r="F20" i="18"/>
  <c r="H20" i="18" s="1"/>
  <c r="F19" i="18"/>
  <c r="H19" i="18" s="1"/>
  <c r="F18" i="18"/>
  <c r="H18" i="18" s="1"/>
  <c r="F17" i="18"/>
  <c r="H17" i="18" s="1"/>
  <c r="H15" i="18"/>
  <c r="B814" i="15"/>
  <c r="B813" i="15"/>
  <c r="B812" i="15"/>
  <c r="F90" i="18"/>
  <c r="F52" i="18"/>
  <c r="J22" i="18" l="1"/>
  <c r="J26" i="18"/>
  <c r="J25" i="18"/>
  <c r="J23" i="18"/>
  <c r="F14" i="18"/>
  <c r="F16" i="18"/>
  <c r="H16" i="18" s="1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D97" i="18"/>
  <c r="AF96" i="18"/>
  <c r="M96" i="18"/>
  <c r="M95" i="18"/>
  <c r="I95" i="18"/>
  <c r="J95" i="18" s="1"/>
  <c r="M94" i="18"/>
  <c r="I94" i="18"/>
  <c r="J94" i="18" s="1"/>
  <c r="X93" i="18"/>
  <c r="I93" i="18" s="1"/>
  <c r="J93" i="18" s="1"/>
  <c r="M93" i="18"/>
  <c r="M92" i="18"/>
  <c r="I92" i="18"/>
  <c r="J92" i="18" s="1"/>
  <c r="F16" i="14" s="1"/>
  <c r="AA91" i="18"/>
  <c r="Y91" i="18"/>
  <c r="I91" i="18" s="1"/>
  <c r="J91" i="18" s="1"/>
  <c r="M91" i="18"/>
  <c r="T90" i="18"/>
  <c r="I90" i="18" s="1"/>
  <c r="M90" i="18"/>
  <c r="H90" i="18"/>
  <c r="Z89" i="18"/>
  <c r="W89" i="18"/>
  <c r="T89" i="18"/>
  <c r="S89" i="18"/>
  <c r="M89" i="18"/>
  <c r="V88" i="18"/>
  <c r="I88" i="18" s="1"/>
  <c r="J88" i="18" s="1"/>
  <c r="M88" i="18"/>
  <c r="M87" i="18"/>
  <c r="I87" i="18"/>
  <c r="J87" i="18" s="1"/>
  <c r="F17" i="14" s="1"/>
  <c r="D85" i="18"/>
  <c r="M84" i="18"/>
  <c r="I84" i="18"/>
  <c r="J84" i="18" s="1"/>
  <c r="M83" i="18"/>
  <c r="I83" i="18"/>
  <c r="J83" i="18" s="1"/>
  <c r="M82" i="18"/>
  <c r="I82" i="18"/>
  <c r="J82" i="18" s="1"/>
  <c r="M81" i="18"/>
  <c r="I81" i="18"/>
  <c r="J81" i="18" s="1"/>
  <c r="AE80" i="18"/>
  <c r="Q80" i="18" s="1"/>
  <c r="I80" i="18" s="1"/>
  <c r="J80" i="18" s="1"/>
  <c r="M80" i="18"/>
  <c r="AE79" i="18"/>
  <c r="Q79" i="18" s="1"/>
  <c r="I79" i="18" s="1"/>
  <c r="J79" i="18" s="1"/>
  <c r="M79" i="18"/>
  <c r="D77" i="18"/>
  <c r="M75" i="18"/>
  <c r="I75" i="18"/>
  <c r="J75" i="18" s="1"/>
  <c r="M74" i="18"/>
  <c r="I74" i="18"/>
  <c r="J74" i="18" s="1"/>
  <c r="M73" i="18"/>
  <c r="I73" i="18" s="1"/>
  <c r="J73" i="18" s="1"/>
  <c r="M72" i="18"/>
  <c r="I72" i="18" s="1"/>
  <c r="J72" i="18" s="1"/>
  <c r="D69" i="18"/>
  <c r="M68" i="18"/>
  <c r="I68" i="18"/>
  <c r="J68" i="18" s="1"/>
  <c r="M67" i="18"/>
  <c r="I67" i="18"/>
  <c r="J67" i="18" s="1"/>
  <c r="M66" i="18"/>
  <c r="I66" i="18"/>
  <c r="J66" i="18" s="1"/>
  <c r="M65" i="18"/>
  <c r="I65" i="18" s="1"/>
  <c r="J65" i="18" s="1"/>
  <c r="D63" i="18"/>
  <c r="M62" i="18"/>
  <c r="I62" i="18" s="1"/>
  <c r="J62" i="18" s="1"/>
  <c r="M61" i="18"/>
  <c r="I61" i="18" s="1"/>
  <c r="J61" i="18" s="1"/>
  <c r="M60" i="18"/>
  <c r="I60" i="18" s="1"/>
  <c r="J60" i="18" s="1"/>
  <c r="M59" i="18"/>
  <c r="I59" i="18" s="1"/>
  <c r="J59" i="18" s="1"/>
  <c r="M58" i="18"/>
  <c r="I58" i="18" s="1"/>
  <c r="J58" i="18" s="1"/>
  <c r="M57" i="18"/>
  <c r="I57" i="18" s="1"/>
  <c r="J57" i="18" s="1"/>
  <c r="M56" i="18"/>
  <c r="I56" i="18" s="1"/>
  <c r="J56" i="18" s="1"/>
  <c r="M55" i="18"/>
  <c r="I55" i="18" s="1"/>
  <c r="J55" i="18" s="1"/>
  <c r="M54" i="18"/>
  <c r="I54" i="18" s="1"/>
  <c r="J54" i="18" s="1"/>
  <c r="M53" i="18"/>
  <c r="I53" i="18" s="1"/>
  <c r="J53" i="18" s="1"/>
  <c r="M52" i="18"/>
  <c r="I52" i="18"/>
  <c r="D50" i="18"/>
  <c r="M48" i="18"/>
  <c r="I48" i="18"/>
  <c r="J48" i="18" s="1"/>
  <c r="M47" i="18"/>
  <c r="I47" i="18"/>
  <c r="J47" i="18" s="1"/>
  <c r="M46" i="18"/>
  <c r="I46" i="18"/>
  <c r="J46" i="18" s="1"/>
  <c r="M45" i="18"/>
  <c r="I45" i="18"/>
  <c r="J45" i="18" s="1"/>
  <c r="Q44" i="18"/>
  <c r="I44" i="18" s="1"/>
  <c r="J44" i="18" s="1"/>
  <c r="M44" i="18"/>
  <c r="D41" i="18"/>
  <c r="AC40" i="18"/>
  <c r="AB40" i="18"/>
  <c r="M40" i="18"/>
  <c r="I40" i="18"/>
  <c r="J40" i="18" s="1"/>
  <c r="AC39" i="18"/>
  <c r="AB39" i="18"/>
  <c r="M39" i="18"/>
  <c r="I39" i="18"/>
  <c r="J39" i="18" s="1"/>
  <c r="AC38" i="18"/>
  <c r="AB38" i="18"/>
  <c r="M38" i="18"/>
  <c r="I38" i="18"/>
  <c r="J38" i="18" s="1"/>
  <c r="AC37" i="18"/>
  <c r="AB37" i="18"/>
  <c r="M37" i="18"/>
  <c r="I37" i="18"/>
  <c r="J37" i="18" s="1"/>
  <c r="AC36" i="18"/>
  <c r="AB36" i="18"/>
  <c r="M36" i="18"/>
  <c r="I36" i="18"/>
  <c r="J36" i="18" s="1"/>
  <c r="AC35" i="18"/>
  <c r="AB35" i="18"/>
  <c r="M35" i="18"/>
  <c r="I35" i="18"/>
  <c r="J35" i="18" s="1"/>
  <c r="AC34" i="18"/>
  <c r="AB34" i="18"/>
  <c r="M34" i="18"/>
  <c r="I34" i="18"/>
  <c r="J34" i="18" s="1"/>
  <c r="AC33" i="18"/>
  <c r="AB33" i="18"/>
  <c r="Q33" i="18"/>
  <c r="I33" i="18" s="1"/>
  <c r="J33" i="18" s="1"/>
  <c r="M33" i="18"/>
  <c r="Q30" i="18"/>
  <c r="M30" i="18"/>
  <c r="D27" i="18"/>
  <c r="M20" i="18"/>
  <c r="I20" i="18"/>
  <c r="M19" i="18"/>
  <c r="I19" i="18"/>
  <c r="M18" i="18"/>
  <c r="I18" i="18"/>
  <c r="J18" i="18" s="1"/>
  <c r="M17" i="18"/>
  <c r="I17" i="18"/>
  <c r="M16" i="18"/>
  <c r="I16" i="18"/>
  <c r="M15" i="18"/>
  <c r="I15" i="18"/>
  <c r="J15" i="18" s="1"/>
  <c r="M14" i="18"/>
  <c r="I14" i="18"/>
  <c r="B13" i="18"/>
  <c r="I10" i="18"/>
  <c r="D10" i="18"/>
  <c r="H52" i="18"/>
  <c r="B46" i="14"/>
  <c r="B45" i="14"/>
  <c r="B39" i="14"/>
  <c r="G35" i="14"/>
  <c r="B35" i="14"/>
  <c r="B34" i="14"/>
  <c r="B33" i="14"/>
  <c r="B32" i="14"/>
  <c r="F31" i="14"/>
  <c r="B31" i="14"/>
  <c r="B29" i="14"/>
  <c r="B28" i="14"/>
  <c r="B27" i="14"/>
  <c r="B26" i="14"/>
  <c r="B25" i="14"/>
  <c r="B24" i="14"/>
  <c r="G23" i="14"/>
  <c r="F23" i="14" s="1"/>
  <c r="B23" i="14"/>
  <c r="B22" i="14"/>
  <c r="B21" i="14"/>
  <c r="B19" i="14"/>
  <c r="B18" i="14"/>
  <c r="B17" i="14"/>
  <c r="B16" i="14"/>
  <c r="F15" i="14"/>
  <c r="B15" i="14"/>
  <c r="B14" i="14"/>
  <c r="B13" i="14"/>
  <c r="B12" i="14"/>
  <c r="B11" i="14"/>
  <c r="B10" i="14"/>
  <c r="B9" i="14"/>
  <c r="C5" i="14"/>
  <c r="J10" i="18" s="1"/>
  <c r="H13" i="18" l="1"/>
  <c r="F24" i="18"/>
  <c r="H24" i="18" s="1"/>
  <c r="J24" i="18" s="1"/>
  <c r="C21" i="18"/>
  <c r="C22" i="18"/>
  <c r="C19" i="18"/>
  <c r="I89" i="18"/>
  <c r="J89" i="18" s="1"/>
  <c r="J16" i="18"/>
  <c r="H14" i="18"/>
  <c r="J14" i="18" s="1"/>
  <c r="J77" i="18"/>
  <c r="K77" i="18" s="1"/>
  <c r="J52" i="18"/>
  <c r="F12" i="14" s="1"/>
  <c r="F18" i="14"/>
  <c r="J90" i="18"/>
  <c r="I30" i="18"/>
  <c r="J30" i="18" s="1"/>
  <c r="K30" i="18" s="1"/>
  <c r="J20" i="18"/>
  <c r="J19" i="18"/>
  <c r="J17" i="18"/>
  <c r="F14" i="14"/>
  <c r="J85" i="18"/>
  <c r="K85" i="18" s="1"/>
  <c r="F13" i="14"/>
  <c r="J41" i="18"/>
  <c r="K41" i="18" s="1"/>
  <c r="J50" i="18"/>
  <c r="K50" i="18" s="1"/>
  <c r="F11" i="14"/>
  <c r="J69" i="18"/>
  <c r="K69" i="18" s="1"/>
  <c r="C14" i="18"/>
  <c r="C15" i="18"/>
  <c r="C16" i="18"/>
  <c r="C17" i="18"/>
  <c r="B29" i="18"/>
  <c r="C20" i="18"/>
  <c r="C18" i="18"/>
  <c r="J27" i="18" l="1"/>
  <c r="K27" i="18" s="1"/>
  <c r="F9" i="14"/>
  <c r="X104" i="18"/>
  <c r="G27" i="14" s="1"/>
  <c r="F27" i="14" s="1"/>
  <c r="T104" i="18"/>
  <c r="G22" i="14" s="1"/>
  <c r="F22" i="14" s="1"/>
  <c r="Z104" i="18"/>
  <c r="G28" i="14" s="1"/>
  <c r="F28" i="14" s="1"/>
  <c r="V104" i="18"/>
  <c r="G24" i="14" s="1"/>
  <c r="F24" i="14" s="1"/>
  <c r="Y104" i="18"/>
  <c r="G26" i="14" s="1"/>
  <c r="F26" i="14" s="1"/>
  <c r="S104" i="18"/>
  <c r="G21" i="14" s="1"/>
  <c r="F21" i="14" s="1"/>
  <c r="W104" i="18"/>
  <c r="G25" i="14" s="1"/>
  <c r="F25" i="14" s="1"/>
  <c r="AA104" i="18"/>
  <c r="G29" i="14" s="1"/>
  <c r="F29" i="14" s="1"/>
  <c r="J63" i="18"/>
  <c r="K63" i="18" s="1"/>
  <c r="F10" i="14"/>
  <c r="B32" i="18"/>
  <c r="C34" i="18" s="1"/>
  <c r="C30" i="18"/>
  <c r="C31" i="18"/>
  <c r="AB96" i="18" l="1"/>
  <c r="AG96" i="18" s="1"/>
  <c r="Q96" i="18" s="1"/>
  <c r="I96" i="18" s="1"/>
  <c r="J96" i="18" s="1"/>
  <c r="F19" i="14" s="1"/>
  <c r="G36" i="14"/>
  <c r="B43" i="18"/>
  <c r="B51" i="18" s="1"/>
  <c r="C33" i="18"/>
  <c r="C37" i="18"/>
  <c r="C35" i="18"/>
  <c r="C36" i="18"/>
  <c r="C39" i="18"/>
  <c r="C38" i="18"/>
  <c r="C40" i="18"/>
  <c r="J97" i="18"/>
  <c r="K97" i="18" l="1"/>
  <c r="J98" i="18" s="1"/>
  <c r="Q102" i="18" s="1"/>
  <c r="I102" i="18" s="1"/>
  <c r="J102" i="18" s="1"/>
  <c r="F32" i="14" s="1"/>
  <c r="C62" i="18"/>
  <c r="C53" i="18"/>
  <c r="C56" i="18"/>
  <c r="C46" i="18"/>
  <c r="C55" i="18"/>
  <c r="C47" i="18"/>
  <c r="C59" i="18"/>
  <c r="C52" i="18"/>
  <c r="C58" i="18"/>
  <c r="C61" i="18"/>
  <c r="C57" i="18"/>
  <c r="C60" i="18"/>
  <c r="C45" i="18"/>
  <c r="C48" i="18"/>
  <c r="C54" i="18"/>
  <c r="C49" i="18"/>
  <c r="B64" i="18"/>
  <c r="C44" i="18"/>
  <c r="I100" i="18" l="1"/>
  <c r="J100" i="18" s="1"/>
  <c r="F35" i="14" s="1"/>
  <c r="I101" i="18"/>
  <c r="J101" i="18" s="1"/>
  <c r="F34" i="14" s="1"/>
  <c r="C66" i="18"/>
  <c r="C67" i="18"/>
  <c r="B71" i="18"/>
  <c r="B78" i="18" s="1"/>
  <c r="C68" i="18"/>
  <c r="C65" i="18"/>
  <c r="F36" i="14" l="1"/>
  <c r="G34" i="14" s="1"/>
  <c r="J103" i="18"/>
  <c r="J104" i="18" s="1"/>
  <c r="L69" i="18" s="1"/>
  <c r="C74" i="18"/>
  <c r="C84" i="18"/>
  <c r="C79" i="18"/>
  <c r="C72" i="18"/>
  <c r="C73" i="18"/>
  <c r="C76" i="18"/>
  <c r="C80" i="18"/>
  <c r="B86" i="18"/>
  <c r="C94" i="18" s="1"/>
  <c r="C75" i="18"/>
  <c r="K4" i="18" l="1"/>
  <c r="K3" i="18"/>
  <c r="K5" i="18"/>
  <c r="L5" i="18"/>
  <c r="S6" i="18"/>
  <c r="L63" i="18"/>
  <c r="L50" i="18"/>
  <c r="L97" i="18"/>
  <c r="L30" i="18"/>
  <c r="L77" i="18"/>
  <c r="L41" i="18"/>
  <c r="L85" i="18"/>
  <c r="L27" i="18"/>
  <c r="C96" i="18"/>
  <c r="C92" i="18"/>
  <c r="C87" i="18"/>
  <c r="C95" i="18"/>
  <c r="C89" i="18"/>
  <c r="C91" i="18"/>
  <c r="C93" i="18"/>
  <c r="B99" i="18"/>
  <c r="C102" i="18" s="1"/>
  <c r="C88" i="18"/>
  <c r="C90" i="18"/>
  <c r="C100" i="18" l="1"/>
  <c r="C10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Skripnik</author>
  </authors>
  <commentList>
    <comment ref="S4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>Сумма скрытых позиций (непоказываемых в ТКП)
При необходимости можно добавить свои переменные для их распределения по ТКП</t>
        </r>
      </text>
    </comment>
    <comment ref="M12" authorId="0" shapeId="0" xr:uid="{00000000-0006-0000-0100-000002000000}">
      <text>
        <r>
          <rPr>
            <sz val="9"/>
            <color indexed="81"/>
            <rFont val="Tahoma"/>
            <family val="2"/>
            <charset val="204"/>
          </rPr>
          <t>Коэфф закупки. По умолчанию равен значению из таблицу вверху листа. При необходимости можно вручную ввести коэфф на каждую позицию</t>
        </r>
      </text>
    </comment>
    <comment ref="N12" authorId="0" shapeId="0" xr:uid="{00000000-0006-0000-0100-000003000000}">
      <text>
        <r>
          <rPr>
            <sz val="9"/>
            <color indexed="81"/>
            <rFont val="Tahoma"/>
            <family val="2"/>
            <charset val="204"/>
          </rPr>
          <t xml:space="preserve">Является ли позиция покупной и есть ли необходимость увеличивать ее стоимость на коэфф закупки
</t>
        </r>
      </text>
    </comment>
    <comment ref="O12" authorId="0" shapeId="0" xr:uid="{00000000-0006-0000-0100-000004000000}">
      <text>
        <r>
          <rPr>
            <sz val="9"/>
            <color indexed="81"/>
            <rFont val="Tahoma"/>
            <family val="2"/>
            <charset val="204"/>
          </rPr>
          <t>Является ли цена прайсовой (например заказчику оглашали цену) и можно ли в нее добавлять скрытые позиции</t>
        </r>
      </text>
    </comment>
    <comment ref="P12" authorId="0" shapeId="0" xr:uid="{00000000-0006-0000-0100-000005000000}">
      <text>
        <r>
          <rPr>
            <sz val="9"/>
            <color indexed="81"/>
            <rFont val="Tahoma"/>
            <family val="2"/>
            <charset val="204"/>
          </rPr>
          <t>К какой категории относится позиция (необходимо для заполнения первого листа в автоматическом режиме)</t>
        </r>
      </text>
    </comment>
    <comment ref="Q12" authorId="0" shapeId="0" xr:uid="{00000000-0006-0000-0100-000006000000}">
      <text>
        <r>
          <rPr>
            <sz val="9"/>
            <color indexed="81"/>
            <rFont val="Tahoma"/>
            <family val="2"/>
            <charset val="204"/>
          </rPr>
          <t xml:space="preserve">Базовая цена на продукт, взятая из прайса или счета
</t>
        </r>
      </text>
    </comment>
    <comment ref="R12" authorId="0" shapeId="0" xr:uid="{00000000-0006-0000-0100-000007000000}">
      <text>
        <r>
          <rPr>
            <sz val="9"/>
            <color indexed="81"/>
            <rFont val="Tahoma"/>
            <family val="2"/>
            <charset val="204"/>
          </rPr>
          <t>Резерв заложенный на позицию</t>
        </r>
      </text>
    </comment>
    <comment ref="U104" authorId="1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Skripnik:</t>
        </r>
        <r>
          <rPr>
            <sz val="9"/>
            <color indexed="81"/>
            <rFont val="Tahoma"/>
            <family val="2"/>
            <charset val="204"/>
          </rPr>
          <t xml:space="preserve">
входит в графу дог. метролог</t>
        </r>
      </text>
    </comment>
  </commentList>
</comments>
</file>

<file path=xl/sharedStrings.xml><?xml version="1.0" encoding="utf-8"?>
<sst xmlns="http://schemas.openxmlformats.org/spreadsheetml/2006/main" count="1235" uniqueCount="271">
  <si>
    <t>Наименование</t>
  </si>
  <si>
    <t>Организация:</t>
  </si>
  <si>
    <t>Дата входящего:</t>
  </si>
  <si>
    <t>Тип:</t>
  </si>
  <si>
    <t>Итого:</t>
  </si>
  <si>
    <t>Первичные преобразователи</t>
  </si>
  <si>
    <t>Доллар</t>
  </si>
  <si>
    <t>Евро</t>
  </si>
  <si>
    <t>Стоимость</t>
  </si>
  <si>
    <t>Трудозатраты
чел/мес</t>
  </si>
  <si>
    <t>-</t>
  </si>
  <si>
    <t>Оборудование покупное</t>
  </si>
  <si>
    <t>ПО базовое</t>
  </si>
  <si>
    <t>ПО разработка</t>
  </si>
  <si>
    <t>Монтажные работы</t>
  </si>
  <si>
    <t>Пуско-наладочные работы (ПНР)</t>
  </si>
  <si>
    <t>Ведение проекта</t>
  </si>
  <si>
    <t>Эксплуатационная документация (ЭД)</t>
  </si>
  <si>
    <t>Командировочные расходы</t>
  </si>
  <si>
    <t>ВТК</t>
  </si>
  <si>
    <t>Плановые затраты</t>
  </si>
  <si>
    <t>№ п/п</t>
  </si>
  <si>
    <t>Обозн.</t>
  </si>
  <si>
    <t>Отв.</t>
  </si>
  <si>
    <t>Оборудование НПП МЕРА Серийное</t>
  </si>
  <si>
    <t>Оборудование НПП МЕРА Кросс</t>
  </si>
  <si>
    <t>ВП</t>
  </si>
  <si>
    <t>ОУП</t>
  </si>
  <si>
    <t>ЭД</t>
  </si>
  <si>
    <t>ЦР</t>
  </si>
  <si>
    <t>ПТЦ</t>
  </si>
  <si>
    <t>ПНР</t>
  </si>
  <si>
    <t>СТС</t>
  </si>
  <si>
    <t>ГСП</t>
  </si>
  <si>
    <t>Внутренний трудовой коллектив</t>
  </si>
  <si>
    <t>Резерв</t>
  </si>
  <si>
    <t>БГ</t>
  </si>
  <si>
    <t>Металлоконструкция</t>
  </si>
  <si>
    <t>Монтаж</t>
  </si>
  <si>
    <t>Коэфф.</t>
  </si>
  <si>
    <t>Метролог</t>
  </si>
  <si>
    <t>Покупное</t>
  </si>
  <si>
    <t>КД конструкторы</t>
  </si>
  <si>
    <t>АИ, ПСИ</t>
  </si>
  <si>
    <t>КО</t>
  </si>
  <si>
    <t>ДСИ</t>
  </si>
  <si>
    <t>ОСП</t>
  </si>
  <si>
    <t>Работы по утверждению типа СИ метрологической службы</t>
  </si>
  <si>
    <t>Работы во внешних организациях, внешние договора</t>
  </si>
  <si>
    <t>Банковская гарантия</t>
  </si>
  <si>
    <t>ДСИ / ДГ</t>
  </si>
  <si>
    <t>ПП</t>
  </si>
  <si>
    <t>Кабельная продукция НПП МЕРА Кросс</t>
  </si>
  <si>
    <t>Работы МЕРА (АИ, ПСИ)</t>
  </si>
  <si>
    <t>Военная приемка, предъявительные испытания</t>
  </si>
  <si>
    <t>Скрытое</t>
  </si>
  <si>
    <t>Серия</t>
  </si>
  <si>
    <t>Кросс</t>
  </si>
  <si>
    <t>Кабель</t>
  </si>
  <si>
    <t>Базовое ПО</t>
  </si>
  <si>
    <t>Доставка</t>
  </si>
  <si>
    <t>Разработка КРОСС</t>
  </si>
  <si>
    <t>Разработка ПО</t>
  </si>
  <si>
    <t>Затраты на доставку</t>
  </si>
  <si>
    <t>Металл</t>
  </si>
  <si>
    <t>Внеш. договор</t>
  </si>
  <si>
    <t>КД констр.</t>
  </si>
  <si>
    <t>Комманд. расходы</t>
  </si>
  <si>
    <t>Военн. приемка</t>
  </si>
  <si>
    <t>Договор метролог</t>
  </si>
  <si>
    <t>Внешний договор с целью утверждения типа СИ</t>
  </si>
  <si>
    <t>МО</t>
  </si>
  <si>
    <t>Общий резерв</t>
  </si>
  <si>
    <t>МО / ДГ</t>
  </si>
  <si>
    <t>Резерв в позициях</t>
  </si>
  <si>
    <t>Работы</t>
  </si>
  <si>
    <t>ч/м инж</t>
  </si>
  <si>
    <t>ч/м ост</t>
  </si>
  <si>
    <t>Телефон,факс,e-mail для связи с заказчиком:</t>
  </si>
  <si>
    <t>Потолочин Иван Максимович</t>
  </si>
  <si>
    <t>Время измененния</t>
  </si>
  <si>
    <t>Кто изменил</t>
  </si>
  <si>
    <t>№</t>
  </si>
  <si>
    <t>Цена</t>
  </si>
  <si>
    <t>Отвественный от заказчика:</t>
  </si>
  <si>
    <t>Дата оформления</t>
  </si>
  <si>
    <t>ТКП</t>
  </si>
  <si>
    <t>Ответственный от МЕРА:</t>
  </si>
  <si>
    <t>Номер ТКП:</t>
  </si>
  <si>
    <t>Этап</t>
  </si>
  <si>
    <t>Срок</t>
  </si>
  <si>
    <t>Авансовый платеж</t>
  </si>
  <si>
    <t>После выполнения пусконаладочный работ</t>
  </si>
  <si>
    <t>Платеж</t>
  </si>
  <si>
    <t>Процент</t>
  </si>
  <si>
    <t>КД кросс</t>
  </si>
  <si>
    <t>Лобачев Алексей Геннадьевич</t>
  </si>
  <si>
    <t>Skripnik</t>
  </si>
  <si>
    <t>Мелихов Антон Андреевич</t>
  </si>
  <si>
    <t>Проскурин Максим Александрович</t>
  </si>
  <si>
    <t>Потапов</t>
  </si>
  <si>
    <t>Грязнев Александр Александрович</t>
  </si>
  <si>
    <t>Аванс</t>
  </si>
  <si>
    <t>Расчет</t>
  </si>
  <si>
    <t>Потолочин Максим Петрович</t>
  </si>
  <si>
    <t>Александр</t>
  </si>
  <si>
    <t>Сергей</t>
  </si>
  <si>
    <t>70%</t>
  </si>
  <si>
    <t>30%</t>
  </si>
  <si>
    <t>2 мес.</t>
  </si>
  <si>
    <t>КБхиммаш им. А.М. Исаева</t>
  </si>
  <si>
    <t>Николай Голубев</t>
  </si>
  <si>
    <t>golubevnicolay@yandex.ru</t>
  </si>
  <si>
    <t>Поставка оборудования</t>
  </si>
  <si>
    <t>Монтаж и ПНР</t>
  </si>
  <si>
    <t>12 мес.</t>
  </si>
  <si>
    <t>Оксана</t>
  </si>
  <si>
    <t>2024-063/5.1</t>
  </si>
  <si>
    <t xml:space="preserve">4) Этапы поставки:_x000D_
- Поставка оборудования 12 мес. _x000D_
- Монтаж и ПНР 2 мес. </t>
  </si>
  <si>
    <t xml:space="preserve">3) Условия оплаты:_x000D_
- Авансовый платеж 70% _x000D_
- После выполнения пусконаладочный работ 30% </t>
  </si>
  <si>
    <r>
      <t xml:space="preserve">Технико-коммерческое предложение действительно в течение 2 недель и при изменении курса евро более чем на 5% по сравнению с датой выставления ТКП, цена подлежит дополнительному согласованию. 
</t>
    </r>
    <r>
      <rPr>
        <sz val="10"/>
        <rFont val="Arial Cyr"/>
        <charset val="204"/>
      </rPr>
      <t xml:space="preserve">
В итоговую стоимость поставляемого оборудования включаются:
     - все налоги;
     - стажировка персонала заказчика по использованию аппаратуры  MIC (на территории НПП «МЕРА», г. Мытищи);
     - 3 года гарантийного сопровождения (для аппаратных средств собственного изготовления), вкл. ремонт, доработку, обновление версий, консультации; 
     - на покупную технику, поставляемые к ней комплектующие гарантийные сроки устанавливаются в соответствии со сроками, указанными в гарантийных талонах поставщиков.
ПРИМЕЧАНИЕ:
1) цены указаны на условиях доставки готовой продукции со склада НПП «МЕРА» по адресу Заказчика;
2) цены действительны в течение 2 недель.</t>
    </r>
  </si>
  <si>
    <t>Итого по разделу "Дополнительно":</t>
  </si>
  <si>
    <t>Дополнительно</t>
  </si>
  <si>
    <t>Итого - система</t>
  </si>
  <si>
    <t>Итого</t>
  </si>
  <si>
    <t>За 1 неделю</t>
  </si>
  <si>
    <t>Суточные</t>
  </si>
  <si>
    <t>Проезд туда-обратно</t>
  </si>
  <si>
    <t>Гостиница</t>
  </si>
  <si>
    <t>Кол-во недель</t>
  </si>
  <si>
    <t>цена от СТС - 121тыс</t>
  </si>
  <si>
    <t>Автономные испытания системы на территории поставщика, включая:
- тестирование корректного взаимодействия между аппаратными компонентами системы;
- тестирование корректного взаимодействия программных модулей в рамках измерительной системы
- полную проверку функций и процедур измерительно-управляющей системы</t>
  </si>
  <si>
    <t>Монтажные и пуско-наладочные работы на площадке заказчика</t>
  </si>
  <si>
    <t>Разработка КД и ЭД</t>
  </si>
  <si>
    <t>Разработка программного обеспечения под требования заказчика:</t>
  </si>
  <si>
    <t>Работы по организации доставки (с учетом страховки, упаковки и т.п.)</t>
  </si>
  <si>
    <t>Кабельная продукция</t>
  </si>
  <si>
    <t>Разделка разъемов</t>
  </si>
  <si>
    <t>Р2,$</t>
  </si>
  <si>
    <t>L</t>
  </si>
  <si>
    <t>мат, $</t>
  </si>
  <si>
    <t>пин</t>
  </si>
  <si>
    <t>Р1,$</t>
  </si>
  <si>
    <t>Материал</t>
  </si>
  <si>
    <t>экспертно</t>
  </si>
  <si>
    <t>Общесистемное оборудование</t>
  </si>
  <si>
    <t>Шкаф кроссировочный</t>
  </si>
  <si>
    <r>
      <t>Приборная стойка</t>
    </r>
    <r>
      <rPr>
        <sz val="10"/>
        <rFont val="Arial Cyr"/>
        <charset val="204"/>
      </rPr>
      <t xml:space="preserve"> 800*2200*600 в комплекте с внутренней разводкой и монтажными работами</t>
    </r>
  </si>
  <si>
    <t>Кроссировочное оборудование</t>
  </si>
  <si>
    <t>Резерв на 1 шт</t>
  </si>
  <si>
    <t>Цена за шт / за материалы</t>
  </si>
  <si>
    <t>Категория</t>
  </si>
  <si>
    <t>Прайс</t>
  </si>
  <si>
    <t>Покупн</t>
  </si>
  <si>
    <t>КЗ</t>
  </si>
  <si>
    <t>Комментарии и расчет цены</t>
  </si>
  <si>
    <t>Общая cт-ть, руб.</t>
  </si>
  <si>
    <t>Цена ед-цы, руб.</t>
  </si>
  <si>
    <t>Кол-во, ед-ц.</t>
  </si>
  <si>
    <t>Назначение</t>
  </si>
  <si>
    <t>№ п.п</t>
  </si>
  <si>
    <t>Приложение 1 - Разработка, изготовление, монтаж и пуско-наладка РВК</t>
  </si>
  <si>
    <t>ПСИ / АИ</t>
  </si>
  <si>
    <t>ПО</t>
  </si>
  <si>
    <t>КД 
констр</t>
  </si>
  <si>
    <t>КД 
кросс</t>
  </si>
  <si>
    <t>Полная цена</t>
  </si>
  <si>
    <t>Цена без БГ</t>
  </si>
  <si>
    <t>Проверка:</t>
  </si>
  <si>
    <t>Военные</t>
  </si>
  <si>
    <t>Итого прилож.:</t>
  </si>
  <si>
    <t>Итого расчет:</t>
  </si>
  <si>
    <t>сумма с размазыванием</t>
  </si>
  <si>
    <t>Прайс RXI</t>
  </si>
  <si>
    <t>Прайс PXI</t>
  </si>
  <si>
    <t xml:space="preserve">Операторская станция - станция сбора данных (в формате PromPC), конструктив 19"
</t>
  </si>
  <si>
    <t>Уточнить цену</t>
  </si>
  <si>
    <t>TZ</t>
  </si>
  <si>
    <t>ССД для стационарного комплекса</t>
  </si>
  <si>
    <t>SFTP</t>
  </si>
  <si>
    <t>МЕРА</t>
  </si>
  <si>
    <t>Комплекс измерительный магистрально-модульный MIC-236
Крейт-шасси на 16 измерительных модулей типа МR:
- Крейт-контроллер (Ethernet); 
- Питание ~220 В; 
- Программа управления комплексом MIC «Recorder»;
- Свидетельство о первичной метрологической поверке.</t>
  </si>
  <si>
    <t>UPS, 2 кВА</t>
  </si>
  <si>
    <t>Мониторы, хаб, преобразователи, удлинители и т.д.</t>
  </si>
  <si>
    <t>КШ&gt;&gt;Модуль MR</t>
  </si>
  <si>
    <t>4xSFTP</t>
  </si>
  <si>
    <t>Датчик&gt;&gt;КШ</t>
  </si>
  <si>
    <t>Комплект датчиков</t>
  </si>
  <si>
    <t>СИ: стойка ССД</t>
  </si>
  <si>
    <t>СИ: коммутационный шкаф</t>
  </si>
  <si>
    <t>Шкаф АСУ</t>
  </si>
  <si>
    <t>АСУ: установка PLC</t>
  </si>
  <si>
    <t>Шкаф ПЧ</t>
  </si>
  <si>
    <t>АСУ. По одному на ось</t>
  </si>
  <si>
    <t>Щит питания</t>
  </si>
  <si>
    <t>ПЧ,500 кВт</t>
  </si>
  <si>
    <t>Система видеонаблюдения</t>
  </si>
  <si>
    <t>Производственная мебель (комплект)
Состав:
- Стол Viking        4шт.
- Кресло Бюррократ        4шт.
- Комплект кабелей и стоек для мониторов        4шт.</t>
  </si>
  <si>
    <t>Статив крепления датчиков</t>
  </si>
  <si>
    <t>Рама+подвижный коммутационный шкаф для подключения даитчиков</t>
  </si>
  <si>
    <t>На одну сторону авто</t>
  </si>
  <si>
    <t>Пульт с ручными элементами управления на стол</t>
  </si>
  <si>
    <t>Модуль передачи усилия на ось авто:
Рама, Барабан, вал, муфта, подшипник, устройство перемещения</t>
  </si>
  <si>
    <t>АСУТП</t>
  </si>
  <si>
    <t>6.13</t>
  </si>
  <si>
    <t>6.14</t>
  </si>
  <si>
    <t>Кабель силовой ВРУ 6кВ&gt;&gt; Вводная ячейка, 15 м
Переходные муфты</t>
  </si>
  <si>
    <t>Кабель силовой 6кВ ПЧ&gt;&gt; Двигатель, 15 м
Переходные муфты</t>
  </si>
  <si>
    <t>Испытания кабелей</t>
  </si>
  <si>
    <t>3x50</t>
  </si>
  <si>
    <t>Кабельные лотки, 50 метров
СИ+СУ+Силовые кабели</t>
  </si>
  <si>
    <t>Система диспетчеризации и контроля АСУ MasterScada4D 500 т. вводы/вывода</t>
  </si>
  <si>
    <r>
      <t xml:space="preserve">ЭД асинхронный Рн=800 кВт, Uн=6000 В, nн=3000об/мин, </t>
    </r>
    <r>
      <rPr>
        <sz val="10"/>
        <color rgb="FFFF0000"/>
        <rFont val="Arial Cyr"/>
        <charset val="204"/>
      </rPr>
      <t>система охлаждения</t>
    </r>
  </si>
  <si>
    <t>Работы по наладке ПЧ</t>
  </si>
  <si>
    <t>КД</t>
  </si>
  <si>
    <t>вп</t>
  </si>
  <si>
    <t>Устройство передачи усилия на втулки колес</t>
  </si>
  <si>
    <t>Разработка КД на систему нагружения без роликов</t>
  </si>
  <si>
    <t>Блок связи с ЭБУ</t>
  </si>
  <si>
    <t>Рама крепления модулей нагружения, устройство защиты от скатывания, крепление ремнями</t>
  </si>
  <si>
    <t>Схема</t>
  </si>
  <si>
    <t>Каталог</t>
  </si>
  <si>
    <t>\\Fserv\e\MERA\WORKS\ДСИ\Потолочин\прайс\2024\Прайс 2025_v01.xlsx</t>
  </si>
  <si>
    <t>Обдув воздухом</t>
  </si>
  <si>
    <t>Компрессор</t>
  </si>
  <si>
    <t>Скорость=
Объем=
Давление=
Температура</t>
  </si>
  <si>
    <t>Подогрев воздуха</t>
  </si>
  <si>
    <t>Система трубопроводов для организации потока с забором воздуха с улицы и реверсом</t>
  </si>
  <si>
    <t>Запорная арматура</t>
  </si>
  <si>
    <t>Работы по внесению в ГР</t>
  </si>
  <si>
    <t>Работы по аттестации стенда</t>
  </si>
  <si>
    <t>Список ИК</t>
  </si>
  <si>
    <t>Связь</t>
  </si>
  <si>
    <t>связь с водителем из пультовой</t>
  </si>
  <si>
    <t>Механическая часть</t>
  </si>
  <si>
    <t>СГУ. Датчик силы, Домкрат,</t>
  </si>
  <si>
    <t xml:space="preserve">Модуль ввода дискретных сигналов MR-405
'- число каналов: 32 канала;
- диапазон входных сигналов: 0 … 20 В; </t>
  </si>
  <si>
    <t>Модуль измерения частоты MR-452
- число каналов: 8;
- диапазон измерений: 0,01 Гц ... 400 кГц;
- частота опроса: до 200 Гц</t>
  </si>
  <si>
    <t>Модуль измерения относительного напряжения тензодатчиков MR-212
- число каналов: 4;
- диапазон измерений: ±16 мВ/В;
- частота опроса: 30 …4800 Гц/канал;
- разрядность АЦП: 24 бита</t>
  </si>
  <si>
    <t>Комплекс измерительный магистрально-модульный MIC-553 PXI
Измерительный крейт на 16 измерительных модулей типа PXI-xxx:
- Крейт-контроллер (PCI);
- Кабель для подключения к компьютеру, длина 10 м;
- Питание ~220 В;</t>
  </si>
  <si>
    <t>Модуль измерения динамических сигналов PXI МX-228
'- Число аналоговых каналов: 8;
- Амплитудный диапазон: ±10 В;
- Частота дискретизации: до 216 кГц на канал;
- Цифровой анти-алиасный фильтр с линейной фазовой х-кой: 
   - частотный диапазон: 0...100 кГц (Fs=216 кГц);
   - неравномерность: ±0.15 дБ;
   - подавление вне полосы пропускания: 120 дБ;
- Разрешение сигма-дельта АЦП: 16-бит;
- Поддержка технологии IEPE;</t>
  </si>
  <si>
    <t>Модуль измерения напряжения и силы постоянного тока MR-114
'- число каналов: 16;
- диапазон измерений: ±0,00125 В…±10 В;
- частота опроса: 10...4800 Гц/канал.</t>
  </si>
  <si>
    <t>User</t>
  </si>
  <si>
    <t>ЗИП</t>
  </si>
  <si>
    <t>IEPE</t>
  </si>
  <si>
    <t>Деформация</t>
  </si>
  <si>
    <t>Тензо</t>
  </si>
  <si>
    <t>ПОС</t>
  </si>
  <si>
    <t>ТС</t>
  </si>
  <si>
    <t>ТП</t>
  </si>
  <si>
    <t>F</t>
  </si>
  <si>
    <t>DI</t>
  </si>
  <si>
    <t>дубль</t>
  </si>
  <si>
    <t>Деф36+тензо88 x2</t>
  </si>
  <si>
    <t>ТС88+ТП176+ПОС288 x2</t>
  </si>
  <si>
    <t>Установка 72 модуля x2</t>
  </si>
  <si>
    <t>56 IEPE каналов, 10 кГц x2</t>
  </si>
  <si>
    <t>Установка 7 модулей x2</t>
  </si>
  <si>
    <t>F16</t>
  </si>
  <si>
    <t>DI112</t>
  </si>
  <si>
    <t>1.12</t>
  </si>
  <si>
    <t>1.13</t>
  </si>
  <si>
    <t>1.14</t>
  </si>
  <si>
    <t>ME-014</t>
  </si>
  <si>
    <t>ME-012</t>
  </si>
  <si>
    <t>ME-020</t>
  </si>
  <si>
    <t>MBP210</t>
  </si>
  <si>
    <t>ME-408</t>
  </si>
  <si>
    <t>1.15</t>
  </si>
  <si>
    <t>Блок питания Me408/014/012</t>
  </si>
  <si>
    <t>\\fserv\e\MERA\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</si>
</sst>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_ ;\-#,##0\ "/>
    <numFmt numFmtId="165" formatCode="#,##0\ &quot;₽&quot;"/>
    <numFmt numFmtId="166" formatCode="0.0%"/>
    <numFmt numFmtId="167" formatCode="#,##0.000"/>
    <numFmt numFmtId="168" formatCode="#,##0.0"/>
    <numFmt numFmtId="169" formatCode="_-* #,##0.00_р_._-;\-* #,##0.00_р_._-;_-* &quot;-&quot;??_р_._-;_-@_-"/>
  </numFmts>
  <fonts count="47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color theme="1"/>
      <name val="Arial Cyr"/>
      <charset val="204"/>
    </font>
    <font>
      <b/>
      <sz val="12"/>
      <color theme="1"/>
      <name val="Calibri"/>
      <family val="2"/>
      <charset val="204"/>
      <scheme val="minor"/>
    </font>
    <font>
      <sz val="18"/>
      <color rgb="FF000000"/>
      <name val="Arial Cyr"/>
    </font>
    <font>
      <b/>
      <sz val="11"/>
      <name val="Arial Cyr"/>
      <charset val="204"/>
    </font>
    <font>
      <u/>
      <sz val="9.4"/>
      <color theme="10"/>
      <name val="Arial Cyr"/>
      <charset val="204"/>
    </font>
    <font>
      <b/>
      <sz val="12"/>
      <name val="Arial Cyr"/>
      <charset val="204"/>
    </font>
    <font>
      <b/>
      <sz val="11"/>
      <color theme="1"/>
      <name val="Arial Cyr"/>
      <charset val="204"/>
    </font>
    <font>
      <b/>
      <sz val="11"/>
      <color rgb="FF7030A0"/>
      <name val="Arial Cyr"/>
      <charset val="204"/>
    </font>
    <font>
      <sz val="10"/>
      <color theme="1"/>
      <name val="Arial Cyr"/>
      <charset val="204"/>
    </font>
    <font>
      <b/>
      <sz val="11"/>
      <color theme="9" tint="0.59999389629810485"/>
      <name val="Arial Cyr"/>
      <charset val="204"/>
    </font>
    <font>
      <sz val="10"/>
      <color theme="9" tint="0.59999389629810485"/>
      <name val="Arial Cyr"/>
      <charset val="204"/>
    </font>
    <font>
      <sz val="10"/>
      <name val="Arial CYR"/>
    </font>
    <font>
      <sz val="11"/>
      <color theme="1"/>
      <name val="Arial Cyr"/>
      <charset val="204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rgb="FF7030A0"/>
      <name val="Arial Cyr"/>
      <charset val="204"/>
    </font>
    <font>
      <b/>
      <sz val="11"/>
      <color rgb="FFFF0000"/>
      <name val="Arial Cyr"/>
      <charset val="204"/>
    </font>
    <font>
      <b/>
      <sz val="10"/>
      <color rgb="FFFF0000"/>
      <name val="Arial Cyr"/>
      <charset val="204"/>
    </font>
    <font>
      <sz val="9"/>
      <color indexed="81"/>
      <name val="Tahoma"/>
      <family val="2"/>
      <charset val="204"/>
    </font>
    <font>
      <sz val="8"/>
      <color rgb="FF000000"/>
      <name val="Arial Cyr"/>
    </font>
    <font>
      <u/>
      <sz val="10"/>
      <color theme="10"/>
      <name val="Arial Cyr"/>
      <charset val="204"/>
    </font>
    <font>
      <sz val="12"/>
      <color theme="9" tint="0.59999389629810485"/>
      <name val="Arial Cyr"/>
      <charset val="204"/>
    </font>
    <font>
      <sz val="11"/>
      <name val="Arial Cyr"/>
      <charset val="204"/>
    </font>
    <font>
      <sz val="11"/>
      <color indexed="8"/>
      <name val="Calibri"/>
      <family val="2"/>
      <charset val="204"/>
    </font>
    <font>
      <sz val="10"/>
      <name val="Arial CYR"/>
      <family val="2"/>
      <charset val="204"/>
    </font>
    <font>
      <u/>
      <sz val="10"/>
      <color indexed="12"/>
      <name val="Arial Cyr"/>
      <charset val="204"/>
    </font>
    <font>
      <u/>
      <sz val="9.4"/>
      <color indexed="12"/>
      <name val="Arial Cyr"/>
      <charset val="204"/>
    </font>
    <font>
      <sz val="8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rgb="FFFF0000"/>
      <name val="Arial Cyr"/>
      <charset val="204"/>
    </font>
    <font>
      <b/>
      <sz val="9"/>
      <color indexed="81"/>
      <name val="Tahoma"/>
      <family val="2"/>
      <charset val="204"/>
    </font>
    <font>
      <sz val="14"/>
      <name val="Arial Cyr"/>
      <charset val="204"/>
    </font>
    <font>
      <sz val="8"/>
      <name val="Arial Cyr"/>
      <charset val="204"/>
    </font>
    <font>
      <sz val="10"/>
      <color rgb="FF000000"/>
      <name val="Arial Cyr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EBF1DE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rgb="FFFFFFCC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2">
    <xf numFmtId="0" fontId="0" fillId="0" borderId="0"/>
    <xf numFmtId="0" fontId="9" fillId="2" borderId="0" applyNumberFormat="0" applyBorder="0" applyAlignment="0" applyProtection="0"/>
    <xf numFmtId="0" fontId="10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9" fontId="8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7" fillId="0" borderId="0"/>
    <xf numFmtId="0" fontId="1" fillId="0" borderId="0"/>
    <xf numFmtId="0" fontId="36" fillId="0" borderId="0"/>
    <xf numFmtId="0" fontId="41" fillId="0" borderId="0"/>
    <xf numFmtId="0" fontId="40" fillId="0" borderId="0"/>
    <xf numFmtId="16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64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7" fillId="0" borderId="0" xfId="0" applyFont="1" applyAlignment="1">
      <alignment wrapText="1"/>
    </xf>
    <xf numFmtId="0" fontId="10" fillId="4" borderId="14" xfId="2" applyFill="1" applyBorder="1" applyAlignment="1">
      <alignment wrapText="1"/>
    </xf>
    <xf numFmtId="0" fontId="10" fillId="4" borderId="15" xfId="2" applyFill="1" applyBorder="1" applyAlignment="1">
      <alignment wrapText="1"/>
    </xf>
    <xf numFmtId="0" fontId="14" fillId="4" borderId="15" xfId="2" applyFont="1" applyFill="1" applyBorder="1" applyAlignment="1">
      <alignment horizontal="center" vertical="center" wrapText="1"/>
    </xf>
    <xf numFmtId="0" fontId="10" fillId="4" borderId="16" xfId="2" applyFill="1" applyBorder="1" applyAlignment="1">
      <alignment wrapText="1"/>
    </xf>
    <xf numFmtId="0" fontId="11" fillId="0" borderId="5" xfId="2" applyFont="1" applyBorder="1" applyAlignment="1">
      <alignment horizontal="center" vertical="center" wrapText="1"/>
    </xf>
    <xf numFmtId="0" fontId="11" fillId="0" borderId="10" xfId="2" applyFont="1" applyBorder="1" applyAlignment="1">
      <alignment horizontal="center" vertical="center" wrapText="1"/>
    </xf>
    <xf numFmtId="0" fontId="12" fillId="0" borderId="10" xfId="2" applyFont="1" applyBorder="1" applyAlignment="1">
      <alignment horizontal="center" vertical="center" wrapText="1"/>
    </xf>
    <xf numFmtId="0" fontId="12" fillId="0" borderId="12" xfId="2" applyFont="1" applyBorder="1" applyAlignment="1">
      <alignment horizontal="center" vertical="center" wrapText="1"/>
    </xf>
    <xf numFmtId="0" fontId="10" fillId="5" borderId="6" xfId="2" applyFill="1" applyBorder="1" applyAlignment="1">
      <alignment horizontal="center" vertical="center" wrapText="1"/>
    </xf>
    <xf numFmtId="0" fontId="10" fillId="5" borderId="4" xfId="2" applyFill="1" applyBorder="1" applyAlignment="1">
      <alignment vertical="center" wrapText="1"/>
    </xf>
    <xf numFmtId="0" fontId="10" fillId="3" borderId="1" xfId="2" applyFill="1" applyBorder="1" applyAlignment="1">
      <alignment horizontal="center" vertical="center" wrapText="1"/>
    </xf>
    <xf numFmtId="0" fontId="10" fillId="3" borderId="4" xfId="2" applyFill="1" applyBorder="1" applyAlignment="1">
      <alignment vertical="center" wrapText="1"/>
    </xf>
    <xf numFmtId="0" fontId="10" fillId="3" borderId="6" xfId="2" applyFill="1" applyBorder="1" applyAlignment="1">
      <alignment horizontal="center" vertical="center" wrapText="1"/>
    </xf>
    <xf numFmtId="165" fontId="10" fillId="5" borderId="4" xfId="2" applyNumberFormat="1" applyFill="1" applyBorder="1" applyAlignment="1">
      <alignment horizontal="center" vertical="center" wrapText="1"/>
    </xf>
    <xf numFmtId="165" fontId="10" fillId="3" borderId="4" xfId="2" applyNumberFormat="1" applyFill="1" applyBorder="1" applyAlignment="1">
      <alignment horizontal="center" vertical="center" wrapText="1"/>
    </xf>
    <xf numFmtId="0" fontId="10" fillId="3" borderId="20" xfId="2" applyFill="1" applyBorder="1" applyAlignment="1">
      <alignment horizontal="center" vertical="center" wrapText="1"/>
    </xf>
    <xf numFmtId="0" fontId="6" fillId="3" borderId="4" xfId="2" applyFont="1" applyFill="1" applyBorder="1" applyAlignment="1">
      <alignment vertical="center" wrapText="1"/>
    </xf>
    <xf numFmtId="0" fontId="10" fillId="6" borderId="6" xfId="2" applyFill="1" applyBorder="1" applyAlignment="1">
      <alignment horizontal="center" vertical="center" wrapText="1"/>
    </xf>
    <xf numFmtId="0" fontId="10" fillId="6" borderId="1" xfId="2" applyFill="1" applyBorder="1" applyAlignment="1">
      <alignment horizontal="center" vertical="center" wrapText="1"/>
    </xf>
    <xf numFmtId="0" fontId="6" fillId="6" borderId="17" xfId="2" applyFont="1" applyFill="1" applyBorder="1" applyAlignment="1">
      <alignment horizontal="center" vertical="center" wrapText="1"/>
    </xf>
    <xf numFmtId="0" fontId="10" fillId="6" borderId="4" xfId="2" applyFill="1" applyBorder="1" applyAlignment="1">
      <alignment vertical="center" wrapText="1"/>
    </xf>
    <xf numFmtId="165" fontId="10" fillId="6" borderId="4" xfId="2" applyNumberFormat="1" applyFill="1" applyBorder="1" applyAlignment="1">
      <alignment horizontal="center" vertical="center" wrapText="1"/>
    </xf>
    <xf numFmtId="22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2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 wrapText="1"/>
    </xf>
    <xf numFmtId="0" fontId="7" fillId="4" borderId="21" xfId="0" applyFont="1" applyFill="1" applyBorder="1" applyAlignment="1">
      <alignment horizontal="center" vertical="center" wrapText="1"/>
    </xf>
    <xf numFmtId="14" fontId="7" fillId="4" borderId="17" xfId="0" applyNumberFormat="1" applyFont="1" applyFill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0" fontId="5" fillId="6" borderId="1" xfId="2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164" fontId="13" fillId="0" borderId="7" xfId="0" applyNumberFormat="1" applyFont="1" applyBorder="1" applyAlignment="1">
      <alignment horizontal="center" vertical="center" wrapText="1"/>
    </xf>
    <xf numFmtId="0" fontId="10" fillId="3" borderId="3" xfId="2" applyFill="1" applyBorder="1" applyAlignment="1">
      <alignment vertical="center" wrapText="1"/>
    </xf>
    <xf numFmtId="165" fontId="10" fillId="3" borderId="25" xfId="2" applyNumberFormat="1" applyFill="1" applyBorder="1" applyAlignment="1">
      <alignment horizontal="center" vertical="center" wrapText="1"/>
    </xf>
    <xf numFmtId="0" fontId="10" fillId="4" borderId="26" xfId="2" applyFill="1" applyBorder="1" applyAlignment="1">
      <alignment wrapText="1"/>
    </xf>
    <xf numFmtId="0" fontId="10" fillId="4" borderId="27" xfId="2" applyFill="1" applyBorder="1" applyAlignment="1">
      <alignment wrapText="1"/>
    </xf>
    <xf numFmtId="0" fontId="14" fillId="4" borderId="27" xfId="2" applyFont="1" applyFill="1" applyBorder="1" applyAlignment="1">
      <alignment horizontal="center" vertical="center" wrapText="1"/>
    </xf>
    <xf numFmtId="0" fontId="10" fillId="5" borderId="1" xfId="2" applyFill="1" applyBorder="1" applyAlignment="1">
      <alignment vertical="center" wrapText="1"/>
    </xf>
    <xf numFmtId="165" fontId="10" fillId="5" borderId="1" xfId="2" applyNumberFormat="1" applyFill="1" applyBorder="1" applyAlignment="1">
      <alignment horizontal="center" vertical="center" wrapText="1"/>
    </xf>
    <xf numFmtId="0" fontId="10" fillId="5" borderId="5" xfId="2" applyFill="1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 vertical="center" wrapText="1"/>
    </xf>
    <xf numFmtId="0" fontId="10" fillId="5" borderId="10" xfId="2" applyFill="1" applyBorder="1" applyAlignment="1">
      <alignment horizontal="center" vertical="center" wrapText="1"/>
    </xf>
    <xf numFmtId="0" fontId="10" fillId="5" borderId="10" xfId="2" applyFill="1" applyBorder="1" applyAlignment="1">
      <alignment vertical="center" wrapText="1"/>
    </xf>
    <xf numFmtId="165" fontId="10" fillId="5" borderId="10" xfId="2" applyNumberFormat="1" applyFill="1" applyBorder="1" applyAlignment="1">
      <alignment horizontal="center" vertical="center" wrapText="1"/>
    </xf>
    <xf numFmtId="0" fontId="10" fillId="5" borderId="8" xfId="2" applyFill="1" applyBorder="1" applyAlignment="1">
      <alignment horizontal="center" vertical="center" wrapText="1"/>
    </xf>
    <xf numFmtId="0" fontId="10" fillId="5" borderId="11" xfId="2" applyFill="1" applyBorder="1" applyAlignment="1">
      <alignment horizontal="center" vertical="center" wrapText="1"/>
    </xf>
    <xf numFmtId="0" fontId="10" fillId="5" borderId="11" xfId="2" applyFill="1" applyBorder="1" applyAlignment="1">
      <alignment vertical="center" wrapText="1"/>
    </xf>
    <xf numFmtId="165" fontId="10" fillId="5" borderId="11" xfId="2" applyNumberFormat="1" applyFill="1" applyBorder="1" applyAlignment="1">
      <alignment horizontal="center" vertical="center" wrapText="1"/>
    </xf>
    <xf numFmtId="166" fontId="0" fillId="0" borderId="1" xfId="4" applyNumberFormat="1" applyFont="1" applyBorder="1" applyAlignment="1">
      <alignment wrapText="1"/>
    </xf>
    <xf numFmtId="165" fontId="11" fillId="0" borderId="24" xfId="2" applyNumberFormat="1" applyFont="1" applyBorder="1" applyAlignment="1">
      <alignment horizontal="center" vertical="center" wrapText="1"/>
    </xf>
    <xf numFmtId="0" fontId="10" fillId="5" borderId="1" xfId="2" applyFill="1" applyBorder="1" applyAlignment="1">
      <alignment horizontal="center" vertical="center" wrapText="1"/>
    </xf>
    <xf numFmtId="9" fontId="0" fillId="0" borderId="0" xfId="0" applyNumberFormat="1" applyAlignment="1">
      <alignment wrapText="1"/>
    </xf>
    <xf numFmtId="0" fontId="0" fillId="0" borderId="0" xfId="0" quotePrefix="1"/>
    <xf numFmtId="0" fontId="10" fillId="3" borderId="3" xfId="2" applyFill="1" applyBorder="1" applyAlignment="1">
      <alignment horizontal="center" vertical="center" wrapText="1"/>
    </xf>
    <xf numFmtId="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right" wrapText="1"/>
    </xf>
    <xf numFmtId="4" fontId="3" fillId="6" borderId="4" xfId="2" applyNumberFormat="1" applyFont="1" applyFill="1" applyBorder="1" applyAlignment="1">
      <alignment horizontal="center" vertical="center" wrapText="1"/>
    </xf>
    <xf numFmtId="4" fontId="10" fillId="6" borderId="4" xfId="2" applyNumberFormat="1" applyFill="1" applyBorder="1" applyAlignment="1">
      <alignment horizontal="center" vertical="center" wrapText="1"/>
    </xf>
    <xf numFmtId="4" fontId="10" fillId="5" borderId="4" xfId="2" applyNumberFormat="1" applyFill="1" applyBorder="1" applyAlignment="1">
      <alignment horizontal="center" vertical="center" wrapText="1"/>
    </xf>
    <xf numFmtId="0" fontId="10" fillId="5" borderId="4" xfId="2" quotePrefix="1" applyFill="1" applyBorder="1" applyAlignment="1">
      <alignment horizontal="center" vertical="center" wrapText="1"/>
    </xf>
    <xf numFmtId="4" fontId="10" fillId="5" borderId="12" xfId="2" applyNumberFormat="1" applyFill="1" applyBorder="1" applyAlignment="1">
      <alignment horizontal="center" vertical="center" wrapText="1"/>
    </xf>
    <xf numFmtId="4" fontId="10" fillId="5" borderId="13" xfId="2" applyNumberFormat="1" applyFill="1" applyBorder="1" applyAlignment="1">
      <alignment horizontal="center" vertical="center" wrapText="1"/>
    </xf>
    <xf numFmtId="0" fontId="10" fillId="3" borderId="4" xfId="2" quotePrefix="1" applyFill="1" applyBorder="1" applyAlignment="1">
      <alignment horizontal="center" vertical="center" wrapText="1"/>
    </xf>
    <xf numFmtId="10" fontId="10" fillId="3" borderId="25" xfId="2" quotePrefix="1" applyNumberFormat="1" applyFill="1" applyBorder="1" applyAlignment="1">
      <alignment horizontal="center" vertical="center" wrapText="1"/>
    </xf>
    <xf numFmtId="2" fontId="11" fillId="0" borderId="28" xfId="2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wrapText="1"/>
    </xf>
    <xf numFmtId="9" fontId="3" fillId="3" borderId="4" xfId="4" quotePrefix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8" fillId="0" borderId="0" xfId="5" applyAlignment="1">
      <alignment wrapText="1"/>
    </xf>
    <xf numFmtId="0" fontId="16" fillId="0" borderId="0" xfId="5" applyFont="1" applyAlignment="1">
      <alignment wrapText="1"/>
    </xf>
    <xf numFmtId="4" fontId="16" fillId="0" borderId="0" xfId="5" applyNumberFormat="1" applyFont="1" applyAlignment="1">
      <alignment wrapText="1"/>
    </xf>
    <xf numFmtId="0" fontId="17" fillId="0" borderId="0" xfId="6" applyAlignment="1" applyProtection="1">
      <alignment wrapText="1"/>
    </xf>
    <xf numFmtId="3" fontId="18" fillId="0" borderId="0" xfId="5" applyNumberFormat="1" applyFont="1" applyAlignment="1">
      <alignment horizontal="right" wrapText="1"/>
    </xf>
    <xf numFmtId="0" fontId="8" fillId="0" borderId="0" xfId="5" applyAlignment="1">
      <alignment vertical="center" wrapText="1"/>
    </xf>
    <xf numFmtId="4" fontId="19" fillId="0" borderId="1" xfId="5" applyNumberFormat="1" applyFont="1" applyBorder="1" applyAlignment="1">
      <alignment horizontal="center" vertical="center" wrapText="1"/>
    </xf>
    <xf numFmtId="3" fontId="20" fillId="0" borderId="1" xfId="5" applyNumberFormat="1" applyFont="1" applyBorder="1" applyAlignment="1">
      <alignment horizontal="center" vertical="center" wrapText="1"/>
    </xf>
    <xf numFmtId="167" fontId="18" fillId="0" borderId="1" xfId="5" applyNumberFormat="1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4" fontId="18" fillId="0" borderId="1" xfId="5" applyNumberFormat="1" applyFont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vertical="center" wrapText="1"/>
    </xf>
    <xf numFmtId="3" fontId="18" fillId="0" borderId="29" xfId="5" applyNumberFormat="1" applyFont="1" applyBorder="1" applyAlignment="1">
      <alignment horizontal="right" vertical="center" wrapText="1"/>
    </xf>
    <xf numFmtId="0" fontId="8" fillId="0" borderId="1" xfId="5" applyBorder="1" applyAlignment="1">
      <alignment vertical="center" wrapText="1"/>
    </xf>
    <xf numFmtId="3" fontId="19" fillId="0" borderId="1" xfId="5" applyNumberFormat="1" applyFont="1" applyBorder="1" applyAlignment="1">
      <alignment horizontal="center" vertical="center" wrapText="1"/>
    </xf>
    <xf numFmtId="3" fontId="16" fillId="0" borderId="1" xfId="5" applyNumberFormat="1" applyFont="1" applyBorder="1" applyAlignment="1">
      <alignment vertical="center" wrapText="1"/>
    </xf>
    <xf numFmtId="3" fontId="16" fillId="0" borderId="1" xfId="5" applyNumberFormat="1" applyFont="1" applyBorder="1" applyAlignment="1">
      <alignment horizontal="center" vertical="center" wrapText="1"/>
    </xf>
    <xf numFmtId="167" fontId="20" fillId="0" borderId="1" xfId="5" applyNumberFormat="1" applyFont="1" applyBorder="1" applyAlignment="1">
      <alignment horizontal="center" vertical="center" wrapText="1"/>
    </xf>
    <xf numFmtId="3" fontId="8" fillId="0" borderId="4" xfId="5" applyNumberFormat="1" applyBorder="1" applyAlignment="1">
      <alignment horizontal="right" vertical="center" wrapText="1"/>
    </xf>
    <xf numFmtId="3" fontId="8" fillId="0" borderId="1" xfId="5" applyNumberFormat="1" applyBorder="1" applyAlignment="1">
      <alignment horizontal="left" vertical="center" wrapText="1"/>
    </xf>
    <xf numFmtId="3" fontId="8" fillId="0" borderId="1" xfId="5" applyNumberFormat="1" applyBorder="1" applyAlignment="1">
      <alignment horizontal="right" vertical="center" wrapText="1"/>
    </xf>
    <xf numFmtId="0" fontId="18" fillId="0" borderId="1" xfId="5" applyFont="1" applyBorder="1" applyAlignment="1">
      <alignment horizontal="right" vertical="center" wrapText="1"/>
    </xf>
    <xf numFmtId="0" fontId="18" fillId="0" borderId="1" xfId="5" applyFont="1" applyBorder="1" applyAlignment="1">
      <alignment horizontal="left" vertical="center" wrapText="1"/>
    </xf>
    <xf numFmtId="0" fontId="8" fillId="7" borderId="1" xfId="5" applyFill="1" applyBorder="1" applyAlignment="1">
      <alignment horizontal="center" vertical="center" wrapText="1"/>
    </xf>
    <xf numFmtId="0" fontId="8" fillId="0" borderId="32" xfId="5" applyBorder="1" applyAlignment="1">
      <alignment vertical="center"/>
    </xf>
    <xf numFmtId="0" fontId="13" fillId="8" borderId="1" xfId="5" applyFont="1" applyFill="1" applyBorder="1" applyAlignment="1">
      <alignment vertical="center" wrapText="1"/>
    </xf>
    <xf numFmtId="0" fontId="21" fillId="8" borderId="1" xfId="5" applyFont="1" applyFill="1" applyBorder="1" applyAlignment="1">
      <alignment vertical="center" wrapText="1"/>
    </xf>
    <xf numFmtId="3" fontId="21" fillId="8" borderId="1" xfId="5" applyNumberFormat="1" applyFont="1" applyFill="1" applyBorder="1" applyAlignment="1">
      <alignment vertical="center" wrapText="1"/>
    </xf>
    <xf numFmtId="0" fontId="2" fillId="3" borderId="1" xfId="7" applyFill="1" applyBorder="1" applyAlignment="1">
      <alignment vertical="center" wrapText="1"/>
    </xf>
    <xf numFmtId="3" fontId="7" fillId="8" borderId="1" xfId="5" applyNumberFormat="1" applyFont="1" applyFill="1" applyBorder="1" applyAlignment="1">
      <alignment vertical="center" wrapText="1"/>
    </xf>
    <xf numFmtId="3" fontId="8" fillId="8" borderId="1" xfId="5" applyNumberFormat="1" applyFill="1" applyBorder="1" applyAlignment="1">
      <alignment vertical="center" wrapText="1"/>
    </xf>
    <xf numFmtId="3" fontId="8" fillId="8" borderId="33" xfId="5" applyNumberFormat="1" applyFill="1" applyBorder="1" applyAlignment="1">
      <alignment horizontal="right" vertical="center" wrapText="1"/>
    </xf>
    <xf numFmtId="3" fontId="8" fillId="8" borderId="33" xfId="5" applyNumberFormat="1" applyFill="1" applyBorder="1" applyAlignment="1">
      <alignment vertical="center" wrapText="1"/>
    </xf>
    <xf numFmtId="0" fontId="7" fillId="8" borderId="33" xfId="5" applyFont="1" applyFill="1" applyBorder="1" applyAlignment="1">
      <alignment vertical="center" wrapText="1"/>
    </xf>
    <xf numFmtId="0" fontId="7" fillId="8" borderId="33" xfId="5" applyFont="1" applyFill="1" applyBorder="1" applyAlignment="1">
      <alignment horizontal="center" vertical="center" wrapText="1"/>
    </xf>
    <xf numFmtId="0" fontId="7" fillId="8" borderId="34" xfId="5" applyFont="1" applyFill="1" applyBorder="1" applyAlignment="1">
      <alignment horizontal="center" vertical="center" wrapText="1"/>
    </xf>
    <xf numFmtId="4" fontId="19" fillId="0" borderId="0" xfId="5" applyNumberFormat="1" applyFont="1" applyAlignment="1">
      <alignment horizontal="center" vertical="center" wrapText="1"/>
    </xf>
    <xf numFmtId="3" fontId="19" fillId="0" borderId="0" xfId="5" applyNumberFormat="1" applyFont="1" applyAlignment="1">
      <alignment horizontal="center" vertical="center" wrapText="1"/>
    </xf>
    <xf numFmtId="3" fontId="16" fillId="0" borderId="0" xfId="5" applyNumberFormat="1" applyFont="1" applyAlignment="1">
      <alignment horizontal="center" vertical="center" wrapText="1"/>
    </xf>
    <xf numFmtId="167" fontId="20" fillId="0" borderId="0" xfId="5" applyNumberFormat="1" applyFont="1" applyAlignment="1">
      <alignment horizontal="center" vertical="center" wrapText="1"/>
    </xf>
    <xf numFmtId="3" fontId="18" fillId="0" borderId="0" xfId="5" applyNumberFormat="1" applyFont="1" applyAlignment="1">
      <alignment horizontal="right" vertical="center" wrapText="1"/>
    </xf>
    <xf numFmtId="3" fontId="18" fillId="0" borderId="35" xfId="5" applyNumberFormat="1" applyFont="1" applyBorder="1" applyAlignment="1">
      <alignment horizontal="right" vertical="center" wrapText="1"/>
    </xf>
    <xf numFmtId="3" fontId="18" fillId="0" borderId="37" xfId="5" applyNumberFormat="1" applyFont="1" applyBorder="1" applyAlignment="1">
      <alignment horizontal="right" vertical="center" wrapText="1"/>
    </xf>
    <xf numFmtId="3" fontId="18" fillId="0" borderId="38" xfId="5" applyNumberFormat="1" applyFont="1" applyBorder="1" applyAlignment="1">
      <alignment horizontal="right" vertical="center" wrapText="1"/>
    </xf>
    <xf numFmtId="0" fontId="8" fillId="0" borderId="41" xfId="5" applyBorder="1" applyAlignment="1">
      <alignment horizontal="center" vertical="center" wrapText="1"/>
    </xf>
    <xf numFmtId="0" fontId="8" fillId="0" borderId="42" xfId="5" applyBorder="1" applyAlignment="1">
      <alignment vertical="center"/>
    </xf>
    <xf numFmtId="3" fontId="16" fillId="0" borderId="37" xfId="5" applyNumberFormat="1" applyFont="1" applyBorder="1" applyAlignment="1">
      <alignment horizontal="center" vertical="center" wrapText="1"/>
    </xf>
    <xf numFmtId="4" fontId="22" fillId="0" borderId="1" xfId="5" applyNumberFormat="1" applyFont="1" applyBorder="1" applyAlignment="1">
      <alignment horizontal="center" vertical="center" wrapText="1"/>
    </xf>
    <xf numFmtId="3" fontId="8" fillId="3" borderId="37" xfId="5" applyNumberFormat="1" applyFill="1" applyBorder="1" applyAlignment="1">
      <alignment horizontal="center" wrapText="1"/>
    </xf>
    <xf numFmtId="3" fontId="8" fillId="3" borderId="1" xfId="5" applyNumberFormat="1" applyFill="1" applyBorder="1" applyAlignment="1">
      <alignment horizontal="right" wrapText="1"/>
    </xf>
    <xf numFmtId="0" fontId="8" fillId="7" borderId="43" xfId="5" applyFill="1" applyBorder="1" applyAlignment="1">
      <alignment horizontal="center" vertical="center" wrapText="1"/>
    </xf>
    <xf numFmtId="0" fontId="8" fillId="0" borderId="18" xfId="5" applyBorder="1"/>
    <xf numFmtId="0" fontId="8" fillId="0" borderId="1" xfId="5" applyBorder="1" applyAlignment="1">
      <alignment wrapText="1"/>
    </xf>
    <xf numFmtId="0" fontId="8" fillId="0" borderId="37" xfId="5" applyBorder="1" applyAlignment="1">
      <alignment wrapText="1"/>
    </xf>
    <xf numFmtId="3" fontId="8" fillId="3" borderId="37" xfId="5" applyNumberFormat="1" applyFill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right" vertical="center" wrapText="1"/>
    </xf>
    <xf numFmtId="0" fontId="23" fillId="0" borderId="1" xfId="5" applyFont="1" applyBorder="1" applyAlignment="1">
      <alignment wrapText="1"/>
    </xf>
    <xf numFmtId="3" fontId="23" fillId="3" borderId="37" xfId="5" applyNumberFormat="1" applyFont="1" applyFill="1" applyBorder="1" applyAlignment="1">
      <alignment horizontal="center" wrapText="1"/>
    </xf>
    <xf numFmtId="3" fontId="8" fillId="3" borderId="7" xfId="5" applyNumberFormat="1" applyFill="1" applyBorder="1" applyAlignment="1">
      <alignment horizontal="right" vertical="center" wrapText="1"/>
    </xf>
    <xf numFmtId="0" fontId="8" fillId="0" borderId="20" xfId="5" applyBorder="1" applyAlignment="1">
      <alignment vertical="center"/>
    </xf>
    <xf numFmtId="0" fontId="13" fillId="8" borderId="0" xfId="5" applyFont="1" applyFill="1" applyAlignment="1">
      <alignment vertical="center" wrapText="1"/>
    </xf>
    <xf numFmtId="0" fontId="21" fillId="8" borderId="0" xfId="5" applyFont="1" applyFill="1" applyAlignment="1">
      <alignment vertical="center" wrapText="1"/>
    </xf>
    <xf numFmtId="3" fontId="21" fillId="8" borderId="0" xfId="5" applyNumberFormat="1" applyFont="1" applyFill="1" applyAlignment="1">
      <alignment vertical="center" wrapText="1"/>
    </xf>
    <xf numFmtId="0" fontId="2" fillId="3" borderId="0" xfId="7" applyFill="1" applyAlignment="1">
      <alignment vertical="center" wrapText="1"/>
    </xf>
    <xf numFmtId="3" fontId="7" fillId="8" borderId="0" xfId="5" applyNumberFormat="1" applyFont="1" applyFill="1" applyAlignment="1">
      <alignment vertical="center" wrapText="1"/>
    </xf>
    <xf numFmtId="3" fontId="8" fillId="8" borderId="0" xfId="5" applyNumberFormat="1" applyFill="1" applyAlignment="1">
      <alignment vertical="center" wrapText="1"/>
    </xf>
    <xf numFmtId="3" fontId="8" fillId="8" borderId="44" xfId="5" applyNumberFormat="1" applyFill="1" applyBorder="1" applyAlignment="1">
      <alignment horizontal="right" vertical="center" wrapText="1"/>
    </xf>
    <xf numFmtId="3" fontId="18" fillId="0" borderId="44" xfId="5" applyNumberFormat="1" applyFont="1" applyBorder="1" applyAlignment="1">
      <alignment horizontal="right" vertical="center" wrapText="1"/>
    </xf>
    <xf numFmtId="0" fontId="8" fillId="0" borderId="4" xfId="5" applyBorder="1" applyAlignment="1">
      <alignment horizontal="center" vertical="center" wrapText="1"/>
    </xf>
    <xf numFmtId="0" fontId="8" fillId="0" borderId="45" xfId="5" applyBorder="1" applyAlignment="1">
      <alignment vertical="center"/>
    </xf>
    <xf numFmtId="3" fontId="25" fillId="0" borderId="0" xfId="5" applyNumberFormat="1" applyFont="1" applyAlignment="1">
      <alignment horizontal="center" vertical="center" wrapText="1"/>
    </xf>
    <xf numFmtId="167" fontId="20" fillId="0" borderId="4" xfId="5" applyNumberFormat="1" applyFont="1" applyBorder="1" applyAlignment="1">
      <alignment horizontal="center" vertical="center" wrapText="1"/>
    </xf>
    <xf numFmtId="3" fontId="8" fillId="3" borderId="33" xfId="5" applyNumberFormat="1" applyFill="1" applyBorder="1" applyAlignment="1">
      <alignment horizontal="center" wrapText="1"/>
    </xf>
    <xf numFmtId="0" fontId="8" fillId="0" borderId="0" xfId="5" applyAlignment="1">
      <alignment horizontal="center" vertical="center" wrapText="1"/>
    </xf>
    <xf numFmtId="0" fontId="13" fillId="8" borderId="1" xfId="5" applyFont="1" applyFill="1" applyBorder="1" applyAlignment="1">
      <alignment horizontal="center" vertical="center" wrapText="1"/>
    </xf>
    <xf numFmtId="0" fontId="7" fillId="8" borderId="0" xfId="5" applyFont="1" applyFill="1" applyAlignment="1">
      <alignment horizontal="center" vertical="center" wrapText="1"/>
    </xf>
    <xf numFmtId="0" fontId="7" fillId="8" borderId="46" xfId="5" applyFont="1" applyFill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wrapText="1"/>
    </xf>
    <xf numFmtId="0" fontId="8" fillId="0" borderId="47" xfId="5" applyBorder="1"/>
    <xf numFmtId="3" fontId="16" fillId="0" borderId="4" xfId="5" applyNumberFormat="1" applyFont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center" wrapText="1"/>
    </xf>
    <xf numFmtId="3" fontId="27" fillId="0" borderId="1" xfId="5" applyNumberFormat="1" applyFont="1" applyBorder="1" applyAlignment="1">
      <alignment horizontal="left" vertical="center" wrapText="1"/>
    </xf>
    <xf numFmtId="4" fontId="19" fillId="0" borderId="17" xfId="5" applyNumberFormat="1" applyFont="1" applyBorder="1" applyAlignment="1">
      <alignment horizontal="center" vertical="center" wrapText="1"/>
    </xf>
    <xf numFmtId="4" fontId="19" fillId="0" borderId="47" xfId="5" applyNumberFormat="1" applyFont="1" applyBorder="1" applyAlignment="1">
      <alignment horizontal="center" vertical="center" wrapText="1"/>
    </xf>
    <xf numFmtId="0" fontId="8" fillId="9" borderId="1" xfId="5" applyFill="1" applyBorder="1" applyAlignment="1">
      <alignment vertical="center" wrapText="1"/>
    </xf>
    <xf numFmtId="3" fontId="19" fillId="0" borderId="17" xfId="5" applyNumberFormat="1" applyFont="1" applyBorder="1" applyAlignment="1">
      <alignment horizontal="center" vertical="center" wrapText="1"/>
    </xf>
    <xf numFmtId="3" fontId="16" fillId="0" borderId="45" xfId="5" applyNumberFormat="1" applyFont="1" applyBorder="1" applyAlignment="1">
      <alignment horizontal="center" vertical="center" wrapText="1"/>
    </xf>
    <xf numFmtId="3" fontId="16" fillId="0" borderId="22" xfId="5" applyNumberFormat="1" applyFont="1" applyBorder="1" applyAlignment="1">
      <alignment horizontal="center" vertical="center" wrapText="1"/>
    </xf>
    <xf numFmtId="3" fontId="16" fillId="0" borderId="43" xfId="5" applyNumberFormat="1" applyFont="1" applyBorder="1" applyAlignment="1">
      <alignment horizontal="center" vertical="center" wrapText="1"/>
    </xf>
    <xf numFmtId="3" fontId="8" fillId="3" borderId="43" xfId="5" applyNumberFormat="1" applyFill="1" applyBorder="1" applyAlignment="1">
      <alignment horizontal="center" wrapText="1"/>
    </xf>
    <xf numFmtId="0" fontId="0" fillId="11" borderId="1" xfId="8" applyFont="1" applyFill="1" applyBorder="1" applyAlignment="1">
      <alignment horizontal="left" vertical="top" wrapText="1"/>
    </xf>
    <xf numFmtId="0" fontId="8" fillId="0" borderId="3" xfId="5" applyBorder="1"/>
    <xf numFmtId="0" fontId="21" fillId="8" borderId="0" xfId="5" applyFont="1" applyFill="1" applyAlignment="1">
      <alignment wrapText="1"/>
    </xf>
    <xf numFmtId="3" fontId="21" fillId="8" borderId="0" xfId="5" applyNumberFormat="1" applyFont="1" applyFill="1" applyAlignment="1">
      <alignment wrapText="1"/>
    </xf>
    <xf numFmtId="3" fontId="7" fillId="8" borderId="0" xfId="5" applyNumberFormat="1" applyFont="1" applyFill="1" applyAlignment="1">
      <alignment wrapText="1"/>
    </xf>
    <xf numFmtId="3" fontId="8" fillId="8" borderId="0" xfId="5" applyNumberFormat="1" applyFill="1" applyAlignment="1">
      <alignment wrapText="1"/>
    </xf>
    <xf numFmtId="3" fontId="8" fillId="8" borderId="33" xfId="5" applyNumberFormat="1" applyFill="1" applyBorder="1" applyAlignment="1">
      <alignment horizontal="right" wrapText="1"/>
    </xf>
    <xf numFmtId="3" fontId="8" fillId="8" borderId="33" xfId="5" applyNumberFormat="1" applyFill="1" applyBorder="1" applyAlignment="1">
      <alignment wrapText="1"/>
    </xf>
    <xf numFmtId="0" fontId="8" fillId="8" borderId="33" xfId="5" applyFill="1" applyBorder="1" applyAlignment="1">
      <alignment wrapText="1"/>
    </xf>
    <xf numFmtId="0" fontId="7" fillId="8" borderId="4" xfId="5" applyFont="1" applyFill="1" applyBorder="1" applyAlignment="1">
      <alignment horizontal="center" vertical="center" wrapText="1"/>
    </xf>
    <xf numFmtId="3" fontId="26" fillId="3" borderId="0" xfId="5" applyNumberFormat="1" applyFont="1" applyFill="1" applyAlignment="1">
      <alignment horizontal="right" wrapText="1"/>
    </xf>
    <xf numFmtId="3" fontId="18" fillId="0" borderId="33" xfId="5" applyNumberFormat="1" applyFont="1" applyBorder="1" applyAlignment="1">
      <alignment horizontal="right" wrapText="1"/>
    </xf>
    <xf numFmtId="0" fontId="8" fillId="0" borderId="45" xfId="5" applyBorder="1"/>
    <xf numFmtId="3" fontId="26" fillId="3" borderId="1" xfId="5" applyNumberFormat="1" applyFont="1" applyFill="1" applyBorder="1" applyAlignment="1">
      <alignment horizontal="left" vertical="center" wrapText="1"/>
    </xf>
    <xf numFmtId="0" fontId="7" fillId="0" borderId="1" xfId="8" applyFont="1" applyBorder="1" applyAlignment="1">
      <alignment horizontal="left" vertical="center" wrapText="1"/>
    </xf>
    <xf numFmtId="0" fontId="8" fillId="9" borderId="43" xfId="5" applyFill="1" applyBorder="1" applyAlignment="1">
      <alignment horizontal="center" vertical="center" wrapText="1"/>
    </xf>
    <xf numFmtId="0" fontId="8" fillId="0" borderId="20" xfId="5" applyBorder="1"/>
    <xf numFmtId="3" fontId="8" fillId="8" borderId="48" xfId="5" applyNumberFormat="1" applyFill="1" applyBorder="1" applyAlignment="1">
      <alignment wrapText="1"/>
    </xf>
    <xf numFmtId="3" fontId="8" fillId="8" borderId="44" xfId="5" applyNumberFormat="1" applyFill="1" applyBorder="1" applyAlignment="1">
      <alignment vertical="center" wrapText="1"/>
    </xf>
    <xf numFmtId="0" fontId="8" fillId="8" borderId="33" xfId="5" applyFill="1" applyBorder="1" applyAlignment="1">
      <alignment vertical="center" wrapText="1"/>
    </xf>
    <xf numFmtId="0" fontId="7" fillId="8" borderId="33" xfId="5" applyFont="1" applyFill="1" applyBorder="1" applyAlignment="1">
      <alignment vertical="center"/>
    </xf>
    <xf numFmtId="0" fontId="7" fillId="0" borderId="1" xfId="5" applyFont="1" applyBorder="1" applyAlignment="1">
      <alignment horizontal="center" vertical="center" wrapText="1"/>
    </xf>
    <xf numFmtId="4" fontId="28" fillId="0" borderId="1" xfId="5" applyNumberFormat="1" applyFont="1" applyBorder="1" applyAlignment="1">
      <alignment horizontal="center" vertical="center" wrapText="1"/>
    </xf>
    <xf numFmtId="0" fontId="7" fillId="0" borderId="37" xfId="5" applyFont="1" applyBorder="1" applyAlignment="1">
      <alignment horizontal="center" vertical="center" wrapText="1"/>
    </xf>
    <xf numFmtId="0" fontId="7" fillId="0" borderId="2" xfId="5" applyFont="1" applyBorder="1" applyAlignment="1">
      <alignment horizontal="center" vertical="center" wrapText="1"/>
    </xf>
    <xf numFmtId="0" fontId="7" fillId="0" borderId="10" xfId="5" applyFont="1" applyBorder="1" applyAlignment="1">
      <alignment horizontal="center" vertical="center" wrapText="1"/>
    </xf>
    <xf numFmtId="4" fontId="8" fillId="0" borderId="0" xfId="5" applyNumberFormat="1" applyAlignment="1">
      <alignment wrapText="1"/>
    </xf>
    <xf numFmtId="0" fontId="8" fillId="0" borderId="0" xfId="5" applyAlignment="1">
      <alignment horizontal="right" wrapText="1"/>
    </xf>
    <xf numFmtId="3" fontId="20" fillId="0" borderId="1" xfId="5" applyNumberFormat="1" applyFont="1" applyBorder="1" applyAlignment="1">
      <alignment horizontal="right" vertical="center" wrapText="1"/>
    </xf>
    <xf numFmtId="0" fontId="7" fillId="0" borderId="8" xfId="5" applyFont="1" applyBorder="1" applyAlignment="1">
      <alignment horizontal="right" wrapText="1"/>
    </xf>
    <xf numFmtId="14" fontId="8" fillId="0" borderId="0" xfId="5" applyNumberFormat="1" applyAlignment="1">
      <alignment horizontal="right" wrapText="1"/>
    </xf>
    <xf numFmtId="0" fontId="16" fillId="0" borderId="0" xfId="5" applyFont="1" applyAlignment="1">
      <alignment horizontal="centerContinuous" wrapText="1"/>
    </xf>
    <xf numFmtId="0" fontId="13" fillId="0" borderId="6" xfId="5" applyFont="1" applyBorder="1" applyAlignment="1">
      <alignment horizontal="right" wrapText="1"/>
    </xf>
    <xf numFmtId="9" fontId="29" fillId="0" borderId="0" xfId="9" applyFont="1" applyAlignment="1">
      <alignment wrapText="1"/>
    </xf>
    <xf numFmtId="3" fontId="8" fillId="0" borderId="0" xfId="5" applyNumberFormat="1" applyAlignment="1">
      <alignment horizontal="center" vertical="center" wrapText="1"/>
    </xf>
    <xf numFmtId="3" fontId="8" fillId="0" borderId="16" xfId="5" applyNumberFormat="1" applyBorder="1" applyAlignment="1">
      <alignment horizontal="center" vertical="center" wrapText="1"/>
    </xf>
    <xf numFmtId="0" fontId="8" fillId="0" borderId="51" xfId="5" applyBorder="1" applyAlignment="1">
      <alignment horizontal="right" vertical="center" wrapText="1"/>
    </xf>
    <xf numFmtId="0" fontId="13" fillId="0" borderId="5" xfId="5" applyFont="1" applyBorder="1" applyAlignment="1">
      <alignment horizontal="right" wrapText="1"/>
    </xf>
    <xf numFmtId="164" fontId="13" fillId="0" borderId="2" xfId="5" applyNumberFormat="1" applyFont="1" applyBorder="1" applyAlignment="1">
      <alignment wrapText="1"/>
    </xf>
    <xf numFmtId="9" fontId="30" fillId="0" borderId="12" xfId="5" applyNumberFormat="1" applyFont="1" applyBorder="1" applyAlignment="1">
      <alignment wrapText="1"/>
    </xf>
    <xf numFmtId="0" fontId="8" fillId="0" borderId="52" xfId="5" applyBorder="1" applyAlignment="1">
      <alignment horizontal="right" wrapText="1"/>
    </xf>
    <xf numFmtId="0" fontId="8" fillId="0" borderId="51" xfId="5" applyBorder="1" applyAlignment="1">
      <alignment horizontal="right" wrapText="1"/>
    </xf>
    <xf numFmtId="0" fontId="33" fillId="0" borderId="0" xfId="10" applyAlignment="1" applyProtection="1"/>
    <xf numFmtId="0" fontId="33" fillId="0" borderId="0" xfId="10" applyAlignment="1">
      <alignment wrapText="1"/>
    </xf>
    <xf numFmtId="3" fontId="33" fillId="0" borderId="1" xfId="10" applyNumberFormat="1" applyBorder="1" applyAlignment="1">
      <alignment horizontal="center" vertical="center" wrapText="1"/>
    </xf>
    <xf numFmtId="3" fontId="34" fillId="3" borderId="1" xfId="5" applyNumberFormat="1" applyFont="1" applyFill="1" applyBorder="1" applyAlignment="1">
      <alignment horizontal="center" wrapText="1"/>
    </xf>
    <xf numFmtId="3" fontId="35" fillId="0" borderId="0" xfId="5" applyNumberFormat="1" applyFont="1" applyAlignment="1">
      <alignment horizontal="center" vertical="center" wrapText="1"/>
    </xf>
    <xf numFmtId="0" fontId="0" fillId="0" borderId="0" xfId="5" applyFont="1" applyAlignment="1">
      <alignment wrapText="1"/>
    </xf>
    <xf numFmtId="0" fontId="33" fillId="0" borderId="1" xfId="10" applyBorder="1" applyAlignment="1">
      <alignment wrapText="1"/>
    </xf>
    <xf numFmtId="0" fontId="24" fillId="0" borderId="1" xfId="5" applyFont="1" applyBorder="1" applyAlignment="1">
      <alignment horizontal="left" wrapText="1"/>
    </xf>
    <xf numFmtId="0" fontId="8" fillId="3" borderId="1" xfId="5" applyFill="1" applyBorder="1" applyAlignment="1">
      <alignment horizontal="left" wrapText="1"/>
    </xf>
    <xf numFmtId="0" fontId="24" fillId="3" borderId="1" xfId="5" applyFont="1" applyFill="1" applyBorder="1" applyAlignment="1">
      <alignment horizontal="left" wrapText="1"/>
    </xf>
    <xf numFmtId="0" fontId="8" fillId="3" borderId="17" xfId="5" applyFill="1" applyBorder="1" applyAlignment="1">
      <alignment horizontal="left" wrapText="1"/>
    </xf>
    <xf numFmtId="0" fontId="8" fillId="0" borderId="1" xfId="5" applyBorder="1" applyAlignment="1">
      <alignment horizontal="left" vertical="center" wrapText="1"/>
    </xf>
    <xf numFmtId="0" fontId="8" fillId="0" borderId="3" xfId="5" applyBorder="1" applyAlignment="1">
      <alignment horizontal="left" wrapText="1"/>
    </xf>
    <xf numFmtId="0" fontId="0" fillId="3" borderId="1" xfId="5" applyFont="1" applyFill="1" applyBorder="1" applyAlignment="1">
      <alignment vertical="center" wrapText="1"/>
    </xf>
    <xf numFmtId="3" fontId="16" fillId="0" borderId="37" xfId="5" applyNumberFormat="1" applyFont="1" applyBorder="1" applyAlignment="1">
      <alignment horizontal="left" vertical="center" wrapText="1"/>
    </xf>
    <xf numFmtId="3" fontId="16" fillId="0" borderId="1" xfId="5" applyNumberFormat="1" applyFont="1" applyBorder="1" applyAlignment="1">
      <alignment horizontal="left" vertical="center" wrapText="1"/>
    </xf>
    <xf numFmtId="3" fontId="19" fillId="0" borderId="1" xfId="5" applyNumberFormat="1" applyFont="1" applyBorder="1" applyAlignment="1">
      <alignment horizontal="left" vertical="center" wrapText="1"/>
    </xf>
    <xf numFmtId="3" fontId="26" fillId="10" borderId="1" xfId="5" applyNumberFormat="1" applyFont="1" applyFill="1" applyBorder="1" applyAlignment="1">
      <alignment horizontal="left" vertical="center" wrapText="1"/>
    </xf>
    <xf numFmtId="3" fontId="8" fillId="10" borderId="1" xfId="5" applyNumberFormat="1" applyFill="1" applyBorder="1" applyAlignment="1">
      <alignment horizontal="left" vertical="center"/>
    </xf>
    <xf numFmtId="0" fontId="8" fillId="10" borderId="1" xfId="5" applyFill="1" applyBorder="1" applyAlignment="1">
      <alignment horizontal="left" vertical="center"/>
    </xf>
    <xf numFmtId="0" fontId="18" fillId="0" borderId="33" xfId="5" applyFont="1" applyBorder="1" applyAlignment="1">
      <alignment horizontal="right" vertical="center" wrapText="1"/>
    </xf>
    <xf numFmtId="168" fontId="8" fillId="0" borderId="1" xfId="5" applyNumberFormat="1" applyBorder="1" applyAlignment="1">
      <alignment horizontal="right" vertical="center" wrapText="1"/>
    </xf>
    <xf numFmtId="0" fontId="8" fillId="10" borderId="1" xfId="5" applyFill="1" applyBorder="1" applyAlignment="1">
      <alignment horizontal="left" wrapText="1"/>
    </xf>
    <xf numFmtId="0" fontId="8" fillId="0" borderId="54" xfId="5" applyBorder="1" applyAlignment="1">
      <alignment vertical="center"/>
    </xf>
    <xf numFmtId="0" fontId="8" fillId="0" borderId="54" xfId="5" applyBorder="1"/>
    <xf numFmtId="0" fontId="8" fillId="0" borderId="33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vertical="center" wrapText="1"/>
    </xf>
    <xf numFmtId="0" fontId="8" fillId="9" borderId="48" xfId="5" applyFill="1" applyBorder="1" applyAlignment="1">
      <alignment horizontal="center" vertical="center" wrapText="1"/>
    </xf>
    <xf numFmtId="0" fontId="8" fillId="0" borderId="0" xfId="5"/>
    <xf numFmtId="3" fontId="26" fillId="3" borderId="0" xfId="5" applyNumberFormat="1" applyFont="1" applyFill="1" applyAlignment="1">
      <alignment horizontal="left" vertical="center" wrapText="1"/>
    </xf>
    <xf numFmtId="0" fontId="8" fillId="9" borderId="0" xfId="5" applyFill="1" applyAlignment="1">
      <alignment vertical="center" wrapText="1"/>
    </xf>
    <xf numFmtId="0" fontId="8" fillId="3" borderId="0" xfId="5" applyFill="1" applyAlignment="1">
      <alignment horizontal="left" wrapText="1"/>
    </xf>
    <xf numFmtId="3" fontId="8" fillId="0" borderId="0" xfId="5" applyNumberFormat="1" applyAlignment="1">
      <alignment horizontal="left" vertical="center" wrapText="1"/>
    </xf>
    <xf numFmtId="3" fontId="8" fillId="3" borderId="0" xfId="5" applyNumberFormat="1" applyFill="1" applyAlignment="1">
      <alignment horizontal="center" wrapText="1"/>
    </xf>
    <xf numFmtId="0" fontId="0" fillId="9" borderId="1" xfId="5" applyFont="1" applyFill="1" applyBorder="1" applyAlignment="1">
      <alignment vertical="center" wrapText="1"/>
    </xf>
    <xf numFmtId="0" fontId="8" fillId="9" borderId="1" xfId="5" applyFill="1" applyBorder="1" applyAlignment="1">
      <alignment horizontal="center" vertical="center" wrapText="1"/>
    </xf>
    <xf numFmtId="0" fontId="33" fillId="0" borderId="33" xfId="10" applyBorder="1" applyAlignment="1">
      <alignment horizontal="left" vertical="center" wrapText="1"/>
    </xf>
    <xf numFmtId="0" fontId="8" fillId="0" borderId="55" xfId="5" applyBorder="1"/>
    <xf numFmtId="0" fontId="8" fillId="0" borderId="47" xfId="5" applyBorder="1" applyAlignment="1">
      <alignment horizontal="center" vertical="center" wrapText="1"/>
    </xf>
    <xf numFmtId="3" fontId="18" fillId="0" borderId="43" xfId="5" applyNumberFormat="1" applyFont="1" applyBorder="1" applyAlignment="1">
      <alignment horizontal="right" wrapText="1"/>
    </xf>
    <xf numFmtId="3" fontId="18" fillId="0" borderId="17" xfId="5" applyNumberFormat="1" applyFont="1" applyBorder="1" applyAlignment="1">
      <alignment horizontal="right" wrapText="1"/>
    </xf>
    <xf numFmtId="3" fontId="18" fillId="0" borderId="43" xfId="5" applyNumberFormat="1" applyFont="1" applyBorder="1" applyAlignment="1">
      <alignment horizontal="right" vertical="center" wrapText="1"/>
    </xf>
    <xf numFmtId="0" fontId="26" fillId="3" borderId="1" xfId="0" applyFont="1" applyFill="1" applyBorder="1" applyAlignment="1">
      <alignment horizontal="left" wrapText="1"/>
    </xf>
    <xf numFmtId="3" fontId="18" fillId="0" borderId="44" xfId="5" applyNumberFormat="1" applyFont="1" applyBorder="1" applyAlignment="1">
      <alignment horizontal="left" vertical="center" wrapText="1"/>
    </xf>
    <xf numFmtId="3" fontId="18" fillId="0" borderId="33" xfId="5" applyNumberFormat="1" applyFont="1" applyBorder="1" applyAlignment="1">
      <alignment horizontal="left" wrapText="1"/>
    </xf>
    <xf numFmtId="3" fontId="8" fillId="3" borderId="1" xfId="5" applyNumberFormat="1" applyFill="1" applyBorder="1" applyAlignment="1">
      <alignment horizontal="left" wrapText="1"/>
    </xf>
    <xf numFmtId="0" fontId="0" fillId="3" borderId="1" xfId="0" applyFill="1" applyBorder="1" applyAlignment="1">
      <alignment vertical="center" wrapText="1"/>
    </xf>
    <xf numFmtId="3" fontId="8" fillId="3" borderId="7" xfId="5" applyNumberFormat="1" applyFill="1" applyBorder="1" applyAlignment="1">
      <alignment horizontal="left" vertical="center" wrapText="1"/>
    </xf>
    <xf numFmtId="3" fontId="8" fillId="3" borderId="47" xfId="5" applyNumberFormat="1" applyFill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3" borderId="4" xfId="0" applyFill="1" applyBorder="1" applyAlignment="1">
      <alignment vertical="center" wrapText="1"/>
    </xf>
    <xf numFmtId="3" fontId="8" fillId="8" borderId="44" xfId="5" applyNumberFormat="1" applyFill="1" applyBorder="1" applyAlignment="1">
      <alignment horizontal="left" wrapText="1"/>
    </xf>
    <xf numFmtId="3" fontId="8" fillId="3" borderId="1" xfId="5" applyNumberFormat="1" applyFill="1" applyBorder="1" applyAlignment="1">
      <alignment horizontal="left" vertical="center" wrapText="1"/>
    </xf>
    <xf numFmtId="3" fontId="8" fillId="3" borderId="22" xfId="5" applyNumberFormat="1" applyFill="1" applyBorder="1" applyAlignment="1">
      <alignment horizontal="left" vertical="center" wrapText="1"/>
    </xf>
    <xf numFmtId="3" fontId="18" fillId="0" borderId="1" xfId="5" applyNumberFormat="1" applyFont="1" applyBorder="1" applyAlignment="1">
      <alignment horizontal="left" vertical="center" wrapText="1"/>
    </xf>
    <xf numFmtId="3" fontId="8" fillId="3" borderId="0" xfId="5" applyNumberFormat="1" applyFill="1" applyAlignment="1">
      <alignment horizontal="left" wrapText="1"/>
    </xf>
    <xf numFmtId="0" fontId="0" fillId="9" borderId="1" xfId="0" applyFill="1" applyBorder="1" applyAlignment="1">
      <alignment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17" xfId="5" applyBorder="1" applyAlignment="1">
      <alignment horizontal="left" wrapText="1"/>
    </xf>
    <xf numFmtId="3" fontId="29" fillId="0" borderId="1" xfId="5" applyNumberFormat="1" applyFont="1" applyBorder="1" applyAlignment="1">
      <alignment horizontal="center" vertical="center" wrapText="1"/>
    </xf>
    <xf numFmtId="3" fontId="8" fillId="10" borderId="1" xfId="5" applyNumberFormat="1" applyFill="1" applyBorder="1" applyAlignment="1">
      <alignment horizontal="left" vertical="center" wrapText="1"/>
    </xf>
    <xf numFmtId="0" fontId="33" fillId="8" borderId="0" xfId="10" applyFill="1" applyAlignment="1">
      <alignment vertical="center" wrapText="1"/>
    </xf>
    <xf numFmtId="0" fontId="0" fillId="3" borderId="1" xfId="0" applyFill="1" applyBorder="1" applyAlignment="1">
      <alignment horizontal="left" wrapText="1"/>
    </xf>
    <xf numFmtId="0" fontId="8" fillId="3" borderId="1" xfId="5" applyFill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8" fillId="0" borderId="1" xfId="5" applyBorder="1" applyAlignment="1">
      <alignment horizontal="left" wrapText="1"/>
    </xf>
    <xf numFmtId="0" fontId="8" fillId="10" borderId="1" xfId="5" applyFill="1" applyBorder="1" applyAlignment="1">
      <alignment horizontal="left" vertical="center" wrapText="1"/>
    </xf>
    <xf numFmtId="3" fontId="8" fillId="0" borderId="37" xfId="5" applyNumberFormat="1" applyBorder="1" applyAlignment="1">
      <alignment horizontal="center" wrapText="1"/>
    </xf>
    <xf numFmtId="0" fontId="16" fillId="0" borderId="1" xfId="5" applyFont="1" applyBorder="1" applyAlignment="1">
      <alignment wrapText="1"/>
    </xf>
    <xf numFmtId="4" fontId="29" fillId="0" borderId="1" xfId="5" applyNumberFormat="1" applyFont="1" applyBorder="1" applyAlignment="1">
      <alignment horizontal="center" vertical="center" wrapText="1"/>
    </xf>
    <xf numFmtId="0" fontId="18" fillId="0" borderId="48" xfId="5" applyFont="1" applyBorder="1" applyAlignment="1">
      <alignment horizontal="right" wrapText="1"/>
    </xf>
    <xf numFmtId="0" fontId="8" fillId="0" borderId="48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wrapText="1"/>
    </xf>
    <xf numFmtId="0" fontId="8" fillId="0" borderId="48" xfId="5" applyBorder="1"/>
    <xf numFmtId="0" fontId="0" fillId="0" borderId="48" xfId="0" applyBorder="1" applyAlignment="1">
      <alignment horizontal="left" wrapText="1"/>
    </xf>
    <xf numFmtId="0" fontId="7" fillId="8" borderId="33" xfId="5" applyFont="1" applyFill="1" applyBorder="1" applyAlignment="1">
      <alignment horizontal="left" vertical="center" wrapText="1"/>
    </xf>
    <xf numFmtId="0" fontId="24" fillId="3" borderId="37" xfId="5" applyFont="1" applyFill="1" applyBorder="1" applyAlignment="1">
      <alignment horizontal="left" wrapText="1"/>
    </xf>
    <xf numFmtId="0" fontId="8" fillId="0" borderId="37" xfId="5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0" fillId="12" borderId="1" xfId="1" applyFont="1" applyFill="1" applyBorder="1" applyAlignment="1" applyProtection="1">
      <alignment horizontal="left" vertical="center" wrapText="1"/>
    </xf>
    <xf numFmtId="0" fontId="0" fillId="12" borderId="1" xfId="1" quotePrefix="1" applyFont="1" applyFill="1" applyBorder="1" applyAlignment="1" applyProtection="1">
      <alignment horizontal="left" vertical="center" wrapText="1"/>
    </xf>
    <xf numFmtId="0" fontId="0" fillId="12" borderId="1" xfId="3" applyFont="1" applyFill="1" applyBorder="1" applyAlignment="1">
      <alignment horizontal="left" vertical="center" wrapText="1"/>
    </xf>
    <xf numFmtId="0" fontId="0" fillId="12" borderId="1" xfId="3" quotePrefix="1" applyFont="1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wrapText="1"/>
    </xf>
    <xf numFmtId="0" fontId="0" fillId="3" borderId="17" xfId="5" applyFont="1" applyFill="1" applyBorder="1" applyAlignment="1">
      <alignment vertical="center" wrapText="1"/>
    </xf>
    <xf numFmtId="0" fontId="8" fillId="3" borderId="43" xfId="5" applyFill="1" applyBorder="1" applyAlignment="1">
      <alignment horizontal="left" vertical="center" wrapText="1"/>
    </xf>
    <xf numFmtId="0" fontId="8" fillId="3" borderId="56" xfId="5" applyFill="1" applyBorder="1" applyAlignment="1">
      <alignment horizontal="left" vertical="center" wrapText="1"/>
    </xf>
    <xf numFmtId="0" fontId="8" fillId="0" borderId="0" xfId="5" applyAlignment="1">
      <alignment horizontal="right" vertical="center" wrapText="1"/>
    </xf>
    <xf numFmtId="0" fontId="13" fillId="0" borderId="20" xfId="5" applyFont="1" applyBorder="1" applyAlignment="1">
      <alignment horizontal="right" wrapText="1"/>
    </xf>
    <xf numFmtId="0" fontId="44" fillId="0" borderId="0" xfId="5" applyFont="1" applyAlignment="1">
      <alignment horizontal="right" wrapText="1"/>
    </xf>
    <xf numFmtId="0" fontId="44" fillId="0" borderId="1" xfId="5" applyFont="1" applyBorder="1" applyAlignment="1">
      <alignment horizontal="right" wrapText="1"/>
    </xf>
    <xf numFmtId="4" fontId="8" fillId="3" borderId="37" xfId="5" applyNumberFormat="1" applyFill="1" applyBorder="1" applyAlignment="1">
      <alignment horizontal="center" vertical="center" wrapText="1"/>
    </xf>
    <xf numFmtId="0" fontId="8" fillId="0" borderId="0" xfId="5" applyAlignment="1">
      <alignment vertical="center"/>
    </xf>
    <xf numFmtId="49" fontId="0" fillId="7" borderId="1" xfId="5" applyNumberFormat="1" applyFont="1" applyFill="1" applyBorder="1" applyAlignment="1">
      <alignment horizontal="center" vertical="center" wrapText="1"/>
    </xf>
    <xf numFmtId="0" fontId="33" fillId="0" borderId="0" xfId="10" applyAlignment="1"/>
    <xf numFmtId="0" fontId="10" fillId="5" borderId="3" xfId="2" applyFill="1" applyBorder="1" applyAlignment="1">
      <alignment horizontal="center" vertical="center" wrapText="1"/>
    </xf>
    <xf numFmtId="0" fontId="10" fillId="5" borderId="18" xfId="2" applyFill="1" applyBorder="1" applyAlignment="1">
      <alignment horizontal="center" vertical="center" wrapText="1"/>
    </xf>
    <xf numFmtId="0" fontId="10" fillId="5" borderId="17" xfId="2" applyFill="1" applyBorder="1" applyAlignment="1">
      <alignment horizontal="center" vertical="center" wrapText="1"/>
    </xf>
    <xf numFmtId="0" fontId="12" fillId="0" borderId="23" xfId="2" applyFont="1" applyBorder="1" applyAlignment="1">
      <alignment horizontal="right" wrapText="1"/>
    </xf>
    <xf numFmtId="0" fontId="12" fillId="0" borderId="24" xfId="2" applyFont="1" applyBorder="1" applyAlignment="1">
      <alignment horizontal="right" wrapText="1"/>
    </xf>
    <xf numFmtId="0" fontId="10" fillId="3" borderId="3" xfId="2" applyFill="1" applyBorder="1" applyAlignment="1">
      <alignment horizontal="center" vertical="center" wrapText="1"/>
    </xf>
    <xf numFmtId="0" fontId="10" fillId="3" borderId="17" xfId="2" applyFill="1" applyBorder="1" applyAlignment="1">
      <alignment horizontal="center" vertical="center" wrapText="1"/>
    </xf>
    <xf numFmtId="0" fontId="7" fillId="8" borderId="33" xfId="5" applyFont="1" applyFill="1" applyBorder="1" applyAlignment="1">
      <alignment horizontal="left" vertical="center" wrapText="1"/>
    </xf>
    <xf numFmtId="0" fontId="18" fillId="0" borderId="33" xfId="5" applyFont="1" applyBorder="1" applyAlignment="1">
      <alignment horizontal="right" wrapText="1"/>
    </xf>
    <xf numFmtId="0" fontId="18" fillId="0" borderId="37" xfId="5" applyFont="1" applyBorder="1" applyAlignment="1">
      <alignment horizontal="right" wrapText="1"/>
    </xf>
    <xf numFmtId="0" fontId="24" fillId="3" borderId="4" xfId="5" applyFont="1" applyFill="1" applyBorder="1" applyAlignment="1">
      <alignment horizontal="left" wrapText="1"/>
    </xf>
    <xf numFmtId="0" fontId="24" fillId="3" borderId="37" xfId="5" applyFont="1" applyFill="1" applyBorder="1" applyAlignment="1">
      <alignment horizontal="left" wrapText="1"/>
    </xf>
    <xf numFmtId="0" fontId="0" fillId="0" borderId="4" xfId="5" applyFont="1" applyBorder="1" applyAlignment="1">
      <alignment horizontal="left" vertical="center" wrapText="1"/>
    </xf>
    <xf numFmtId="0" fontId="8" fillId="0" borderId="37" xfId="5" applyBorder="1" applyAlignment="1">
      <alignment horizontal="left" vertical="center" wrapText="1"/>
    </xf>
    <xf numFmtId="0" fontId="18" fillId="0" borderId="48" xfId="5" applyFont="1" applyBorder="1" applyAlignment="1">
      <alignment horizontal="right" wrapText="1"/>
    </xf>
    <xf numFmtId="0" fontId="18" fillId="0" borderId="43" xfId="5" applyFont="1" applyBorder="1" applyAlignment="1">
      <alignment horizontal="right" wrapText="1"/>
    </xf>
    <xf numFmtId="0" fontId="19" fillId="0" borderId="3" xfId="5" applyFont="1" applyBorder="1" applyAlignment="1">
      <alignment horizontal="center" vertical="center" textRotation="90" wrapText="1"/>
    </xf>
    <xf numFmtId="0" fontId="19" fillId="0" borderId="53" xfId="5" applyFont="1" applyBorder="1" applyAlignment="1">
      <alignment horizontal="center" vertical="center" textRotation="90" wrapText="1"/>
    </xf>
    <xf numFmtId="0" fontId="8" fillId="0" borderId="0" xfId="5" applyAlignment="1">
      <alignment horizontal="left" vertical="top" wrapText="1"/>
    </xf>
    <xf numFmtId="0" fontId="8" fillId="0" borderId="0" xfId="5" applyAlignment="1">
      <alignment horizontal="left" vertical="center" wrapText="1"/>
    </xf>
    <xf numFmtId="0" fontId="7" fillId="0" borderId="0" xfId="5" applyFont="1" applyAlignment="1">
      <alignment horizontal="left" wrapText="1"/>
    </xf>
    <xf numFmtId="0" fontId="18" fillId="0" borderId="40" xfId="5" applyFont="1" applyBorder="1" applyAlignment="1">
      <alignment horizontal="right" vertical="center" wrapText="1"/>
    </xf>
    <xf numFmtId="0" fontId="18" fillId="0" borderId="39" xfId="5" applyFont="1" applyBorder="1" applyAlignment="1">
      <alignment horizontal="right" vertical="center" wrapText="1"/>
    </xf>
    <xf numFmtId="0" fontId="18" fillId="0" borderId="33" xfId="5" applyFont="1" applyBorder="1" applyAlignment="1">
      <alignment horizontal="right" vertical="center" wrapText="1"/>
    </xf>
    <xf numFmtId="0" fontId="18" fillId="0" borderId="37" xfId="5" applyFont="1" applyBorder="1" applyAlignment="1">
      <alignment horizontal="right" vertical="center" wrapText="1"/>
    </xf>
    <xf numFmtId="0" fontId="8" fillId="0" borderId="0" xfId="5" applyAlignment="1">
      <alignment horizontal="left" wrapText="1"/>
    </xf>
    <xf numFmtId="0" fontId="8" fillId="9" borderId="4" xfId="5" applyFill="1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18" fillId="0" borderId="14" xfId="5" applyFont="1" applyBorder="1" applyAlignment="1">
      <alignment horizontal="right" vertical="center" wrapText="1"/>
    </xf>
    <xf numFmtId="0" fontId="18" fillId="0" borderId="31" xfId="5" applyFont="1" applyBorder="1" applyAlignment="1">
      <alignment horizontal="right" vertical="center" wrapText="1"/>
    </xf>
    <xf numFmtId="0" fontId="18" fillId="0" borderId="30" xfId="5" applyFont="1" applyBorder="1" applyAlignment="1">
      <alignment horizontal="right" vertical="center" wrapText="1"/>
    </xf>
    <xf numFmtId="0" fontId="8" fillId="3" borderId="4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7" fillId="0" borderId="50" xfId="5" applyFont="1" applyBorder="1" applyAlignment="1">
      <alignment horizontal="center" vertical="center" wrapText="1"/>
    </xf>
    <xf numFmtId="0" fontId="7" fillId="0" borderId="49" xfId="5" applyFont="1" applyBorder="1" applyAlignment="1">
      <alignment horizontal="center" vertical="center" wrapText="1"/>
    </xf>
    <xf numFmtId="0" fontId="7" fillId="0" borderId="1" xfId="5" applyFont="1" applyBorder="1" applyAlignment="1">
      <alignment horizontal="left" vertical="center" wrapText="1"/>
    </xf>
    <xf numFmtId="0" fontId="18" fillId="0" borderId="15" xfId="5" applyFont="1" applyBorder="1" applyAlignment="1">
      <alignment horizontal="right" vertical="center" wrapText="1"/>
    </xf>
    <xf numFmtId="0" fontId="18" fillId="0" borderId="36" xfId="5" applyFont="1" applyBorder="1" applyAlignment="1">
      <alignment horizontal="right" vertical="center" wrapText="1"/>
    </xf>
    <xf numFmtId="3" fontId="7" fillId="8" borderId="1" xfId="5" applyNumberFormat="1" applyFont="1" applyFill="1" applyBorder="1" applyAlignment="1">
      <alignment horizontal="left" vertical="center" wrapText="1"/>
    </xf>
    <xf numFmtId="3" fontId="7" fillId="0" borderId="1" xfId="5" applyNumberFormat="1" applyFont="1" applyBorder="1" applyAlignment="1">
      <alignment horizontal="left" vertical="center"/>
    </xf>
    <xf numFmtId="0" fontId="8" fillId="0" borderId="4" xfId="5" applyBorder="1" applyAlignment="1">
      <alignment horizontal="left" vertical="center" wrapText="1"/>
    </xf>
    <xf numFmtId="0" fontId="0" fillId="3" borderId="4" xfId="5" applyFont="1" applyFill="1" applyBorder="1" applyAlignment="1">
      <alignment horizontal="left" vertical="center" wrapText="1"/>
    </xf>
  </cellXfs>
  <cellStyles count="22">
    <cellStyle name="Excel_BuiltIn_Хороший" xfId="1" xr:uid="{00000000-0005-0000-0000-000000000000}"/>
    <cellStyle name="Гиперссылка" xfId="10" builtinId="8"/>
    <cellStyle name="Гиперссылка 2" xfId="6" xr:uid="{00000000-0005-0000-0000-000002000000}"/>
    <cellStyle name="Гиперссылка 2 2" xfId="13" xr:uid="{00000000-0005-0000-0000-000003000000}"/>
    <cellStyle name="Гиперссылка 2 3" xfId="12" xr:uid="{00000000-0005-0000-0000-000004000000}"/>
    <cellStyle name="Гиперссылка 3" xfId="14" xr:uid="{00000000-0005-0000-0000-000005000000}"/>
    <cellStyle name="Обычный" xfId="0" builtinId="0"/>
    <cellStyle name="Обычный 2" xfId="3" xr:uid="{00000000-0005-0000-0000-000007000000}"/>
    <cellStyle name="Обычный 2 2" xfId="8" xr:uid="{00000000-0005-0000-0000-000008000000}"/>
    <cellStyle name="Обычный 2 3" xfId="15" xr:uid="{00000000-0005-0000-0000-000009000000}"/>
    <cellStyle name="Обычный 3" xfId="2" xr:uid="{00000000-0005-0000-0000-00000A000000}"/>
    <cellStyle name="Обычный 3 2" xfId="5" xr:uid="{00000000-0005-0000-0000-00000B000000}"/>
    <cellStyle name="Обычный 3 2 2" xfId="7" xr:uid="{00000000-0005-0000-0000-00000C000000}"/>
    <cellStyle name="Обычный 3 2 3" xfId="17" xr:uid="{00000000-0005-0000-0000-00000D000000}"/>
    <cellStyle name="Обычный 3 3" xfId="16" xr:uid="{00000000-0005-0000-0000-00000E000000}"/>
    <cellStyle name="Обычный 3 4" xfId="11" xr:uid="{00000000-0005-0000-0000-00000F000000}"/>
    <cellStyle name="Обычный 6" xfId="18" xr:uid="{00000000-0005-0000-0000-000010000000}"/>
    <cellStyle name="Обычный 6 2" xfId="19" xr:uid="{00000000-0005-0000-0000-000011000000}"/>
    <cellStyle name="Процентный" xfId="4" builtinId="5"/>
    <cellStyle name="Процентный 3" xfId="9" xr:uid="{00000000-0005-0000-0000-000013000000}"/>
    <cellStyle name="Финансовый 2" xfId="20" xr:uid="{00000000-0005-0000-0000-000014000000}"/>
    <cellStyle name="Финансовый 3" xfId="21" xr:uid="{00000000-0005-0000-0000-000015000000}"/>
  </cellStyles>
  <dxfs count="2">
    <dxf>
      <font>
        <b/>
        <i val="0"/>
        <strike val="0"/>
        <u val="double"/>
        <color rgb="FFFF0000"/>
      </font>
    </dxf>
    <dxf>
      <font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37</xdr:row>
          <xdr:rowOff>0</xdr:rowOff>
        </xdr:from>
        <xdr:to>
          <xdr:col>4</xdr:col>
          <xdr:colOff>2200275</xdr:colOff>
          <xdr:row>40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Вписать оплату и этапы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419100</xdr:colOff>
          <xdr:row>0</xdr:row>
          <xdr:rowOff>47625</xdr:rowOff>
        </xdr:from>
        <xdr:to>
          <xdr:col>1</xdr:col>
          <xdr:colOff>314325</xdr:colOff>
          <xdr:row>1</xdr:row>
          <xdr:rowOff>123825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Полный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0</xdr:row>
          <xdr:rowOff>47625</xdr:rowOff>
        </xdr:from>
        <xdr:to>
          <xdr:col>3</xdr:col>
          <xdr:colOff>161925</xdr:colOff>
          <xdr:row>1</xdr:row>
          <xdr:rowOff>123825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Сокращ.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47625</xdr:rowOff>
        </xdr:from>
        <xdr:to>
          <xdr:col>3</xdr:col>
          <xdr:colOff>704850</xdr:colOff>
          <xdr:row>1</xdr:row>
          <xdr:rowOff>123825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Работы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733425</xdr:colOff>
          <xdr:row>0</xdr:row>
          <xdr:rowOff>47625</xdr:rowOff>
        </xdr:from>
        <xdr:to>
          <xdr:col>3</xdr:col>
          <xdr:colOff>1447800</xdr:colOff>
          <xdr:row>1</xdr:row>
          <xdr:rowOff>123825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Кабели и командировки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1466850</xdr:colOff>
          <xdr:row>0</xdr:row>
          <xdr:rowOff>57150</xdr:rowOff>
        </xdr:from>
        <xdr:to>
          <xdr:col>3</xdr:col>
          <xdr:colOff>2352675</xdr:colOff>
          <xdr:row>1</xdr:row>
          <xdr:rowOff>114300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Новый раздел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2371725</xdr:colOff>
          <xdr:row>0</xdr:row>
          <xdr:rowOff>57150</xdr:rowOff>
        </xdr:from>
        <xdr:to>
          <xdr:col>3</xdr:col>
          <xdr:colOff>3190875</xdr:colOff>
          <xdr:row>1</xdr:row>
          <xdr:rowOff>104775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Новая строка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3228975</xdr:colOff>
          <xdr:row>0</xdr:row>
          <xdr:rowOff>57150</xdr:rowOff>
        </xdr:from>
        <xdr:to>
          <xdr:col>3</xdr:col>
          <xdr:colOff>3838575</xdr:colOff>
          <xdr:row>1</xdr:row>
          <xdr:rowOff>104775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Вставить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3867150</xdr:colOff>
          <xdr:row>0</xdr:row>
          <xdr:rowOff>57150</xdr:rowOff>
        </xdr:from>
        <xdr:to>
          <xdr:col>4</xdr:col>
          <xdr:colOff>514350</xdr:colOff>
          <xdr:row>1</xdr:row>
          <xdr:rowOff>104775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Вычитка из прайса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57150</xdr:rowOff>
        </xdr:from>
        <xdr:to>
          <xdr:col>4</xdr:col>
          <xdr:colOff>1838325</xdr:colOff>
          <xdr:row>1</xdr:row>
          <xdr:rowOff>104775</xdr:rowOff>
        </xdr:to>
        <xdr:sp macro="" textlink="">
          <xdr:nvSpPr>
            <xdr:cNvPr id="8227" name="btnFixLinks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Исправить ссылки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WORKS\&#1044;&#1057;&#1048;\&#1056;&#1057;&#1057;\&#1058;&#1050;&#1055;\&#1057;&#1074;&#1086;&#1076;&#1085;&#1072;&#1103;%20&#1087;&#1086;%20&#1058;&#1050;&#1055;%20&#1056;&#1057;&#1057;%20v.1.6.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&#1089;&#1087;&#1080;&#1089;&#1086;&#1082;%20&#1048;&#1050;\&#1057;&#1087;&#1080;&#1089;&#1086;&#1082;%20&#1048;&#1050;_325_25_v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MERA\&#1059;&#1052;&#1055;\&#1054;&#1090;&#1076;&#1077;&#1083;%20&#1087;&#1088;&#1086;&#1076;&#1072;&#1078;\&#1087;&#1088;&#1072;&#1081;&#1089;\2024\&#1055;&#1088;&#1072;&#1081;&#1089;%202024%2031.08.2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v01_325_25_&#1050;&#1072;&#1084;&#1072;&#1079;_&#1056;&#1072;&#1073;&#1086;&#1090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13_&#1054;&#1050;&#1041;%20&#1052;&#1080;&#1082;&#1086;&#1103;&#1085;&#1072;_&#1056;&#1057;&#1057;_\v03_tkp2025_063_&#1050;&#1041;&#1061;&#1052;_&#1057;&#1059;_&#1089;&#1090;&#1077;&#1085;&#1076;&#1072;_&#1086;&#1075;&#1085;&#1077;&#1074;&#1099;&#1093;_&#1080;&#1089;&#1087;&#1099;&#1090;&#1072;&#1085;&#1080;&#1081;_&#1052;&#1077;&#1083;&#1080;&#1093;&#1086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old"/>
      <sheetName val="Правила"/>
    </sheetNames>
    <sheetDataSet>
      <sheetData sheetId="0">
        <row r="3">
          <cell r="O3">
            <v>10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Все замеры"/>
      <sheetName val="Список ИК_325_25_v01"/>
    </sheetNames>
    <definedNames>
      <definedName name="Итог_цена" refersTo="='Все замеры'!$Q$23"/>
    </definedNames>
    <sheetDataSet>
      <sheetData sheetId="0">
        <row r="23">
          <cell r="Q23">
            <v>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держание для печати"/>
      <sheetName val="Содержание"/>
      <sheetName val="Серия PXI"/>
      <sheetName val="Серия RXI"/>
      <sheetName val="Серия MC"/>
      <sheetName val="Серия MS"/>
      <sheetName val="Серия ME,MP"/>
      <sheetName val="Серия MB"/>
      <sheetName val="Телеметрия"/>
      <sheetName val="MIC-140"/>
      <sheetName val="MIC-170"/>
      <sheetName val="MIC-710"/>
      <sheetName val="MIC-185"/>
      <sheetName val="MIC-800"/>
      <sheetName val="MIC-1100"/>
      <sheetName val="MIC-1200"/>
      <sheetName val="MIC-1500"/>
      <sheetName val="MIC-1500 (составляющие)"/>
      <sheetName val="РУД"/>
      <sheetName val="ПО"/>
      <sheetName val="Общесистемное оборудование"/>
      <sheetName val="ШКТИ"/>
      <sheetName val="Кроссировочное оборудование"/>
      <sheetName val="Военная приемка"/>
      <sheetName val="Поверка"/>
      <sheetName val="Утверждение типа"/>
      <sheetName val="Работы"/>
      <sheetName val="Питание"/>
      <sheetName val="САУ на базе Simens"/>
      <sheetName val="Прайс 2024 31.08.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7">
          <cell r="F7">
            <v>895998.73999999987</v>
          </cell>
        </row>
      </sheetData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v01_325_25_Камаз_Работы"/>
    </sheetNames>
    <definedNames>
      <definedName name="АИ" refersTo="='Лист1'!$E$45"/>
      <definedName name="ВП" refersTo="='Лист1'!$E$46"/>
      <definedName name="КД" refersTo="='Лист1'!$E$39"/>
      <definedName name="КО" refersTo="='Лист1'!$E$36"/>
      <definedName name="Монтаж" refersTo="='Лист1'!$E$43"/>
      <definedName name="ПНР" refersTo="='Лист1'!$E$44"/>
      <definedName name="ПО" refersTo="='Лист1'!$E$42"/>
      <definedName name="ЭД" refersTo="='Лист1'!$E$41"/>
    </definedNames>
    <sheetDataSet>
      <sheetData sheetId="0">
        <row r="36">
          <cell r="E36">
            <v>16</v>
          </cell>
        </row>
        <row r="37">
          <cell r="E37">
            <v>5</v>
          </cell>
        </row>
        <row r="39">
          <cell r="E39">
            <v>7</v>
          </cell>
        </row>
        <row r="41">
          <cell r="E41">
            <v>4</v>
          </cell>
        </row>
        <row r="42">
          <cell r="E42">
            <v>15</v>
          </cell>
        </row>
        <row r="43">
          <cell r="E43">
            <v>14.25</v>
          </cell>
        </row>
        <row r="44">
          <cell r="E44">
            <v>5</v>
          </cell>
        </row>
        <row r="45">
          <cell r="E45">
            <v>4</v>
          </cell>
        </row>
        <row r="46">
          <cell r="E46">
            <v>9.5</v>
          </cell>
        </row>
      </sheetData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чет"/>
      <sheetName val="Приложение1"/>
      <sheetName val="Шаблон"/>
      <sheetName val="История"/>
      <sheetName val="Для Заказчика"/>
    </sheetNames>
    <sheetDataSet>
      <sheetData sheetId="0"/>
      <sheetData sheetId="1">
        <row r="41">
          <cell r="H41">
            <v>68259095.523901239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serv\e\MERA\&#1059;&#1052;&#1055;\&#1050;&#1086;&#1084;&#1084;&#1077;&#1088;&#1095;&#1077;&#1089;&#1082;&#1072;&#1103;_&#1089;&#1083;&#1091;&#1078;&#1073;&#1072;\&#1043;&#1060;&#1055;&#1080;&#1069;\&#1055;&#1088;&#1072;&#1081;&#1089;\" TargetMode="External"/><Relationship Id="rId13" Type="http://schemas.openxmlformats.org/officeDocument/2006/relationships/hyperlink" Target="file:///\\fserv\e\MERA\" TargetMode="External"/><Relationship Id="rId18" Type="http://schemas.openxmlformats.org/officeDocument/2006/relationships/ctrlProp" Target="../ctrlProps/ctrlProp3.xml"/><Relationship Id="rId26" Type="http://schemas.openxmlformats.org/officeDocument/2006/relationships/comments" Target="../comments1.xml"/><Relationship Id="rId3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21" Type="http://schemas.openxmlformats.org/officeDocument/2006/relationships/ctrlProp" Target="../ctrlProps/ctrlProp6.xml"/><Relationship Id="rId7" Type="http://schemas.openxmlformats.org/officeDocument/2006/relationships/hyperlink" Target="../../../../../../TKP/TKP2026/tkp2026_005_&#1051;&#1048;&#1040;&#1047;_&#1053;&#1072;&#1075;&#1088;&#1091;&#1079;&#1086;&#1095;&#1085;&#1099;&#1077;%20&#1080;&#1089;&#1087;&#1099;&#1090;&#1072;&#1085;&#1080;&#1103;_&#1056;&#1057;&#1057;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12" Type="http://schemas.openxmlformats.org/officeDocument/2006/relationships/hyperlink" Target="file:///\\fserv\e\MERA\WORKS\&#1044;&#1057;&#1048;\&#1055;&#1086;&#1090;&#1086;&#1083;&#1086;&#1095;&#1080;&#1085;\&#1087;&#1088;&#1072;&#1081;&#1089;\2024\" TargetMode="External"/><Relationship Id="rId17" Type="http://schemas.openxmlformats.org/officeDocument/2006/relationships/ctrlProp" Target="../ctrlProps/ctrlProp2.xml"/><Relationship Id="rId25" Type="http://schemas.openxmlformats.org/officeDocument/2006/relationships/ctrlProp" Target="../ctrlProps/ctrlProp10.xml"/><Relationship Id="rId2" Type="http://schemas.openxmlformats.org/officeDocument/2006/relationships/hyperlink" Target="../../../../../AppData/Roaming/Microsoft/Excel/&#1048;&#1089;&#1093;&#1086;&#1076;&#1085;&#1099;&#1077;%20&#1076;&#1072;&#1085;&#1085;&#1099;&#1077;/&#1058;&#1077;&#1093;&#1085;&#1080;&#1095;&#1077;&#1089;&#1082;&#1086;&#1077;%20&#1079;&#1072;&#1076;&#1072;&#1085;&#1080;&#1077;.pdf" TargetMode="External"/><Relationship Id="rId16" Type="http://schemas.openxmlformats.org/officeDocument/2006/relationships/vmlDrawing" Target="../drawings/vmlDrawing2.vml"/><Relationship Id="rId20" Type="http://schemas.openxmlformats.org/officeDocument/2006/relationships/ctrlProp" Target="../ctrlProps/ctrlProp5.xml"/><Relationship Id="rId1" Type="http://schemas.openxmlformats.org/officeDocument/2006/relationships/hyperlink" Target="https://visom.ru/catalog/amplifiers/vs-319" TargetMode="External"/><Relationship Id="rId6" Type="http://schemas.openxmlformats.org/officeDocument/2006/relationships/hyperlink" Target="../../../../../AppData/Roaming/Microsoft/Excel/&#1057;&#1093;&#1077;&#1084;&#1072;%20&#1089;&#1086;&#1077;&#1076;&#1080;&#1085;&#1077;&#1085;&#1080;&#1081;/v5_&#1057;&#1093;&#1077;&#1084;&#1072;_tkp2024_379_&#1040;&#1083;&#1090;&#1072;&#1081;_&#1048;&#1042;&#1050;_&#1052;&#1077;&#1083;&#1080;&#1093;&#1086;&#1074;.vsd" TargetMode="External"/><Relationship Id="rId11" Type="http://schemas.openxmlformats.org/officeDocument/2006/relationships/hyperlink" Target="file:///\\fserv\e\MERA\WORKS\&#1044;&#1057;&#1048;\&#1055;&#1086;&#1090;&#1086;&#1083;&#1086;&#1095;&#1080;&#1085;\&#1087;&#1088;&#1072;&#1081;&#1089;\2024\&#1051;&#1080;&#1085;&#1077;&#1081;&#1082;&#1072;%20RXI.xlsx" TargetMode="External"/><Relationship Id="rId24" Type="http://schemas.openxmlformats.org/officeDocument/2006/relationships/ctrlProp" Target="../ctrlProps/ctrlProp9.xml"/><Relationship Id="rId5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v01_325_25_&#1050;&#1072;&#1084;&#1072;&#1079;_&#1056;&#1072;&#1073;&#1086;&#1090;&#1099;.xlsx" TargetMode="External"/><Relationship Id="rId15" Type="http://schemas.openxmlformats.org/officeDocument/2006/relationships/drawing" Target="../drawings/drawing2.xml"/><Relationship Id="rId23" Type="http://schemas.openxmlformats.org/officeDocument/2006/relationships/ctrlProp" Target="../ctrlProps/ctrlProp8.xml"/><Relationship Id="rId10" Type="http://schemas.openxmlformats.org/officeDocument/2006/relationships/hyperlink" Target="file:///\\fserv\e\MERA\WORKS\&#1044;&#1057;&#1048;\&#1055;&#1086;&#1090;&#1086;&#1083;&#1086;&#1095;&#1080;&#1085;\&#1087;&#1088;&#1072;&#1081;&#1089;\2024\&#1055;&#1088;&#1072;&#1081;&#1089;%202025_v01.xlsx" TargetMode="External"/><Relationship Id="rId19" Type="http://schemas.openxmlformats.org/officeDocument/2006/relationships/ctrlProp" Target="../ctrlProps/ctrlProp4.xml"/><Relationship Id="rId4" Type="http://schemas.openxmlformats.org/officeDocument/2006/relationships/hyperlink" Target="../../../../../AppData/Roaming/TKP2022/tkp2022_230_&#1057;&#1050;&#1041;&#1052;_&#1050;&#1091;&#1088;&#1075;&#1072;&#1085;&#1052;&#1072;&#1096;&#1047;&#1072;&#1074;&#1086;&#1076;_&#1089;&#1090;&#1077;&#1085;&#1076;%20&#1080;&#1089;&#1087;&#1099;&#1090;&#1072;&#1085;&#1080;&#1081;%20&#1043;&#1052;&#1058;_&#1045;&#1078;&#1086;&#1074;&#1072;_&#1056;&#1057;&#1057;/" TargetMode="External"/><Relationship Id="rId9" Type="http://schemas.openxmlformats.org/officeDocument/2006/relationships/hyperlink" Target="file:///\\fserv\e\MERA\WORKS\&#1044;&#1057;&#1048;\&#1055;&#1086;&#1090;&#1086;&#1083;&#1086;&#1095;&#1080;&#1085;\&#1087;&#1088;&#1072;&#1081;&#1089;\2024\&#1051;&#1080;&#1085;&#1077;&#1081;&#1082;&#1072;%20PXI.xlsx" TargetMode="External"/><Relationship Id="rId14" Type="http://schemas.openxmlformats.org/officeDocument/2006/relationships/printerSettings" Target="../printerSettings/printerSettings2.bin"/><Relationship Id="rId22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92D050"/>
    <pageSetUpPr fitToPage="1"/>
  </sheetPr>
  <dimension ref="B1:J49"/>
  <sheetViews>
    <sheetView view="pageBreakPreview" topLeftCell="A4" zoomScaleNormal="100" zoomScaleSheetLayoutView="100" workbookViewId="0">
      <selection activeCell="F11" sqref="F11"/>
    </sheetView>
  </sheetViews>
  <sheetFormatPr defaultColWidth="9.140625" defaultRowHeight="12.75" x14ac:dyDescent="0.2"/>
  <cols>
    <col min="1" max="1" width="9.140625" style="1"/>
    <col min="2" max="2" width="14.7109375" style="1" customWidth="1"/>
    <col min="3" max="3" width="23.85546875" style="1" customWidth="1"/>
    <col min="4" max="4" width="14" style="1" customWidth="1"/>
    <col min="5" max="5" width="39.5703125" style="1" customWidth="1"/>
    <col min="6" max="6" width="22.7109375" style="1" customWidth="1"/>
    <col min="7" max="7" width="14.7109375" style="1" customWidth="1"/>
    <col min="8" max="8" width="13.42578125" style="1" customWidth="1"/>
    <col min="9" max="9" width="12.28515625" style="1" customWidth="1"/>
    <col min="10" max="10" width="9.140625" style="1"/>
    <col min="11" max="11" width="9.85546875" style="1" customWidth="1"/>
    <col min="12" max="16384" width="9.140625" style="1"/>
  </cols>
  <sheetData>
    <row r="1" spans="2:9" ht="13.5" thickBot="1" x14ac:dyDescent="0.25"/>
    <row r="2" spans="2:9" ht="39" customHeight="1" x14ac:dyDescent="0.2">
      <c r="C2" s="36" t="s">
        <v>2</v>
      </c>
      <c r="D2" s="37" t="s">
        <v>3</v>
      </c>
      <c r="E2" s="37" t="s">
        <v>1</v>
      </c>
      <c r="F2" s="39" t="s">
        <v>84</v>
      </c>
    </row>
    <row r="3" spans="2:9" ht="13.5" thickBot="1" x14ac:dyDescent="0.25">
      <c r="C3" s="43">
        <v>45521</v>
      </c>
      <c r="D3" s="40" t="s">
        <v>86</v>
      </c>
      <c r="E3" s="92" t="s">
        <v>110</v>
      </c>
      <c r="F3" s="93" t="s">
        <v>111</v>
      </c>
    </row>
    <row r="4" spans="2:9" ht="26.25" customHeight="1" x14ac:dyDescent="0.2">
      <c r="C4" s="44" t="s">
        <v>85</v>
      </c>
      <c r="D4" s="45" t="s">
        <v>88</v>
      </c>
      <c r="E4" s="41" t="s">
        <v>78</v>
      </c>
      <c r="F4" s="42" t="s">
        <v>87</v>
      </c>
    </row>
    <row r="5" spans="2:9" ht="40.5" customHeight="1" thickBot="1" x14ac:dyDescent="0.25">
      <c r="C5" s="43">
        <f ca="1">TODAY()</f>
        <v>46267</v>
      </c>
      <c r="D5" s="93" t="s">
        <v>117</v>
      </c>
      <c r="E5" s="93" t="s">
        <v>112</v>
      </c>
      <c r="F5" s="93" t="s">
        <v>98</v>
      </c>
    </row>
    <row r="6" spans="2:9" ht="13.5" thickBot="1" x14ac:dyDescent="0.25">
      <c r="B6" s="28"/>
      <c r="C6" s="28"/>
      <c r="D6" s="38"/>
      <c r="H6" s="78"/>
    </row>
    <row r="7" spans="2:9" ht="16.5" customHeight="1" thickBot="1" x14ac:dyDescent="0.3">
      <c r="B7" s="5"/>
      <c r="C7" s="6"/>
      <c r="D7" s="6"/>
      <c r="E7" s="7" t="s">
        <v>20</v>
      </c>
      <c r="F7" s="6"/>
      <c r="G7" s="8"/>
      <c r="H7" s="79"/>
      <c r="I7" s="77"/>
    </row>
    <row r="8" spans="2:9" ht="30" x14ac:dyDescent="0.2">
      <c r="B8" s="9" t="s">
        <v>21</v>
      </c>
      <c r="C8" s="10" t="s">
        <v>22</v>
      </c>
      <c r="D8" s="10" t="s">
        <v>23</v>
      </c>
      <c r="E8" s="11" t="s">
        <v>0</v>
      </c>
      <c r="F8" s="12" t="s">
        <v>8</v>
      </c>
      <c r="G8" s="12" t="s">
        <v>9</v>
      </c>
      <c r="H8" s="2" t="s">
        <v>102</v>
      </c>
      <c r="I8" s="2" t="s">
        <v>103</v>
      </c>
    </row>
    <row r="9" spans="2:9" ht="15" x14ac:dyDescent="0.2">
      <c r="B9" s="13">
        <f>ROW()-ROW($B$8)</f>
        <v>1</v>
      </c>
      <c r="C9" s="73" t="s">
        <v>56</v>
      </c>
      <c r="D9" s="322" t="s">
        <v>30</v>
      </c>
      <c r="E9" s="14" t="s">
        <v>24</v>
      </c>
      <c r="F9" s="18">
        <f>SUMIF(Приложение1!$P$12:$P$97,C9,Приложение1!$J$12:$J$97)</f>
        <v>-76741677.358999997</v>
      </c>
      <c r="G9" s="84" t="s">
        <v>10</v>
      </c>
      <c r="H9" s="71"/>
      <c r="I9" s="71"/>
    </row>
    <row r="10" spans="2:9" ht="15" x14ac:dyDescent="0.2">
      <c r="B10" s="13">
        <f t="shared" ref="B10:B35" si="0">ROW()-ROW($B$8)</f>
        <v>2</v>
      </c>
      <c r="C10" s="73" t="s">
        <v>51</v>
      </c>
      <c r="D10" s="323"/>
      <c r="E10" s="14" t="s">
        <v>5</v>
      </c>
      <c r="F10" s="18">
        <f>SUMIF(Приложение1!$P$12:$P$97,C10,Приложение1!$J$12:$J$97)</f>
        <v>0</v>
      </c>
      <c r="G10" s="84"/>
      <c r="H10" s="71"/>
      <c r="I10" s="71"/>
    </row>
    <row r="11" spans="2:9" ht="15" x14ac:dyDescent="0.2">
      <c r="B11" s="13">
        <f t="shared" si="0"/>
        <v>3</v>
      </c>
      <c r="C11" s="73" t="s">
        <v>64</v>
      </c>
      <c r="D11" s="323"/>
      <c r="E11" s="14" t="s">
        <v>37</v>
      </c>
      <c r="F11" s="18">
        <f>SUMIF(Приложение1!$P$12:$P$97,C11,Приложение1!$J$12:$J$97)</f>
        <v>46200000</v>
      </c>
      <c r="G11" s="84" t="s">
        <v>10</v>
      </c>
      <c r="H11" s="71"/>
      <c r="I11" s="71"/>
    </row>
    <row r="12" spans="2:9" ht="15" x14ac:dyDescent="0.2">
      <c r="B12" s="13">
        <f t="shared" si="0"/>
        <v>4</v>
      </c>
      <c r="C12" s="73" t="s">
        <v>41</v>
      </c>
      <c r="D12" s="323"/>
      <c r="E12" s="14" t="s">
        <v>11</v>
      </c>
      <c r="F12" s="18">
        <f>SUMIF(Приложение1!$P$12:$P$97,C12,Приложение1!$J$12:$J$97)</f>
        <v>177862500</v>
      </c>
      <c r="G12" s="84" t="s">
        <v>10</v>
      </c>
      <c r="H12" s="71"/>
      <c r="I12" s="71"/>
    </row>
    <row r="13" spans="2:9" ht="15" x14ac:dyDescent="0.2">
      <c r="B13" s="13">
        <f t="shared" si="0"/>
        <v>5</v>
      </c>
      <c r="C13" s="73" t="s">
        <v>57</v>
      </c>
      <c r="D13" s="323"/>
      <c r="E13" s="14" t="s">
        <v>25</v>
      </c>
      <c r="F13" s="18">
        <f>SUMIF(Приложение1!$P$12:$P$97,C13,Приложение1!$J$12:$J$97)</f>
        <v>12345998.74</v>
      </c>
      <c r="G13" s="84" t="s">
        <v>10</v>
      </c>
      <c r="H13" s="71"/>
      <c r="I13" s="71"/>
    </row>
    <row r="14" spans="2:9" ht="15" x14ac:dyDescent="0.2">
      <c r="B14" s="13">
        <f t="shared" si="0"/>
        <v>6</v>
      </c>
      <c r="C14" s="73" t="s">
        <v>58</v>
      </c>
      <c r="D14" s="323"/>
      <c r="E14" s="14" t="s">
        <v>52</v>
      </c>
      <c r="F14" s="18">
        <f>SUMIF(Приложение1!$P$12:$P$97,C14,Приложение1!$J$12:$J$97)</f>
        <v>7441180</v>
      </c>
      <c r="G14" s="84" t="s">
        <v>10</v>
      </c>
      <c r="H14" s="71"/>
      <c r="I14" s="71"/>
    </row>
    <row r="15" spans="2:9" ht="15" x14ac:dyDescent="0.2">
      <c r="B15" s="13">
        <f t="shared" si="0"/>
        <v>7</v>
      </c>
      <c r="C15" s="73" t="s">
        <v>59</v>
      </c>
      <c r="D15" s="324"/>
      <c r="E15" s="14" t="s">
        <v>12</v>
      </c>
      <c r="F15" s="18">
        <f>SUMIF(Приложение1!$P$12:$P$97,C15,Приложение1!$J$12:$J$97)</f>
        <v>0</v>
      </c>
      <c r="G15" s="84" t="s">
        <v>10</v>
      </c>
      <c r="H15" s="2"/>
      <c r="I15" s="71"/>
    </row>
    <row r="16" spans="2:9" ht="30" x14ac:dyDescent="0.2">
      <c r="B16" s="22">
        <f t="shared" si="0"/>
        <v>8</v>
      </c>
      <c r="C16" s="23" t="s">
        <v>65</v>
      </c>
      <c r="D16" s="24" t="s">
        <v>50</v>
      </c>
      <c r="E16" s="25" t="s">
        <v>48</v>
      </c>
      <c r="F16" s="26">
        <f>SUMIF(Приложение1!$P$12:$P$97,C16,Приложение1!$J$12:$J$97)</f>
        <v>3000000</v>
      </c>
      <c r="G16" s="82" t="s">
        <v>10</v>
      </c>
      <c r="H16" s="71"/>
      <c r="I16" s="71"/>
    </row>
    <row r="17" spans="2:10" ht="15" x14ac:dyDescent="0.2">
      <c r="B17" s="22">
        <f t="shared" si="0"/>
        <v>9</v>
      </c>
      <c r="C17" s="23" t="s">
        <v>60</v>
      </c>
      <c r="D17" s="24" t="s">
        <v>45</v>
      </c>
      <c r="E17" s="25" t="s">
        <v>63</v>
      </c>
      <c r="F17" s="26">
        <f>SUMIF(Приложение1!$P$12:$P$97,C17,Приложение1!$J$12:$J$97)</f>
        <v>120000</v>
      </c>
      <c r="G17" s="81" t="s">
        <v>10</v>
      </c>
      <c r="H17" s="71"/>
      <c r="I17" s="71"/>
    </row>
    <row r="18" spans="2:10" ht="30" x14ac:dyDescent="0.2">
      <c r="B18" s="22">
        <f t="shared" si="0"/>
        <v>10</v>
      </c>
      <c r="C18" s="23" t="s">
        <v>69</v>
      </c>
      <c r="D18" s="24" t="s">
        <v>73</v>
      </c>
      <c r="E18" s="25" t="s">
        <v>70</v>
      </c>
      <c r="F18" s="26">
        <f>SUMIF(Приложение1!$P$12:$P$97,C18,Приложение1!$J$12:$J$97)</f>
        <v>10000000</v>
      </c>
      <c r="G18" s="81" t="s">
        <v>10</v>
      </c>
      <c r="H18" s="71"/>
      <c r="I18" s="71"/>
    </row>
    <row r="19" spans="2:10" ht="15.75" thickBot="1" x14ac:dyDescent="0.25">
      <c r="B19" s="22">
        <f t="shared" si="0"/>
        <v>11</v>
      </c>
      <c r="C19" s="48" t="s">
        <v>67</v>
      </c>
      <c r="D19" s="24" t="s">
        <v>33</v>
      </c>
      <c r="E19" s="25" t="s">
        <v>18</v>
      </c>
      <c r="F19" s="26">
        <f>SUMIF(Приложение1!$P$12:$P$97,C19,Приложение1!$J$12:$J$97)</f>
        <v>8662500</v>
      </c>
      <c r="G19" s="82" t="s">
        <v>10</v>
      </c>
      <c r="H19" s="2"/>
      <c r="I19" s="71"/>
      <c r="J19" s="74"/>
    </row>
    <row r="20" spans="2:10" ht="16.5" thickBot="1" x14ac:dyDescent="0.3">
      <c r="B20" s="57"/>
      <c r="C20" s="58"/>
      <c r="D20" s="58"/>
      <c r="E20" s="59" t="s">
        <v>75</v>
      </c>
      <c r="F20" s="58"/>
      <c r="G20" s="58"/>
      <c r="H20" s="71"/>
      <c r="I20" s="71"/>
    </row>
    <row r="21" spans="2:10" ht="15" x14ac:dyDescent="0.2">
      <c r="B21" s="62">
        <f t="shared" si="0"/>
        <v>13</v>
      </c>
      <c r="C21" s="63" t="s">
        <v>95</v>
      </c>
      <c r="D21" s="64" t="s">
        <v>27</v>
      </c>
      <c r="E21" s="65" t="s">
        <v>61</v>
      </c>
      <c r="F21" s="66">
        <f t="shared" ref="F21:F27" si="1">G21*ЧелМесИнженер</f>
        <v>4900000</v>
      </c>
      <c r="G21" s="85">
        <f>КД_Кросс</f>
        <v>7</v>
      </c>
      <c r="H21" s="71"/>
      <c r="I21" s="71"/>
    </row>
    <row r="22" spans="2:10" ht="15" x14ac:dyDescent="0.2">
      <c r="B22" s="13">
        <f t="shared" si="0"/>
        <v>14</v>
      </c>
      <c r="C22" s="73" t="s">
        <v>66</v>
      </c>
      <c r="D22" s="73" t="s">
        <v>44</v>
      </c>
      <c r="E22" s="60" t="s">
        <v>42</v>
      </c>
      <c r="F22" s="61">
        <f t="shared" si="1"/>
        <v>14700000</v>
      </c>
      <c r="G22" s="83">
        <f>КД_КО</f>
        <v>21</v>
      </c>
      <c r="H22" s="71"/>
      <c r="I22" s="71"/>
    </row>
    <row r="23" spans="2:10" ht="30" x14ac:dyDescent="0.2">
      <c r="B23" s="13">
        <f t="shared" si="0"/>
        <v>15</v>
      </c>
      <c r="C23" s="73" t="s">
        <v>40</v>
      </c>
      <c r="D23" s="73" t="s">
        <v>71</v>
      </c>
      <c r="E23" s="60" t="s">
        <v>47</v>
      </c>
      <c r="F23" s="61">
        <f t="shared" si="1"/>
        <v>0</v>
      </c>
      <c r="G23" s="83">
        <f>Метрология</f>
        <v>0</v>
      </c>
      <c r="H23" s="2"/>
      <c r="I23" s="71"/>
    </row>
    <row r="24" spans="2:10" ht="15" x14ac:dyDescent="0.2">
      <c r="B24" s="13">
        <f t="shared" si="0"/>
        <v>16</v>
      </c>
      <c r="C24" s="73" t="s">
        <v>62</v>
      </c>
      <c r="D24" s="73" t="s">
        <v>29</v>
      </c>
      <c r="E24" s="60" t="s">
        <v>13</v>
      </c>
      <c r="F24" s="61">
        <f t="shared" si="1"/>
        <v>10500000</v>
      </c>
      <c r="G24" s="83">
        <f>РазработкаПО</f>
        <v>15</v>
      </c>
      <c r="H24" s="71"/>
      <c r="I24" s="71"/>
    </row>
    <row r="25" spans="2:10" ht="15" x14ac:dyDescent="0.2">
      <c r="B25" s="13">
        <f t="shared" si="0"/>
        <v>17</v>
      </c>
      <c r="C25" s="73" t="s">
        <v>26</v>
      </c>
      <c r="D25" s="73" t="s">
        <v>45</v>
      </c>
      <c r="E25" s="60" t="s">
        <v>16</v>
      </c>
      <c r="F25" s="61">
        <f>G25*ЧелМесИнженер</f>
        <v>6650000</v>
      </c>
      <c r="G25" s="83">
        <f>ВедениеПроекта</f>
        <v>9.5</v>
      </c>
      <c r="H25" s="71"/>
      <c r="I25" s="71"/>
    </row>
    <row r="26" spans="2:10" ht="15" x14ac:dyDescent="0.2">
      <c r="B26" s="13">
        <f t="shared" si="0"/>
        <v>18</v>
      </c>
      <c r="C26" s="73" t="s">
        <v>31</v>
      </c>
      <c r="D26" s="73" t="s">
        <v>32</v>
      </c>
      <c r="E26" s="60" t="s">
        <v>15</v>
      </c>
      <c r="F26" s="61">
        <f t="shared" si="1"/>
        <v>3500000</v>
      </c>
      <c r="G26" s="83">
        <f>ПНР</f>
        <v>5</v>
      </c>
      <c r="H26" s="90"/>
      <c r="I26" s="71"/>
      <c r="J26" s="74"/>
    </row>
    <row r="27" spans="2:10" ht="15" x14ac:dyDescent="0.2">
      <c r="B27" s="13">
        <f t="shared" si="0"/>
        <v>19</v>
      </c>
      <c r="C27" s="73" t="s">
        <v>43</v>
      </c>
      <c r="D27" s="73" t="s">
        <v>32</v>
      </c>
      <c r="E27" s="60" t="s">
        <v>53</v>
      </c>
      <c r="F27" s="61">
        <f t="shared" si="1"/>
        <v>2800000</v>
      </c>
      <c r="G27" s="83">
        <f>ПСИ_АИ</f>
        <v>4</v>
      </c>
      <c r="H27" s="71"/>
      <c r="I27" s="71"/>
    </row>
    <row r="28" spans="2:10" ht="15" x14ac:dyDescent="0.2">
      <c r="B28" s="13">
        <f t="shared" si="0"/>
        <v>20</v>
      </c>
      <c r="C28" s="73" t="s">
        <v>28</v>
      </c>
      <c r="D28" s="73" t="s">
        <v>46</v>
      </c>
      <c r="E28" s="60" t="s">
        <v>17</v>
      </c>
      <c r="F28" s="61">
        <f>G28*ЧелМесОстальные</f>
        <v>2800000</v>
      </c>
      <c r="G28" s="83">
        <f>РазработкаЭД</f>
        <v>4</v>
      </c>
      <c r="H28" s="71"/>
      <c r="I28" s="71"/>
    </row>
    <row r="29" spans="2:10" ht="15.75" thickBot="1" x14ac:dyDescent="0.25">
      <c r="B29" s="67">
        <f t="shared" si="0"/>
        <v>21</v>
      </c>
      <c r="C29" s="68" t="s">
        <v>38</v>
      </c>
      <c r="D29" s="68" t="s">
        <v>30</v>
      </c>
      <c r="E29" s="69" t="s">
        <v>14</v>
      </c>
      <c r="F29" s="70">
        <f>G29*md</f>
        <v>9975000</v>
      </c>
      <c r="G29" s="86">
        <f>Монтаж</f>
        <v>14.25</v>
      </c>
      <c r="H29" s="90"/>
      <c r="I29" s="71"/>
      <c r="J29" s="74"/>
    </row>
    <row r="30" spans="2:10" ht="16.5" thickBot="1" x14ac:dyDescent="0.3">
      <c r="B30" s="5"/>
      <c r="C30" s="6"/>
      <c r="D30" s="6"/>
      <c r="E30" s="7" t="s">
        <v>55</v>
      </c>
      <c r="F30" s="6"/>
      <c r="G30" s="6"/>
      <c r="H30" s="71"/>
      <c r="I30" s="71"/>
    </row>
    <row r="31" spans="2:10" ht="30" x14ac:dyDescent="0.2">
      <c r="B31" s="17">
        <f t="shared" si="0"/>
        <v>23</v>
      </c>
      <c r="C31" s="15" t="s">
        <v>68</v>
      </c>
      <c r="D31" s="15" t="s">
        <v>10</v>
      </c>
      <c r="E31" s="16" t="s">
        <v>54</v>
      </c>
      <c r="F31" s="19">
        <f>ВоеннаяПриемка</f>
        <v>0</v>
      </c>
      <c r="G31" s="87" t="s">
        <v>10</v>
      </c>
      <c r="H31" s="71"/>
      <c r="I31" s="71"/>
    </row>
    <row r="32" spans="2:10" ht="15" x14ac:dyDescent="0.2">
      <c r="B32" s="17">
        <f t="shared" si="0"/>
        <v>24</v>
      </c>
      <c r="C32" s="15" t="s">
        <v>19</v>
      </c>
      <c r="D32" s="15" t="s">
        <v>10</v>
      </c>
      <c r="E32" s="16" t="s">
        <v>34</v>
      </c>
      <c r="F32" s="19">
        <f ca="1">ВТК</f>
        <v>0</v>
      </c>
      <c r="G32" s="87" t="s">
        <v>10</v>
      </c>
      <c r="H32" s="71"/>
      <c r="I32" s="71"/>
    </row>
    <row r="33" spans="2:10" ht="15" x14ac:dyDescent="0.2">
      <c r="B33" s="17">
        <f t="shared" si="0"/>
        <v>25</v>
      </c>
      <c r="C33" s="327" t="s">
        <v>35</v>
      </c>
      <c r="D33" s="15" t="s">
        <v>10</v>
      </c>
      <c r="E33" s="21" t="s">
        <v>74</v>
      </c>
      <c r="F33" s="19"/>
      <c r="G33" s="87" t="s">
        <v>10</v>
      </c>
      <c r="H33" s="71"/>
      <c r="I33" s="71"/>
    </row>
    <row r="34" spans="2:10" ht="15" x14ac:dyDescent="0.2">
      <c r="B34" s="17">
        <f t="shared" si="0"/>
        <v>26</v>
      </c>
      <c r="C34" s="328"/>
      <c r="D34" s="15" t="s">
        <v>10</v>
      </c>
      <c r="E34" s="21" t="s">
        <v>72</v>
      </c>
      <c r="F34" s="19">
        <f ca="1">Резерв</f>
        <v>36707325.207149997</v>
      </c>
      <c r="G34" s="91">
        <f ca="1">F34/Итого_первый</f>
        <v>0.12396694214876032</v>
      </c>
      <c r="H34" s="71"/>
      <c r="I34" s="71"/>
    </row>
    <row r="35" spans="2:10" ht="15.75" thickBot="1" x14ac:dyDescent="0.25">
      <c r="B35" s="20">
        <f t="shared" si="0"/>
        <v>27</v>
      </c>
      <c r="C35" s="76" t="s">
        <v>36</v>
      </c>
      <c r="D35" s="76" t="s">
        <v>10</v>
      </c>
      <c r="E35" s="55" t="s">
        <v>49</v>
      </c>
      <c r="F35" s="56">
        <f ca="1">БГ</f>
        <v>14682930.08286</v>
      </c>
      <c r="G35" s="88">
        <f>БанковскаяГарантия</f>
        <v>0.06</v>
      </c>
      <c r="H35" s="71"/>
      <c r="I35" s="71"/>
    </row>
    <row r="36" spans="2:10" ht="15.75" thickBot="1" x14ac:dyDescent="0.3">
      <c r="B36" s="325" t="s">
        <v>4</v>
      </c>
      <c r="C36" s="326"/>
      <c r="D36" s="326"/>
      <c r="E36" s="326"/>
      <c r="F36" s="72">
        <f ca="1">SUM(F9:F35)</f>
        <v>296105756.67101002</v>
      </c>
      <c r="G36" s="89">
        <f>SUM(G21:G29)</f>
        <v>79.75</v>
      </c>
      <c r="H36" s="71"/>
      <c r="I36" s="71"/>
      <c r="J36" s="75"/>
    </row>
    <row r="37" spans="2:10" ht="13.5" thickBot="1" x14ac:dyDescent="0.25">
      <c r="G37" s="4"/>
      <c r="H37" s="80"/>
      <c r="I37" s="75"/>
    </row>
    <row r="38" spans="2:10" x14ac:dyDescent="0.2">
      <c r="B38" s="36" t="s">
        <v>21</v>
      </c>
      <c r="C38" s="37" t="s">
        <v>89</v>
      </c>
      <c r="D38" s="39" t="s">
        <v>90</v>
      </c>
      <c r="F38" s="49" t="s">
        <v>7</v>
      </c>
      <c r="G38" s="52">
        <v>120</v>
      </c>
    </row>
    <row r="39" spans="2:10" x14ac:dyDescent="0.2">
      <c r="B39" s="33">
        <f>ROW()-ROW($B$38)</f>
        <v>1</v>
      </c>
      <c r="C39" s="3" t="s">
        <v>113</v>
      </c>
      <c r="D39" s="34" t="s">
        <v>115</v>
      </c>
      <c r="F39" s="50" t="s">
        <v>6</v>
      </c>
      <c r="G39" s="53">
        <v>110</v>
      </c>
    </row>
    <row r="40" spans="2:10" x14ac:dyDescent="0.2">
      <c r="B40" s="33">
        <v>2</v>
      </c>
      <c r="C40" s="3" t="s">
        <v>114</v>
      </c>
      <c r="D40" s="34" t="s">
        <v>109</v>
      </c>
      <c r="F40" s="50" t="s">
        <v>39</v>
      </c>
      <c r="G40" s="53">
        <v>1.35</v>
      </c>
    </row>
    <row r="41" spans="2:10" x14ac:dyDescent="0.2">
      <c r="B41" s="33"/>
      <c r="C41" s="3"/>
      <c r="D41" s="34"/>
      <c r="F41" s="50" t="s">
        <v>76</v>
      </c>
      <c r="G41" s="54">
        <v>700000</v>
      </c>
    </row>
    <row r="42" spans="2:10" ht="13.5" thickBot="1" x14ac:dyDescent="0.25">
      <c r="B42" s="33"/>
      <c r="C42" s="3"/>
      <c r="D42" s="34"/>
      <c r="F42" s="51" t="s">
        <v>77</v>
      </c>
      <c r="G42" s="54">
        <v>700000</v>
      </c>
    </row>
    <row r="43" spans="2:10" ht="13.5" thickBot="1" x14ac:dyDescent="0.25"/>
    <row r="44" spans="2:10" x14ac:dyDescent="0.2">
      <c r="B44" s="36" t="s">
        <v>21</v>
      </c>
      <c r="C44" s="37" t="s">
        <v>93</v>
      </c>
      <c r="D44" s="39" t="s">
        <v>94</v>
      </c>
    </row>
    <row r="45" spans="2:10" x14ac:dyDescent="0.2">
      <c r="B45" s="33">
        <f>ROW()-ROW($B$44)</f>
        <v>1</v>
      </c>
      <c r="C45" s="3" t="s">
        <v>91</v>
      </c>
      <c r="D45" s="46" t="s">
        <v>107</v>
      </c>
    </row>
    <row r="46" spans="2:10" ht="25.5" x14ac:dyDescent="0.2">
      <c r="B46" s="33">
        <f>ROW()-ROW($B$44)</f>
        <v>2</v>
      </c>
      <c r="C46" s="3" t="s">
        <v>92</v>
      </c>
      <c r="D46" s="46" t="s">
        <v>108</v>
      </c>
    </row>
    <row r="47" spans="2:10" x14ac:dyDescent="0.2">
      <c r="B47" s="33"/>
      <c r="C47" s="3"/>
      <c r="D47" s="46"/>
    </row>
    <row r="48" spans="2:10" x14ac:dyDescent="0.2">
      <c r="B48" s="33"/>
      <c r="C48" s="3"/>
      <c r="D48" s="46"/>
    </row>
    <row r="49" spans="2:4" ht="13.5" thickBot="1" x14ac:dyDescent="0.25">
      <c r="B49" s="35"/>
      <c r="C49" s="32"/>
      <c r="D49" s="47"/>
    </row>
  </sheetData>
  <mergeCells count="3">
    <mergeCell ref="D9:D15"/>
    <mergeCell ref="B36:E36"/>
    <mergeCell ref="C33:C34"/>
  </mergeCells>
  <pageMargins left="0.25" right="0.25" top="0.75" bottom="0.75" header="0.3" footer="0.3"/>
  <pageSetup paperSize="9" scale="61" fitToHeight="0" orientation="portrait" r:id="rId1"/>
  <colBreaks count="1" manualBreakCount="1">
    <brk id="7" min="1" max="5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ЭтаКнига.склейка">
                <anchor moveWithCells="1" sizeWithCells="1">
                  <from>
                    <xdr:col>4</xdr:col>
                    <xdr:colOff>276225</xdr:colOff>
                    <xdr:row>37</xdr:row>
                    <xdr:rowOff>0</xdr:rowOff>
                  </from>
                  <to>
                    <xdr:col>4</xdr:col>
                    <xdr:colOff>2200275</xdr:colOff>
                    <xdr:row>40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1">
    <tabColor rgb="FF92D050"/>
    <pageSetUpPr fitToPage="1"/>
  </sheetPr>
  <dimension ref="A1:AJ130"/>
  <sheetViews>
    <sheetView showGridLines="0" tabSelected="1" view="pageBreakPreview" zoomScale="85" zoomScaleNormal="85" zoomScaleSheetLayoutView="85" workbookViewId="0">
      <pane ySplit="12" topLeftCell="A16" activePane="bottomLeft" state="frozen"/>
      <selection pane="bottomLeft" activeCell="D16" sqref="D16"/>
    </sheetView>
  </sheetViews>
  <sheetFormatPr defaultColWidth="9.7109375" defaultRowHeight="15" x14ac:dyDescent="0.25"/>
  <cols>
    <col min="1" max="1" width="10.7109375" style="94" customWidth="1"/>
    <col min="2" max="2" width="4.7109375" style="94" customWidth="1"/>
    <col min="3" max="3" width="10.5703125" style="94" customWidth="1"/>
    <col min="4" max="4" width="63.28515625" style="94" customWidth="1"/>
    <col min="5" max="5" width="27.42578125" style="94" customWidth="1"/>
    <col min="6" max="6" width="13.42578125" style="94" customWidth="1"/>
    <col min="7" max="7" width="14.7109375" style="94" customWidth="1"/>
    <col min="8" max="8" width="14.140625" style="94" customWidth="1"/>
    <col min="9" max="9" width="12.28515625" style="94" customWidth="1"/>
    <col min="10" max="10" width="16.85546875" style="94" customWidth="1"/>
    <col min="11" max="11" width="16.140625" style="94" customWidth="1"/>
    <col min="12" max="12" width="16.7109375" style="94" bestFit="1" customWidth="1"/>
    <col min="13" max="13" width="13.7109375" style="96" customWidth="1"/>
    <col min="14" max="15" width="8.7109375" style="94" customWidth="1"/>
    <col min="16" max="16" width="13.7109375" style="94" customWidth="1"/>
    <col min="17" max="18" width="13.7109375" style="95" customWidth="1"/>
    <col min="19" max="19" width="15.7109375" style="95" customWidth="1"/>
    <col min="20" max="20" width="9.28515625" style="95" customWidth="1"/>
    <col min="21" max="27" width="6.7109375" style="95" customWidth="1"/>
    <col min="28" max="33" width="11.7109375" style="94" customWidth="1"/>
    <col min="34" max="35" width="16.28515625" style="94" customWidth="1"/>
    <col min="36" max="36" width="8" style="94" customWidth="1"/>
    <col min="37" max="16384" width="9.7109375" style="94"/>
  </cols>
  <sheetData>
    <row r="1" spans="2:27" ht="18" x14ac:dyDescent="0.25">
      <c r="E1" s="317" t="s">
        <v>251</v>
      </c>
      <c r="F1" s="317">
        <v>112</v>
      </c>
    </row>
    <row r="2" spans="2:27" ht="18.75" thickBot="1" x14ac:dyDescent="0.3">
      <c r="C2" s="321" t="s">
        <v>270</v>
      </c>
      <c r="D2" s="227"/>
      <c r="E2" s="317" t="s">
        <v>250</v>
      </c>
      <c r="F2" s="317">
        <v>16</v>
      </c>
      <c r="I2" s="227" t="s">
        <v>231</v>
      </c>
    </row>
    <row r="3" spans="2:27" ht="18.75" thickBot="1" x14ac:dyDescent="0.3">
      <c r="D3" s="226" t="s">
        <v>174</v>
      </c>
      <c r="E3" s="317" t="s">
        <v>249</v>
      </c>
      <c r="F3" s="317">
        <v>176</v>
      </c>
      <c r="G3" s="227"/>
      <c r="H3" s="232" t="s">
        <v>177</v>
      </c>
      <c r="I3" s="227" t="s">
        <v>220</v>
      </c>
      <c r="J3" s="225" t="s">
        <v>171</v>
      </c>
      <c r="K3" s="219">
        <f ca="1">Итого</f>
        <v>296105756.67101002</v>
      </c>
      <c r="L3" s="218"/>
    </row>
    <row r="4" spans="2:27" ht="18.75" thickBot="1" x14ac:dyDescent="0.3">
      <c r="C4" s="227" t="s">
        <v>221</v>
      </c>
      <c r="D4" s="227" t="s">
        <v>173</v>
      </c>
      <c r="E4" s="317" t="s">
        <v>248</v>
      </c>
      <c r="F4" s="317">
        <v>88</v>
      </c>
      <c r="G4" s="227"/>
      <c r="H4" s="227"/>
      <c r="I4" s="97"/>
      <c r="J4" s="224" t="s">
        <v>170</v>
      </c>
      <c r="K4" s="219">
        <f ca="1">Итого_первый</f>
        <v>296105756.67101002</v>
      </c>
      <c r="L4" s="218"/>
      <c r="N4" s="221" t="s">
        <v>36</v>
      </c>
      <c r="O4" s="223">
        <v>0.06</v>
      </c>
      <c r="P4" s="221" t="s">
        <v>169</v>
      </c>
      <c r="Q4" s="222">
        <v>0</v>
      </c>
      <c r="R4" s="221" t="s">
        <v>55</v>
      </c>
      <c r="S4" s="212"/>
    </row>
    <row r="5" spans="2:27" ht="27" thickBot="1" x14ac:dyDescent="0.3">
      <c r="D5" s="227" t="s">
        <v>222</v>
      </c>
      <c r="E5" s="317" t="s">
        <v>247</v>
      </c>
      <c r="F5" s="317">
        <v>288</v>
      </c>
      <c r="J5" s="220" t="s">
        <v>168</v>
      </c>
      <c r="K5" s="219">
        <f ca="1">Итого-Итого_первый</f>
        <v>0</v>
      </c>
      <c r="L5" s="230">
        <f ca="1">Итого-Итого_первый</f>
        <v>0</v>
      </c>
      <c r="M5" s="217"/>
      <c r="N5" s="217"/>
      <c r="O5" s="217"/>
      <c r="P5" s="217"/>
      <c r="Q5" s="217"/>
      <c r="R5" s="216" t="s">
        <v>167</v>
      </c>
      <c r="S5" s="212">
        <v>35837431.148241758</v>
      </c>
      <c r="T5" s="215"/>
      <c r="U5" s="215"/>
      <c r="V5" s="215"/>
      <c r="W5" s="215"/>
      <c r="X5" s="215"/>
      <c r="Y5" s="215"/>
      <c r="Z5" s="215"/>
      <c r="AA5" s="215"/>
    </row>
    <row r="6" spans="2:27" ht="18.75" thickBot="1" x14ac:dyDescent="0.3">
      <c r="D6" s="227" t="s">
        <v>221</v>
      </c>
      <c r="E6" s="317" t="s">
        <v>244</v>
      </c>
      <c r="F6" s="317">
        <v>56</v>
      </c>
      <c r="J6" s="314"/>
      <c r="K6" s="218"/>
      <c r="L6" s="230"/>
      <c r="M6" s="217"/>
      <c r="N6" s="217"/>
      <c r="O6" s="217"/>
      <c r="P6" s="217"/>
      <c r="Q6" s="217"/>
      <c r="R6" s="213" t="s">
        <v>166</v>
      </c>
      <c r="S6" s="212">
        <f ca="1">$J$104</f>
        <v>296105756.67101002</v>
      </c>
      <c r="T6" s="215"/>
      <c r="U6" s="215"/>
      <c r="V6" s="215"/>
      <c r="W6" s="215"/>
      <c r="X6" s="215"/>
      <c r="Y6" s="215"/>
      <c r="Z6" s="215"/>
      <c r="AA6" s="215"/>
    </row>
    <row r="7" spans="2:27" ht="18" x14ac:dyDescent="0.25">
      <c r="D7" s="227"/>
      <c r="E7" s="317" t="s">
        <v>245</v>
      </c>
      <c r="F7" s="317">
        <v>36</v>
      </c>
      <c r="G7" s="316"/>
      <c r="J7" s="314"/>
      <c r="K7" s="218"/>
      <c r="L7" s="230"/>
      <c r="M7" s="217"/>
      <c r="N7" s="217"/>
      <c r="O7" s="217"/>
      <c r="P7" s="217"/>
      <c r="Q7" s="217"/>
      <c r="R7" s="315"/>
      <c r="S7" s="212"/>
      <c r="T7" s="215"/>
      <c r="U7" s="215"/>
      <c r="V7" s="215"/>
      <c r="W7" s="215"/>
      <c r="X7" s="215"/>
      <c r="Y7" s="215"/>
      <c r="Z7" s="215"/>
      <c r="AA7" s="215"/>
    </row>
    <row r="8" spans="2:27" ht="18" x14ac:dyDescent="0.25">
      <c r="D8" s="227"/>
      <c r="E8" s="317" t="s">
        <v>246</v>
      </c>
      <c r="F8" s="317">
        <v>88</v>
      </c>
      <c r="G8" s="316"/>
      <c r="J8" s="314"/>
      <c r="K8" s="218"/>
      <c r="L8" s="230"/>
      <c r="M8" s="217"/>
      <c r="N8" s="217"/>
      <c r="O8" s="217"/>
      <c r="P8" s="217"/>
      <c r="Q8" s="217"/>
      <c r="R8" s="315"/>
      <c r="S8" s="212"/>
      <c r="T8" s="215"/>
      <c r="U8" s="215"/>
      <c r="V8" s="215"/>
      <c r="W8" s="215"/>
      <c r="X8" s="215"/>
      <c r="Y8" s="215"/>
      <c r="Z8" s="215"/>
      <c r="AA8" s="215"/>
    </row>
    <row r="9" spans="2:27" ht="18" x14ac:dyDescent="0.25">
      <c r="D9" s="227"/>
      <c r="E9" s="317" t="s">
        <v>252</v>
      </c>
      <c r="F9" s="317">
        <v>1</v>
      </c>
      <c r="G9" s="316"/>
      <c r="J9" s="314"/>
      <c r="K9" s="218"/>
      <c r="L9" s="230"/>
      <c r="M9" s="217"/>
      <c r="N9" s="217"/>
      <c r="O9" s="217"/>
      <c r="P9" s="217"/>
      <c r="Q9" s="217"/>
      <c r="R9" s="315"/>
      <c r="S9" s="212"/>
      <c r="T9" s="215"/>
      <c r="U9" s="215"/>
      <c r="V9" s="215"/>
      <c r="W9" s="215"/>
      <c r="X9" s="215"/>
      <c r="Y9" s="215"/>
      <c r="Z9" s="215"/>
      <c r="AA9" s="215"/>
    </row>
    <row r="10" spans="2:27" ht="14.45" customHeight="1" x14ac:dyDescent="0.25">
      <c r="D10" s="99" t="str">
        <f>Расчет!E3</f>
        <v>КБхиммаш им. А.М. Исаева</v>
      </c>
      <c r="E10" s="99"/>
      <c r="F10" s="99"/>
      <c r="G10" s="99"/>
      <c r="H10" s="99"/>
      <c r="I10" s="211" t="str">
        <f>CONCATENATE("tkp",Расчет!D5)</f>
        <v>tkp2024-063/5.1</v>
      </c>
      <c r="J10" s="214">
        <f ca="1">Расчет!C5</f>
        <v>46267</v>
      </c>
      <c r="M10" s="210"/>
      <c r="N10" s="96"/>
      <c r="O10" s="96"/>
      <c r="P10" s="96"/>
      <c r="Q10" s="96"/>
      <c r="R10" s="94"/>
      <c r="S10" s="94"/>
    </row>
    <row r="11" spans="2:27" ht="36.6" customHeight="1" thickBot="1" x14ac:dyDescent="0.25">
      <c r="D11" s="347" t="s">
        <v>161</v>
      </c>
      <c r="E11" s="347"/>
      <c r="F11" s="347"/>
      <c r="G11" s="347"/>
      <c r="H11" s="347"/>
      <c r="I11" s="211"/>
      <c r="M11" s="210"/>
      <c r="Q11" s="94"/>
      <c r="R11" s="94"/>
      <c r="S11" s="338" t="s">
        <v>165</v>
      </c>
      <c r="T11" s="338" t="s">
        <v>164</v>
      </c>
      <c r="U11" s="338" t="s">
        <v>40</v>
      </c>
      <c r="V11" s="338" t="s">
        <v>163</v>
      </c>
      <c r="W11" s="338" t="s">
        <v>16</v>
      </c>
      <c r="X11" s="338" t="s">
        <v>162</v>
      </c>
      <c r="Y11" s="338" t="s">
        <v>31</v>
      </c>
      <c r="Z11" s="338" t="s">
        <v>28</v>
      </c>
      <c r="AA11" s="338" t="s">
        <v>38</v>
      </c>
    </row>
    <row r="12" spans="2:27" s="99" customFormat="1" ht="45" customHeight="1" thickBot="1" x14ac:dyDescent="0.25">
      <c r="B12" s="355" t="s">
        <v>160</v>
      </c>
      <c r="C12" s="356"/>
      <c r="D12" s="209" t="s">
        <v>0</v>
      </c>
      <c r="E12" s="209" t="s">
        <v>159</v>
      </c>
      <c r="F12" s="209" t="s">
        <v>158</v>
      </c>
      <c r="G12" s="209" t="s">
        <v>243</v>
      </c>
      <c r="H12" s="209" t="s">
        <v>158</v>
      </c>
      <c r="I12" s="209" t="s">
        <v>157</v>
      </c>
      <c r="J12" s="208" t="s">
        <v>156</v>
      </c>
      <c r="K12" s="207" t="s">
        <v>155</v>
      </c>
      <c r="L12" s="207" t="s">
        <v>172</v>
      </c>
      <c r="M12" s="206" t="s">
        <v>154</v>
      </c>
      <c r="N12" s="205" t="s">
        <v>153</v>
      </c>
      <c r="O12" s="205" t="s">
        <v>152</v>
      </c>
      <c r="P12" s="205" t="s">
        <v>151</v>
      </c>
      <c r="Q12" s="205" t="s">
        <v>150</v>
      </c>
      <c r="R12" s="205" t="s">
        <v>149</v>
      </c>
      <c r="S12" s="339"/>
      <c r="T12" s="339"/>
      <c r="U12" s="339"/>
      <c r="V12" s="339"/>
      <c r="W12" s="339"/>
      <c r="X12" s="339"/>
      <c r="Y12" s="339"/>
      <c r="Z12" s="339"/>
      <c r="AA12" s="339"/>
    </row>
    <row r="13" spans="2:27" s="99" customFormat="1" ht="12.75" x14ac:dyDescent="0.2">
      <c r="B13" s="170">
        <f ca="1">MAX(OFFSET($B$4:B13,-1,0))+1</f>
        <v>1</v>
      </c>
      <c r="C13" s="128"/>
      <c r="D13" s="204" t="s">
        <v>180</v>
      </c>
      <c r="E13" s="127"/>
      <c r="F13" s="127"/>
      <c r="G13" s="127"/>
      <c r="H13" s="203">
        <f>F14+G14</f>
        <v>2</v>
      </c>
      <c r="I13" s="126"/>
      <c r="J13" s="202"/>
      <c r="K13" s="159"/>
      <c r="L13" s="159"/>
      <c r="M13" s="159"/>
      <c r="N13" s="158"/>
      <c r="O13" s="158"/>
      <c r="P13" s="158"/>
      <c r="Q13" s="154"/>
      <c r="R13" s="154"/>
      <c r="S13" s="154"/>
      <c r="T13" s="154"/>
      <c r="U13" s="156"/>
      <c r="V13" s="156"/>
      <c r="W13" s="156"/>
      <c r="X13" s="156"/>
      <c r="Y13" s="155"/>
      <c r="Z13" s="155"/>
      <c r="AA13" s="154"/>
    </row>
    <row r="14" spans="2:27" s="99" customFormat="1" ht="63.75" x14ac:dyDescent="0.2">
      <c r="B14" s="139"/>
      <c r="C14" s="144" t="str">
        <f ca="1">CONCATENATE(MAX($B$3:B14),".",ROW()-MATCH(MAX($B$3:B14),$B$3:B14,0))</f>
        <v>1.3</v>
      </c>
      <c r="D14" s="306" t="s">
        <v>239</v>
      </c>
      <c r="E14" s="308" t="s">
        <v>257</v>
      </c>
      <c r="F14" s="310">
        <f>ROUNDUP((F15/дубль)/16,0)*дубль</f>
        <v>1</v>
      </c>
      <c r="G14" s="310">
        <v>1</v>
      </c>
      <c r="H14" s="310">
        <f>SUM(F14:G14)</f>
        <v>2</v>
      </c>
      <c r="I14" s="113">
        <f t="shared" ref="I14:I22" si="0">(Q14+R14)*IF(O14,1,M14)</f>
        <v>735356</v>
      </c>
      <c r="J14" s="273">
        <f>I14*H14</f>
        <v>1470712</v>
      </c>
      <c r="K14" s="148"/>
      <c r="L14" s="148"/>
      <c r="M14" s="111">
        <f t="shared" ref="M14:M26" si="1">kz</f>
        <v>1.35</v>
      </c>
      <c r="N14" s="110">
        <v>0</v>
      </c>
      <c r="O14" s="110">
        <v>1</v>
      </c>
      <c r="P14" s="110" t="s">
        <v>56</v>
      </c>
      <c r="Q14" s="108">
        <v>735356</v>
      </c>
      <c r="R14" s="108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s="99" customFormat="1" ht="127.5" x14ac:dyDescent="0.2">
      <c r="B15" s="249"/>
      <c r="C15" s="144" t="str">
        <f ca="1">CONCATENATE(MAX($B$3:B15),".",ROW()-MATCH(MAX($B$3:B15),$B$3:B15,0))</f>
        <v>1.4</v>
      </c>
      <c r="D15" s="306" t="s">
        <v>240</v>
      </c>
      <c r="E15" s="307" t="s">
        <v>256</v>
      </c>
      <c r="F15" s="310">
        <f>ROUNDUP(Niepe/8,0)*дубль</f>
        <v>7</v>
      </c>
      <c r="G15" s="310">
        <v>1</v>
      </c>
      <c r="H15" s="310">
        <f t="shared" ref="H15:H20" si="2">SUM(F15:G15)</f>
        <v>8</v>
      </c>
      <c r="I15" s="113">
        <f t="shared" si="0"/>
        <v>150889.16205000001</v>
      </c>
      <c r="J15" s="273">
        <f t="shared" ref="J15:J22" si="3">I15*H15</f>
        <v>1207113.2964000001</v>
      </c>
      <c r="K15" s="148"/>
      <c r="L15" s="148"/>
      <c r="M15" s="111">
        <f t="shared" si="1"/>
        <v>1.35</v>
      </c>
      <c r="N15" s="110">
        <v>0</v>
      </c>
      <c r="O15" s="110">
        <v>1</v>
      </c>
      <c r="P15" s="110" t="s">
        <v>56</v>
      </c>
      <c r="Q15" s="108">
        <v>150889.16205000001</v>
      </c>
      <c r="R15" s="108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76.5" x14ac:dyDescent="0.2">
      <c r="B16" s="145"/>
      <c r="C16" s="144" t="str">
        <f ca="1">CONCATENATE(MAX($B$3:B20),".",ROW()-MATCH(MAX($B$3:B20),$B$3:B20,0))</f>
        <v>1.5</v>
      </c>
      <c r="D16" s="308" t="s">
        <v>181</v>
      </c>
      <c r="E16" s="308" t="s">
        <v>255</v>
      </c>
      <c r="F16" s="310">
        <f>ROUNDUP((SUM(F17:F20)/дубль)/16,0)*дубль</f>
        <v>5</v>
      </c>
      <c r="G16" s="310">
        <v>1</v>
      </c>
      <c r="H16" s="310">
        <f t="shared" si="2"/>
        <v>6</v>
      </c>
      <c r="I16" s="113">
        <f t="shared" si="0"/>
        <v>213045</v>
      </c>
      <c r="J16" s="273">
        <f t="shared" si="3"/>
        <v>1278270</v>
      </c>
      <c r="K16" s="148"/>
      <c r="L16" s="142"/>
      <c r="M16" s="111">
        <f t="shared" si="1"/>
        <v>1.35</v>
      </c>
      <c r="N16" s="110">
        <v>0</v>
      </c>
      <c r="O16" s="110">
        <v>1</v>
      </c>
      <c r="P16" s="110" t="s">
        <v>56</v>
      </c>
      <c r="Q16" s="108">
        <v>213045</v>
      </c>
      <c r="R16" s="108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29" ht="51" x14ac:dyDescent="0.2">
      <c r="B17" s="250"/>
      <c r="C17" s="144" t="str">
        <f ca="1">CONCATENATE(MAX($B$3:B20),".",ROW()-MATCH(MAX($B$3:B20),$B$3:B20,0))</f>
        <v>1.6</v>
      </c>
      <c r="D17" s="308" t="s">
        <v>241</v>
      </c>
      <c r="E17" s="309" t="s">
        <v>254</v>
      </c>
      <c r="F17" s="310">
        <f>(ROUNDUP(Nтс/16,0)+ROUNDUP(Nтп/16,0)+ROUNDUP(Nпос/16,0))*дубль</f>
        <v>35</v>
      </c>
      <c r="G17" s="310">
        <v>1</v>
      </c>
      <c r="H17" s="310">
        <f t="shared" si="2"/>
        <v>36</v>
      </c>
      <c r="I17" s="113">
        <f t="shared" si="0"/>
        <v>143656.83734999999</v>
      </c>
      <c r="J17" s="273">
        <f t="shared" si="3"/>
        <v>5171646.1445999993</v>
      </c>
      <c r="K17" s="318"/>
      <c r="L17" s="142"/>
      <c r="M17" s="111">
        <f t="shared" si="1"/>
        <v>1.35</v>
      </c>
      <c r="N17" s="110">
        <v>0</v>
      </c>
      <c r="O17" s="110">
        <v>1</v>
      </c>
      <c r="P17" s="110" t="s">
        <v>56</v>
      </c>
      <c r="Q17" s="108">
        <v>143656.83734999999</v>
      </c>
      <c r="R17" s="108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29" s="99" customFormat="1" ht="76.5" x14ac:dyDescent="0.2">
      <c r="B18" s="249"/>
      <c r="C18" s="144" t="str">
        <f ca="1">CONCATENATE(MAX($B$3:B20),".",ROW()-MATCH(MAX($B$3:B20),$B$3:B20,0))</f>
        <v>1.7</v>
      </c>
      <c r="D18" s="308" t="s">
        <v>238</v>
      </c>
      <c r="E18" s="309" t="s">
        <v>253</v>
      </c>
      <c r="F18" s="310">
        <f>ROUNDUP((Nтенз+Nдеф)/4,0)*дубль</f>
        <v>31</v>
      </c>
      <c r="G18" s="310">
        <v>1</v>
      </c>
      <c r="H18" s="310">
        <f t="shared" si="2"/>
        <v>32</v>
      </c>
      <c r="I18" s="113">
        <f t="shared" si="0"/>
        <v>56628</v>
      </c>
      <c r="J18" s="273">
        <f t="shared" si="3"/>
        <v>1812096</v>
      </c>
      <c r="K18" s="148"/>
      <c r="L18" s="148"/>
      <c r="M18" s="111">
        <f t="shared" si="1"/>
        <v>1.35</v>
      </c>
      <c r="N18" s="110">
        <v>0</v>
      </c>
      <c r="O18" s="110">
        <v>1</v>
      </c>
      <c r="P18" s="110" t="s">
        <v>56</v>
      </c>
      <c r="Q18" s="108">
        <v>56628</v>
      </c>
      <c r="R18" s="108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29" s="99" customFormat="1" ht="51" x14ac:dyDescent="0.2">
      <c r="B19" s="249"/>
      <c r="C19" s="144" t="str">
        <f ca="1">CONCATENATE(MAX($B$3:B27),".",ROW()-MATCH(MAX($B$3:B27),$B$3:B27,0))</f>
        <v>1.8</v>
      </c>
      <c r="D19" s="308" t="s">
        <v>237</v>
      </c>
      <c r="E19" s="309" t="s">
        <v>258</v>
      </c>
      <c r="F19" s="310">
        <f>ROUNDUP(Nf/8,0)*дубль</f>
        <v>2</v>
      </c>
      <c r="G19" s="310">
        <v>1</v>
      </c>
      <c r="H19" s="310">
        <f t="shared" si="2"/>
        <v>3</v>
      </c>
      <c r="I19" s="113">
        <f>(Q19+R19)*IF(O19,1,M19)</f>
        <v>874064.4</v>
      </c>
      <c r="J19" s="273">
        <f>I19*H19</f>
        <v>2622193.2000000002</v>
      </c>
      <c r="K19" s="148"/>
      <c r="L19" s="148"/>
      <c r="M19" s="111">
        <f t="shared" si="1"/>
        <v>1.35</v>
      </c>
      <c r="N19" s="110">
        <v>0</v>
      </c>
      <c r="O19" s="110">
        <v>1</v>
      </c>
      <c r="P19" s="110" t="s">
        <v>56</v>
      </c>
      <c r="Q19" s="108">
        <v>874064.4</v>
      </c>
      <c r="R19" s="108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29" s="99" customFormat="1" ht="38.25" x14ac:dyDescent="0.2">
      <c r="B20" s="249"/>
      <c r="C20" s="144" t="str">
        <f ca="1">CONCATENATE(MAX($B$3:B27),".",ROW()-MATCH(MAX($B$3:B27),$B$3:B27,0))</f>
        <v>1.9</v>
      </c>
      <c r="D20" s="308" t="s">
        <v>236</v>
      </c>
      <c r="E20" s="309" t="s">
        <v>259</v>
      </c>
      <c r="F20" s="310">
        <f>ROUNDUP(Ndi/32,0)*дубль</f>
        <v>4</v>
      </c>
      <c r="G20" s="310">
        <v>1</v>
      </c>
      <c r="H20" s="310">
        <f t="shared" si="2"/>
        <v>5</v>
      </c>
      <c r="I20" s="113">
        <f t="shared" si="0"/>
        <v>62290.8</v>
      </c>
      <c r="J20" s="273">
        <f t="shared" si="3"/>
        <v>311454</v>
      </c>
      <c r="K20" s="148"/>
      <c r="L20" s="148"/>
      <c r="M20" s="111">
        <f t="shared" si="1"/>
        <v>1.35</v>
      </c>
      <c r="N20" s="110">
        <v>0</v>
      </c>
      <c r="O20" s="110">
        <v>1</v>
      </c>
      <c r="P20" s="110" t="s">
        <v>56</v>
      </c>
      <c r="Q20" s="108">
        <v>62290.8</v>
      </c>
      <c r="R20" s="108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29" s="99" customFormat="1" x14ac:dyDescent="0.2">
      <c r="B21" s="319"/>
      <c r="C21" s="117" t="str">
        <f ca="1">CONCATENATE(MAX($B$3:B28),".",ROW()-MATCH(MAX($B$3:B28),$B$3:B28,0))</f>
        <v>1.10</v>
      </c>
      <c r="D21" s="308" t="s">
        <v>267</v>
      </c>
      <c r="E21" s="309" t="s">
        <v>258</v>
      </c>
      <c r="F21" s="310">
        <f>ROUNDUP(Nf/8,0)</f>
        <v>2</v>
      </c>
      <c r="G21" s="310">
        <v>1</v>
      </c>
      <c r="H21" s="310">
        <f t="shared" ref="H21" si="4">SUM(F21:G21)</f>
        <v>3</v>
      </c>
      <c r="I21" s="113"/>
      <c r="J21" s="273"/>
      <c r="K21" s="148"/>
      <c r="L21" s="148"/>
      <c r="M21" s="111"/>
      <c r="N21" s="110"/>
      <c r="O21" s="110"/>
      <c r="P21" s="110"/>
      <c r="Q21" s="108">
        <v>0</v>
      </c>
      <c r="R21" s="108"/>
      <c r="S21" s="100"/>
      <c r="T21" s="100"/>
      <c r="U21" s="100"/>
      <c r="V21" s="100"/>
      <c r="W21" s="100"/>
      <c r="X21" s="100"/>
      <c r="Y21" s="100"/>
      <c r="Z21" s="100"/>
      <c r="AA21" s="100"/>
    </row>
    <row r="22" spans="2:29" s="99" customFormat="1" x14ac:dyDescent="0.2">
      <c r="B22" s="319"/>
      <c r="C22" s="117" t="str">
        <f ca="1">CONCATENATE(MAX($B$3:B28),".",ROW()-MATCH(MAX($B$3:B28),$B$3:B28,0))</f>
        <v>1.11</v>
      </c>
      <c r="D22" s="308" t="s">
        <v>263</v>
      </c>
      <c r="E22" s="309"/>
      <c r="F22" s="310">
        <f>ROUNDUP(Nтс/8,0)</f>
        <v>11</v>
      </c>
      <c r="G22" s="310">
        <v>1</v>
      </c>
      <c r="H22" s="310">
        <f t="shared" ref="H22:H25" si="5">SUM(F22:G22)</f>
        <v>12</v>
      </c>
      <c r="I22" s="113">
        <f t="shared" si="0"/>
        <v>-749482.8</v>
      </c>
      <c r="J22" s="273">
        <f t="shared" si="3"/>
        <v>-8993793.6000000015</v>
      </c>
      <c r="K22" s="148"/>
      <c r="L22" s="148"/>
      <c r="M22" s="111">
        <f t="shared" si="1"/>
        <v>1.35</v>
      </c>
      <c r="N22" s="110">
        <v>0</v>
      </c>
      <c r="O22" s="110">
        <v>1</v>
      </c>
      <c r="P22" s="110" t="s">
        <v>56</v>
      </c>
      <c r="Q22" s="108">
        <v>-749482.8</v>
      </c>
      <c r="R22" s="108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29" s="99" customFormat="1" x14ac:dyDescent="0.2">
      <c r="B23" s="319"/>
      <c r="C23" s="320" t="s">
        <v>260</v>
      </c>
      <c r="D23" s="308" t="s">
        <v>264</v>
      </c>
      <c r="E23" s="309"/>
      <c r="F23" s="310">
        <f>ROUNDUP(Nпос/8,0)</f>
        <v>36</v>
      </c>
      <c r="G23" s="310">
        <v>1</v>
      </c>
      <c r="H23" s="310">
        <f t="shared" si="5"/>
        <v>37</v>
      </c>
      <c r="I23" s="113">
        <f t="shared" ref="I23:I25" si="6">(Q23+R23)*IF(O23,1,M23)</f>
        <v>-1561256.4</v>
      </c>
      <c r="J23" s="273">
        <f t="shared" ref="J23:J26" si="7">I23*H23</f>
        <v>-57766486.799999997</v>
      </c>
      <c r="K23" s="148"/>
      <c r="L23" s="148"/>
      <c r="M23" s="111">
        <f t="shared" si="1"/>
        <v>1.35</v>
      </c>
      <c r="N23" s="110">
        <v>0</v>
      </c>
      <c r="O23" s="110">
        <v>1</v>
      </c>
      <c r="P23" s="110" t="s">
        <v>56</v>
      </c>
      <c r="Q23" s="108">
        <v>-1561256.4</v>
      </c>
      <c r="R23" s="108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29" s="99" customFormat="1" x14ac:dyDescent="0.2">
      <c r="B24" s="319"/>
      <c r="C24" s="320" t="s">
        <v>261</v>
      </c>
      <c r="D24" s="308" t="s">
        <v>265</v>
      </c>
      <c r="E24" s="309"/>
      <c r="F24" s="310">
        <f>ROUNDUP((F14+F16)/8,0)</f>
        <v>1</v>
      </c>
      <c r="G24" s="310">
        <v>1</v>
      </c>
      <c r="H24" s="310">
        <f t="shared" si="5"/>
        <v>2</v>
      </c>
      <c r="I24" s="113">
        <f t="shared" si="6"/>
        <v>-2373030</v>
      </c>
      <c r="J24" s="273">
        <f t="shared" si="7"/>
        <v>-4746060</v>
      </c>
      <c r="K24" s="148"/>
      <c r="L24" s="148"/>
      <c r="M24" s="111">
        <f t="shared" si="1"/>
        <v>1.35</v>
      </c>
      <c r="N24" s="110">
        <v>0</v>
      </c>
      <c r="O24" s="110">
        <v>1</v>
      </c>
      <c r="P24" s="110" t="s">
        <v>56</v>
      </c>
      <c r="Q24" s="108">
        <v>-2373030</v>
      </c>
      <c r="R24" s="108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29" s="99" customFormat="1" x14ac:dyDescent="0.2">
      <c r="B25" s="319"/>
      <c r="C25" s="320" t="s">
        <v>262</v>
      </c>
      <c r="D25" s="308" t="s">
        <v>266</v>
      </c>
      <c r="E25" s="309" t="s">
        <v>269</v>
      </c>
      <c r="F25" s="310">
        <f>ROUNDUP(SUM(F21:F23)/12,0)</f>
        <v>5</v>
      </c>
      <c r="G25" s="310">
        <v>1</v>
      </c>
      <c r="H25" s="310">
        <f t="shared" si="5"/>
        <v>6</v>
      </c>
      <c r="I25" s="113">
        <f t="shared" si="6"/>
        <v>-3184803.6</v>
      </c>
      <c r="J25" s="273">
        <f t="shared" si="7"/>
        <v>-19108821.600000001</v>
      </c>
      <c r="K25" s="148"/>
      <c r="L25" s="148"/>
      <c r="M25" s="111">
        <f t="shared" si="1"/>
        <v>1.35</v>
      </c>
      <c r="N25" s="110">
        <v>0</v>
      </c>
      <c r="O25" s="110">
        <v>1</v>
      </c>
      <c r="P25" s="110" t="s">
        <v>56</v>
      </c>
      <c r="Q25" s="108">
        <v>-3184803.6</v>
      </c>
      <c r="R25" s="108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29" s="99" customFormat="1" x14ac:dyDescent="0.2">
      <c r="B26" s="319"/>
      <c r="C26" s="320" t="s">
        <v>268</v>
      </c>
      <c r="D26" s="308"/>
      <c r="E26" s="309"/>
      <c r="F26" s="310"/>
      <c r="G26" s="310"/>
      <c r="H26" s="310"/>
      <c r="I26" s="113"/>
      <c r="J26" s="273">
        <f t="shared" si="7"/>
        <v>0</v>
      </c>
      <c r="K26" s="148"/>
      <c r="L26" s="148"/>
      <c r="M26" s="111">
        <f t="shared" si="1"/>
        <v>1.35</v>
      </c>
      <c r="N26" s="110">
        <v>0</v>
      </c>
      <c r="O26" s="110">
        <v>1</v>
      </c>
      <c r="P26" s="110" t="s">
        <v>56</v>
      </c>
      <c r="Q26" s="108">
        <v>-3996577.2</v>
      </c>
      <c r="R26" s="108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29" s="99" customFormat="1" ht="15.75" x14ac:dyDescent="0.2">
      <c r="B27" s="163"/>
      <c r="C27" s="162"/>
      <c r="D27" s="345" t="str">
        <f>CONCATENATE("Итого по разделу """,D13,"""",":")</f>
        <v>Итого по разделу "МЕРА":</v>
      </c>
      <c r="E27" s="345"/>
      <c r="F27" s="345"/>
      <c r="G27" s="345"/>
      <c r="H27" s="345"/>
      <c r="I27" s="346"/>
      <c r="J27" s="269">
        <f ca="1">SUM(OFFSET(J14:J27,-1,0))</f>
        <v>-76741677.358999997</v>
      </c>
      <c r="K27" s="136">
        <f ca="1">J27</f>
        <v>-76741677.358999997</v>
      </c>
      <c r="L27" s="136">
        <f ca="1">K27*(1+Дополнительно/(Итого-Дополнительно))</f>
        <v>-92857429.604389995</v>
      </c>
      <c r="N27" s="132"/>
      <c r="O27" s="132"/>
      <c r="P27" s="132"/>
      <c r="Q27" s="131"/>
      <c r="R27" s="131"/>
      <c r="S27" s="130"/>
      <c r="T27" s="130"/>
      <c r="U27" s="130"/>
      <c r="V27" s="130"/>
      <c r="W27" s="130"/>
      <c r="X27" s="130"/>
      <c r="Y27" s="130"/>
      <c r="Z27" s="130"/>
    </row>
    <row r="28" spans="2:29" s="99" customFormat="1" ht="15.75" x14ac:dyDescent="0.2">
      <c r="B28" s="163"/>
      <c r="C28" s="251"/>
      <c r="D28" s="246"/>
      <c r="E28" s="246"/>
      <c r="F28" s="246"/>
      <c r="G28" s="246"/>
      <c r="H28" s="246"/>
      <c r="I28" s="246"/>
      <c r="J28" s="269"/>
      <c r="K28" s="252"/>
      <c r="L28" s="134"/>
      <c r="N28" s="132"/>
      <c r="O28" s="132"/>
      <c r="P28" s="132"/>
      <c r="Q28" s="131"/>
      <c r="R28" s="131"/>
      <c r="S28" s="130"/>
      <c r="T28" s="130"/>
      <c r="U28" s="130"/>
      <c r="V28" s="130"/>
      <c r="W28" s="130"/>
      <c r="X28" s="130"/>
      <c r="Y28" s="130"/>
      <c r="Z28" s="130"/>
    </row>
    <row r="29" spans="2:29" s="99" customFormat="1" ht="15.75" x14ac:dyDescent="0.2">
      <c r="B29" s="170">
        <f ca="1">MAX(OFFSET($B$4:B29,-1,0))+1</f>
        <v>2</v>
      </c>
      <c r="C29" s="128"/>
      <c r="D29" s="329" t="s">
        <v>148</v>
      </c>
      <c r="E29" s="329"/>
      <c r="F29" s="301"/>
      <c r="G29" s="301"/>
      <c r="H29" s="192"/>
      <c r="I29" s="191"/>
      <c r="J29" s="277"/>
      <c r="K29" s="252"/>
      <c r="L29" s="134"/>
      <c r="N29" s="132"/>
      <c r="O29" s="132"/>
      <c r="P29" s="132"/>
      <c r="Q29" s="131"/>
      <c r="R29" s="131"/>
      <c r="S29" s="130"/>
      <c r="T29" s="130"/>
      <c r="U29" s="130"/>
      <c r="V29" s="130"/>
      <c r="W29" s="130"/>
      <c r="X29" s="130"/>
      <c r="Y29" s="130"/>
      <c r="Z29" s="130"/>
    </row>
    <row r="30" spans="2:29" s="99" customFormat="1" ht="15.75" x14ac:dyDescent="0.25">
      <c r="B30" s="163"/>
      <c r="C30" s="199" t="str">
        <f ca="1">CONCATENATE(MAX($B$3:B29),".",ROW()-MATCH(MAX($B$3:B29),$B$3:B29,0))</f>
        <v>2.3</v>
      </c>
      <c r="D30" s="262" t="s">
        <v>187</v>
      </c>
      <c r="E30" s="246"/>
      <c r="F30" s="237">
        <v>1</v>
      </c>
      <c r="G30" s="246"/>
      <c r="H30" s="237">
        <v>1</v>
      </c>
      <c r="I30" s="113">
        <f>(Q30+R30)*IF(O30,1,M30)</f>
        <v>0</v>
      </c>
      <c r="J30" s="273">
        <f>I30*H30</f>
        <v>0</v>
      </c>
      <c r="K30" s="171">
        <f>J30</f>
        <v>0</v>
      </c>
      <c r="L30" s="136">
        <f ca="1">J30*(1+Дополнительно/(Итого-Дополнительно))</f>
        <v>0</v>
      </c>
      <c r="M30" s="111">
        <f>kz</f>
        <v>1.35</v>
      </c>
      <c r="N30" s="110">
        <v>1</v>
      </c>
      <c r="O30" s="110">
        <v>0</v>
      </c>
      <c r="P30" s="73" t="s">
        <v>51</v>
      </c>
      <c r="Q30" s="108">
        <f>[2]!Итог_цена</f>
        <v>0</v>
      </c>
      <c r="R30" s="108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29" s="99" customFormat="1" ht="15.75" x14ac:dyDescent="0.2">
      <c r="B31" s="163"/>
      <c r="C31" s="253" t="str">
        <f ca="1">CONCATENATE(MAX($B$3:B30),".",ROW()-MATCH(MAX($B$3:B30),$B$3:B30,0))</f>
        <v>2.4</v>
      </c>
      <c r="D31" s="115"/>
      <c r="E31" s="115"/>
      <c r="F31" s="115"/>
      <c r="G31" s="115"/>
      <c r="H31" s="115"/>
      <c r="I31" s="115"/>
      <c r="J31" s="280"/>
      <c r="K31" s="252"/>
      <c r="L31" s="134"/>
      <c r="N31" s="132"/>
      <c r="O31" s="132"/>
      <c r="P31" s="132"/>
      <c r="Q31" s="131"/>
      <c r="R31" s="131"/>
      <c r="S31" s="130"/>
      <c r="T31" s="130"/>
      <c r="U31" s="130"/>
      <c r="V31" s="130"/>
      <c r="W31" s="130"/>
      <c r="X31" s="130"/>
      <c r="Y31" s="130"/>
      <c r="Z31" s="130"/>
    </row>
    <row r="32" spans="2:29" x14ac:dyDescent="0.25">
      <c r="B32" s="170">
        <f ca="1">MAX(OFFSET($B$4:B32,-1,0))+1</f>
        <v>3</v>
      </c>
      <c r="C32" s="128"/>
      <c r="D32" s="329" t="s">
        <v>148</v>
      </c>
      <c r="E32" s="329"/>
      <c r="F32" s="301"/>
      <c r="G32" s="301"/>
      <c r="H32" s="192"/>
      <c r="I32" s="191"/>
      <c r="J32" s="277"/>
      <c r="K32" s="201"/>
      <c r="L32" s="189"/>
      <c r="M32" s="133"/>
      <c r="N32" s="132"/>
      <c r="O32" s="132"/>
      <c r="P32" s="132"/>
      <c r="S32" s="130"/>
      <c r="T32" s="130"/>
      <c r="U32" s="130"/>
      <c r="V32" s="130"/>
      <c r="W32" s="130"/>
      <c r="X32" s="130"/>
      <c r="Y32" s="130"/>
      <c r="Z32" s="130"/>
      <c r="AA32" s="130"/>
      <c r="AB32" s="231" t="s">
        <v>214</v>
      </c>
      <c r="AC32" s="231" t="s">
        <v>44</v>
      </c>
    </row>
    <row r="33" spans="2:29" ht="55.15" customHeight="1" x14ac:dyDescent="0.2">
      <c r="B33" s="200"/>
      <c r="C33" s="199" t="str">
        <f ca="1">CONCATENATE(MAX($B$3:B32),".",ROW()-MATCH(MAX($B$3:B32),$B$3:B32,0))</f>
        <v>3.3</v>
      </c>
      <c r="D33" s="198" t="s">
        <v>147</v>
      </c>
      <c r="E33" s="198" t="s">
        <v>188</v>
      </c>
      <c r="F33" s="113">
        <v>1</v>
      </c>
      <c r="G33" s="198"/>
      <c r="H33" s="113">
        <v>1</v>
      </c>
      <c r="I33" s="113">
        <f>Q33+R33</f>
        <v>895998.73999999987</v>
      </c>
      <c r="J33" s="279">
        <f t="shared" ref="J33:J40" si="8">I33*H33</f>
        <v>895998.73999999987</v>
      </c>
      <c r="K33" s="142"/>
      <c r="L33" s="142"/>
      <c r="M33" s="111">
        <f t="shared" ref="M33:M40" si="9">kz</f>
        <v>1.35</v>
      </c>
      <c r="N33" s="110">
        <v>0</v>
      </c>
      <c r="O33" s="110">
        <v>1</v>
      </c>
      <c r="P33" s="110" t="s">
        <v>57</v>
      </c>
      <c r="Q33" s="108">
        <f>'[3]Кроссировочное оборудование'!$F$7</f>
        <v>895998.73999999987</v>
      </c>
      <c r="R33" s="108"/>
      <c r="S33" s="100"/>
      <c r="T33" s="100"/>
      <c r="U33" s="100"/>
      <c r="V33" s="100"/>
      <c r="W33" s="100"/>
      <c r="X33" s="100"/>
      <c r="Y33" s="100"/>
      <c r="Z33" s="100"/>
      <c r="AA33" s="100"/>
      <c r="AB33" s="100">
        <f>(0.25)*(IF($H33&lt;&gt;0,1,0))</f>
        <v>0.25</v>
      </c>
      <c r="AC33" s="100">
        <f>(0.25)*(IF($H33&lt;&gt;0,1,0))</f>
        <v>0.25</v>
      </c>
    </row>
    <row r="34" spans="2:29" ht="31.9" customHeight="1" x14ac:dyDescent="0.2">
      <c r="B34" s="145"/>
      <c r="C34" s="144" t="str">
        <f ca="1">CONCATENATE(MAX($B$3:B34),".",ROW()-MATCH(MAX($B$3:B34),$B$3:B34,0))</f>
        <v>3.4</v>
      </c>
      <c r="D34" s="197" t="s">
        <v>146</v>
      </c>
      <c r="E34" s="260" t="s">
        <v>189</v>
      </c>
      <c r="F34" s="289">
        <v>1</v>
      </c>
      <c r="G34" s="260"/>
      <c r="H34" s="289">
        <v>1</v>
      </c>
      <c r="I34" s="113">
        <f t="shared" ref="I34:I40" si="10">Q34+R34</f>
        <v>850000</v>
      </c>
      <c r="J34" s="278">
        <f t="shared" si="8"/>
        <v>850000</v>
      </c>
      <c r="K34" s="142" t="s">
        <v>144</v>
      </c>
      <c r="L34" s="142"/>
      <c r="M34" s="111">
        <f t="shared" si="9"/>
        <v>1.35</v>
      </c>
      <c r="N34" s="110">
        <v>0</v>
      </c>
      <c r="O34" s="110">
        <v>1</v>
      </c>
      <c r="P34" s="110" t="s">
        <v>57</v>
      </c>
      <c r="Q34" s="108">
        <v>850000</v>
      </c>
      <c r="R34" s="108"/>
      <c r="S34" s="100"/>
      <c r="T34" s="100"/>
      <c r="U34" s="100"/>
      <c r="V34" s="100"/>
      <c r="W34" s="100"/>
      <c r="X34" s="100"/>
      <c r="Y34" s="100"/>
      <c r="Z34" s="100"/>
      <c r="AA34" s="100"/>
      <c r="AB34" s="100">
        <f>(0.5)*(IF($H34&lt;&gt;0,1,0))</f>
        <v>0.5</v>
      </c>
      <c r="AC34" s="100">
        <f>(0.25)*(IF($H34&lt;&gt;0,1,0))</f>
        <v>0.25</v>
      </c>
    </row>
    <row r="35" spans="2:29" ht="31.9" customHeight="1" x14ac:dyDescent="0.2">
      <c r="B35" s="145"/>
      <c r="C35" s="144" t="str">
        <f ca="1">CONCATENATE(MAX($B$3:B35),".",ROW()-MATCH(MAX($B$3:B35),$B$3:B35,0))</f>
        <v>3.5</v>
      </c>
      <c r="D35" s="197" t="s">
        <v>199</v>
      </c>
      <c r="E35" s="260" t="s">
        <v>189</v>
      </c>
      <c r="F35" s="289">
        <v>2</v>
      </c>
      <c r="G35" s="260"/>
      <c r="H35" s="289">
        <v>2</v>
      </c>
      <c r="I35" s="113">
        <f t="shared" si="10"/>
        <v>2000000</v>
      </c>
      <c r="J35" s="278">
        <f t="shared" si="8"/>
        <v>4000000</v>
      </c>
      <c r="K35" s="142" t="s">
        <v>144</v>
      </c>
      <c r="L35" s="142"/>
      <c r="M35" s="111">
        <f t="shared" si="9"/>
        <v>1.35</v>
      </c>
      <c r="N35" s="110">
        <v>0</v>
      </c>
      <c r="O35" s="110">
        <v>1</v>
      </c>
      <c r="P35" s="110" t="s">
        <v>57</v>
      </c>
      <c r="Q35" s="108">
        <v>2000000</v>
      </c>
      <c r="R35" s="108"/>
      <c r="S35" s="100"/>
      <c r="T35" s="100"/>
      <c r="U35" s="100"/>
      <c r="V35" s="100"/>
      <c r="W35" s="100"/>
      <c r="X35" s="100"/>
      <c r="Y35" s="100"/>
      <c r="Z35" s="100"/>
      <c r="AA35" s="100"/>
      <c r="AB35" s="100">
        <f>(0.5)*(IF($H35&lt;&gt;0,1,0))</f>
        <v>0.5</v>
      </c>
      <c r="AC35" s="100">
        <f>(0.5)*(IF($H35&lt;&gt;0,1,0))</f>
        <v>0.5</v>
      </c>
    </row>
    <row r="36" spans="2:29" ht="32.450000000000003" customHeight="1" x14ac:dyDescent="0.2">
      <c r="B36" s="254"/>
      <c r="C36" s="261" t="str">
        <f ca="1">CONCATENATE(MAX($B$3:B34),".",ROW()-MATCH(MAX($B$3:B34),$B$3:B34,0))</f>
        <v>3.6</v>
      </c>
      <c r="D36" s="197" t="s">
        <v>190</v>
      </c>
      <c r="E36" s="260" t="s">
        <v>191</v>
      </c>
      <c r="F36" s="289">
        <v>1</v>
      </c>
      <c r="G36" s="260"/>
      <c r="H36" s="289">
        <v>1</v>
      </c>
      <c r="I36" s="113">
        <f t="shared" si="10"/>
        <v>1500000</v>
      </c>
      <c r="J36" s="278">
        <f t="shared" si="8"/>
        <v>1500000</v>
      </c>
      <c r="K36" s="142" t="s">
        <v>144</v>
      </c>
      <c r="L36" s="142"/>
      <c r="M36" s="111">
        <f t="shared" si="9"/>
        <v>1.35</v>
      </c>
      <c r="N36" s="110">
        <v>0</v>
      </c>
      <c r="O36" s="110">
        <v>1</v>
      </c>
      <c r="P36" s="110" t="s">
        <v>57</v>
      </c>
      <c r="Q36" s="108">
        <v>1500000</v>
      </c>
      <c r="R36" s="108"/>
      <c r="S36" s="100"/>
      <c r="T36" s="100"/>
      <c r="U36" s="100"/>
      <c r="V36" s="100"/>
      <c r="W36" s="100"/>
      <c r="X36" s="100"/>
      <c r="Y36" s="100"/>
      <c r="Z36" s="100"/>
      <c r="AA36" s="100"/>
      <c r="AB36" s="100">
        <f>(1)*(IF($H36&lt;&gt;0,1,0))</f>
        <v>1</v>
      </c>
      <c r="AC36" s="100">
        <f>(0.5)*(IF($H36&lt;&gt;0,1,0))</f>
        <v>0.5</v>
      </c>
    </row>
    <row r="37" spans="2:29" ht="32.450000000000003" customHeight="1" x14ac:dyDescent="0.2">
      <c r="B37" s="254"/>
      <c r="C37" s="261" t="str">
        <f ca="1">CONCATENATE(MAX($B$3:B36),".",ROW()-MATCH(MAX($B$3:B36),$B$3:B36,0))</f>
        <v>3.7</v>
      </c>
      <c r="D37" s="197" t="s">
        <v>192</v>
      </c>
      <c r="E37" s="260" t="s">
        <v>193</v>
      </c>
      <c r="F37" s="289">
        <v>4</v>
      </c>
      <c r="G37" s="260"/>
      <c r="H37" s="289">
        <v>4</v>
      </c>
      <c r="I37" s="113">
        <f t="shared" si="10"/>
        <v>700000</v>
      </c>
      <c r="J37" s="278">
        <f t="shared" si="8"/>
        <v>2800000</v>
      </c>
      <c r="K37" s="142" t="s">
        <v>144</v>
      </c>
      <c r="L37" s="142"/>
      <c r="M37" s="111">
        <f t="shared" si="9"/>
        <v>1.35</v>
      </c>
      <c r="N37" s="110">
        <v>0</v>
      </c>
      <c r="O37" s="110">
        <v>1</v>
      </c>
      <c r="P37" s="110" t="s">
        <v>57</v>
      </c>
      <c r="Q37" s="108">
        <v>700000</v>
      </c>
      <c r="R37" s="108"/>
      <c r="S37" s="100"/>
      <c r="T37" s="100"/>
      <c r="U37" s="100"/>
      <c r="V37" s="100"/>
      <c r="W37" s="100"/>
      <c r="X37" s="100"/>
      <c r="Y37" s="100"/>
      <c r="Z37" s="100"/>
      <c r="AA37" s="100"/>
      <c r="AB37" s="100">
        <f>(1)*(IF($H37&lt;&gt;0,1,0))</f>
        <v>1</v>
      </c>
      <c r="AC37" s="100">
        <f>(0.5)*(IF($H37&lt;&gt;0,1,0))</f>
        <v>0.5</v>
      </c>
    </row>
    <row r="38" spans="2:29" ht="32.450000000000003" customHeight="1" x14ac:dyDescent="0.2">
      <c r="B38" s="254"/>
      <c r="C38" s="261" t="str">
        <f ca="1">CONCATENATE(MAX($B$3:B37),".",ROW()-MATCH(MAX($B$3:B37),$B$3:B37,0))</f>
        <v>3.8</v>
      </c>
      <c r="D38" s="197" t="s">
        <v>198</v>
      </c>
      <c r="E38" s="260" t="s">
        <v>200</v>
      </c>
      <c r="F38" s="289">
        <v>1</v>
      </c>
      <c r="G38" s="260"/>
      <c r="H38" s="289">
        <v>1</v>
      </c>
      <c r="I38" s="113">
        <f t="shared" si="10"/>
        <v>700000</v>
      </c>
      <c r="J38" s="278">
        <f t="shared" si="8"/>
        <v>700000</v>
      </c>
      <c r="K38" s="142" t="s">
        <v>144</v>
      </c>
      <c r="L38" s="142"/>
      <c r="M38" s="111">
        <f t="shared" si="9"/>
        <v>1.35</v>
      </c>
      <c r="N38" s="110">
        <v>0</v>
      </c>
      <c r="O38" s="110">
        <v>1</v>
      </c>
      <c r="P38" s="110" t="s">
        <v>57</v>
      </c>
      <c r="Q38" s="108">
        <v>700000</v>
      </c>
      <c r="R38" s="108"/>
      <c r="S38" s="100"/>
      <c r="T38" s="100"/>
      <c r="U38" s="100"/>
      <c r="V38" s="100"/>
      <c r="W38" s="100"/>
      <c r="X38" s="100"/>
      <c r="Y38" s="100"/>
      <c r="Z38" s="100"/>
      <c r="AA38" s="100"/>
      <c r="AB38" s="100">
        <f>0.25*(IF($H38&lt;&gt;0,1,0))</f>
        <v>0.25</v>
      </c>
      <c r="AC38" s="100">
        <f>(1)*(IF($H38&lt;&gt;0,1,0))</f>
        <v>1</v>
      </c>
    </row>
    <row r="39" spans="2:29" ht="27" customHeight="1" x14ac:dyDescent="0.2">
      <c r="B39" s="254"/>
      <c r="C39" s="261" t="str">
        <f ca="1">CONCATENATE(MAX($B$3:B37),".",ROW()-MATCH(MAX($B$3:B37),$B$3:B37,0))</f>
        <v>3.9</v>
      </c>
      <c r="D39" s="197" t="s">
        <v>194</v>
      </c>
      <c r="E39" s="260"/>
      <c r="F39" s="289">
        <v>1</v>
      </c>
      <c r="G39" s="260"/>
      <c r="H39" s="289">
        <v>1</v>
      </c>
      <c r="I39" s="113">
        <f t="shared" si="10"/>
        <v>1200000</v>
      </c>
      <c r="J39" s="278">
        <f t="shared" si="8"/>
        <v>1200000</v>
      </c>
      <c r="K39" s="142" t="s">
        <v>144</v>
      </c>
      <c r="L39" s="142"/>
      <c r="M39" s="111">
        <f t="shared" si="9"/>
        <v>1.35</v>
      </c>
      <c r="N39" s="110">
        <v>0</v>
      </c>
      <c r="O39" s="110">
        <v>1</v>
      </c>
      <c r="P39" s="110" t="s">
        <v>57</v>
      </c>
      <c r="Q39" s="108">
        <v>1200000</v>
      </c>
      <c r="R39" s="108"/>
      <c r="S39" s="100"/>
      <c r="T39" s="100"/>
      <c r="U39" s="100"/>
      <c r="V39" s="100"/>
      <c r="W39" s="100"/>
      <c r="X39" s="100"/>
      <c r="Y39" s="100"/>
      <c r="Z39" s="100"/>
      <c r="AA39" s="100"/>
      <c r="AB39" s="100">
        <f>0.25*(IF($H39&lt;&gt;0,1,0))</f>
        <v>0.25</v>
      </c>
      <c r="AC39" s="100">
        <f>(0.5)*(IF($H39&lt;&gt;0,1,0))</f>
        <v>0.5</v>
      </c>
    </row>
    <row r="40" spans="2:29" ht="18.600000000000001" customHeight="1" x14ac:dyDescent="0.2">
      <c r="B40" s="254"/>
      <c r="C40" s="117" t="str">
        <f ca="1">CONCATENATE(MAX($B$3:B40),".",ROW()-MATCH(MAX($B$3:B40),$B$3:B40,0))</f>
        <v>3.10</v>
      </c>
      <c r="D40" s="197" t="s">
        <v>201</v>
      </c>
      <c r="E40" s="178"/>
      <c r="F40" s="289">
        <v>1</v>
      </c>
      <c r="G40" s="178"/>
      <c r="H40" s="289">
        <v>1</v>
      </c>
      <c r="I40" s="113">
        <f t="shared" si="10"/>
        <v>400000</v>
      </c>
      <c r="J40" s="278">
        <f t="shared" si="8"/>
        <v>400000</v>
      </c>
      <c r="K40" s="142" t="s">
        <v>144</v>
      </c>
      <c r="L40" s="142"/>
      <c r="M40" s="111">
        <f t="shared" si="9"/>
        <v>1.35</v>
      </c>
      <c r="N40" s="110">
        <v>0</v>
      </c>
      <c r="O40" s="110">
        <v>1</v>
      </c>
      <c r="P40" s="110" t="s">
        <v>57</v>
      </c>
      <c r="Q40" s="108">
        <v>400000</v>
      </c>
      <c r="R40" s="108"/>
      <c r="S40" s="100"/>
      <c r="T40" s="100"/>
      <c r="U40" s="100"/>
      <c r="V40" s="100"/>
      <c r="W40" s="100"/>
      <c r="X40" s="100"/>
      <c r="Y40" s="100"/>
      <c r="Z40" s="100"/>
      <c r="AA40" s="100"/>
      <c r="AB40" s="100">
        <f>0.25*(IF($H40&lt;&gt;0,1,0))</f>
        <v>0.25</v>
      </c>
      <c r="AC40" s="100">
        <f>(1)*(IF($H40&lt;&gt;0,1,0))</f>
        <v>1</v>
      </c>
    </row>
    <row r="41" spans="2:29" ht="30" customHeight="1" x14ac:dyDescent="0.25">
      <c r="B41" s="254"/>
      <c r="C41" s="162"/>
      <c r="D41" s="330" t="str">
        <f>CONCATENATE("Итого по разделу """,D32,"""",":")</f>
        <v>Итого по разделу "Кроссировочное оборудование":</v>
      </c>
      <c r="E41" s="330"/>
      <c r="F41" s="330"/>
      <c r="G41" s="330"/>
      <c r="H41" s="330"/>
      <c r="I41" s="331"/>
      <c r="J41" s="270">
        <f>SUM(J33:J40)</f>
        <v>12345998.74</v>
      </c>
      <c r="K41" s="171">
        <f>J41</f>
        <v>12345998.74</v>
      </c>
      <c r="L41" s="136">
        <f ca="1">J41*(1+Дополнительно/(Итого-Дополнительно))</f>
        <v>14938658.475399999</v>
      </c>
      <c r="M41" s="133"/>
      <c r="N41" s="132"/>
      <c r="O41" s="132"/>
      <c r="P41" s="132"/>
      <c r="Q41" s="131"/>
      <c r="R41" s="131"/>
      <c r="S41" s="130"/>
      <c r="T41" s="130"/>
      <c r="U41" s="130"/>
      <c r="V41" s="130"/>
      <c r="W41" s="130"/>
      <c r="X41" s="130"/>
      <c r="Y41" s="130"/>
      <c r="Z41" s="130"/>
      <c r="AA41" s="130"/>
    </row>
    <row r="42" spans="2:29" ht="18.600000000000001" customHeight="1" x14ac:dyDescent="0.2">
      <c r="B42" s="254"/>
      <c r="C42" s="117"/>
      <c r="D42" s="255"/>
      <c r="E42" s="256"/>
      <c r="F42" s="256"/>
      <c r="G42" s="256"/>
      <c r="H42" s="257"/>
      <c r="I42" s="258"/>
      <c r="J42" s="281"/>
      <c r="K42" s="259"/>
      <c r="L42" s="259"/>
      <c r="M42" s="133"/>
      <c r="N42" s="132"/>
      <c r="O42" s="132"/>
      <c r="P42" s="132"/>
      <c r="Q42" s="131"/>
      <c r="R42" s="131"/>
      <c r="S42" s="130"/>
      <c r="T42" s="130"/>
      <c r="U42" s="130"/>
      <c r="V42" s="130"/>
      <c r="W42" s="130"/>
      <c r="X42" s="130"/>
      <c r="Y42" s="130"/>
      <c r="Z42" s="130"/>
      <c r="AA42" s="130"/>
    </row>
    <row r="43" spans="2:29" x14ac:dyDescent="0.25">
      <c r="B43" s="170">
        <f ca="1">MAX(OFFSET($B$4:B43,-1,0))+1</f>
        <v>4</v>
      </c>
      <c r="C43" s="128"/>
      <c r="D43" s="329" t="s">
        <v>234</v>
      </c>
      <c r="E43" s="329"/>
      <c r="F43" s="301"/>
      <c r="G43" s="301"/>
      <c r="H43" s="192"/>
      <c r="I43" s="191"/>
      <c r="J43" s="277"/>
      <c r="K43" s="201"/>
      <c r="L43" s="189"/>
      <c r="M43" s="133"/>
      <c r="N43" s="132"/>
      <c r="O43" s="132"/>
      <c r="P43" s="132"/>
      <c r="S43" s="130"/>
      <c r="T43" s="130"/>
      <c r="U43" s="130"/>
      <c r="V43" s="130"/>
      <c r="W43" s="130"/>
      <c r="X43" s="130"/>
      <c r="Y43" s="130"/>
      <c r="Z43" s="130"/>
      <c r="AA43" s="130"/>
    </row>
    <row r="44" spans="2:29" ht="44.45" customHeight="1" x14ac:dyDescent="0.2">
      <c r="B44" s="200"/>
      <c r="C44" s="199" t="str">
        <f ca="1">CONCATENATE(MAX($B$3:B43),".",ROW()-MATCH(MAX($B$3:B43),$B$3:B43,0))</f>
        <v>4.3</v>
      </c>
      <c r="D44" s="198" t="s">
        <v>202</v>
      </c>
      <c r="E44" s="198"/>
      <c r="F44" s="113">
        <v>4</v>
      </c>
      <c r="G44" s="198"/>
      <c r="H44" s="113">
        <v>4</v>
      </c>
      <c r="I44" s="113">
        <f>Q44+R44+SUM(S44:AA44)*чл_мес</f>
        <v>6800000</v>
      </c>
      <c r="J44" s="279">
        <f>I44*H44</f>
        <v>27200000</v>
      </c>
      <c r="K44" s="142"/>
      <c r="L44" s="142"/>
      <c r="M44" s="111">
        <f>kz</f>
        <v>1.35</v>
      </c>
      <c r="N44" s="110">
        <v>0</v>
      </c>
      <c r="O44" s="110">
        <v>1</v>
      </c>
      <c r="P44" s="73" t="s">
        <v>64</v>
      </c>
      <c r="Q44" s="108">
        <f>(1500+3000+300+200+300+1500)*1000</f>
        <v>6800000</v>
      </c>
      <c r="R44" s="108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9" ht="28.15" customHeight="1" x14ac:dyDescent="0.2">
      <c r="B45" s="145"/>
      <c r="C45" s="144" t="str">
        <f ca="1">CONCATENATE(MAX($B$3:B45),".",ROW()-MATCH(MAX($B$3:B45),$B$3:B45,0))</f>
        <v>4.4</v>
      </c>
      <c r="D45" s="197" t="s">
        <v>216</v>
      </c>
      <c r="E45" s="260"/>
      <c r="F45" s="292">
        <v>1</v>
      </c>
      <c r="G45" s="260"/>
      <c r="H45" s="292">
        <v>1</v>
      </c>
      <c r="I45" s="286">
        <f>Q45+R45+SUM(S45:AA45)*чл_мес</f>
        <v>6000000</v>
      </c>
      <c r="J45" s="286">
        <f>I45*H45</f>
        <v>6000000</v>
      </c>
      <c r="K45" s="142"/>
      <c r="L45" s="142"/>
      <c r="M45" s="111">
        <f>kz</f>
        <v>1.35</v>
      </c>
      <c r="N45" s="110">
        <v>0</v>
      </c>
      <c r="O45" s="110">
        <v>1</v>
      </c>
      <c r="P45" s="73" t="s">
        <v>64</v>
      </c>
      <c r="Q45" s="285">
        <v>6000000</v>
      </c>
      <c r="R45" s="108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9" ht="28.15" customHeight="1" x14ac:dyDescent="0.2">
      <c r="B46" s="145"/>
      <c r="C46" s="144" t="str">
        <f ca="1">CONCATENATE(MAX($B$3:B46),".",ROW()-MATCH(MAX($B$3:B46),$B$3:B46,0))</f>
        <v>4.5</v>
      </c>
      <c r="D46" s="197" t="s">
        <v>219</v>
      </c>
      <c r="E46" s="260"/>
      <c r="F46" s="237">
        <v>1</v>
      </c>
      <c r="G46" s="260"/>
      <c r="H46" s="237">
        <v>1</v>
      </c>
      <c r="I46" s="113">
        <f>Q46+R46+SUM(S46:AA46)*чл_мес</f>
        <v>5000000</v>
      </c>
      <c r="J46" s="113">
        <f>I46*H46</f>
        <v>5000000</v>
      </c>
      <c r="K46" s="293"/>
      <c r="L46" s="142"/>
      <c r="M46" s="111">
        <f>kz</f>
        <v>1.35</v>
      </c>
      <c r="N46" s="110">
        <v>0</v>
      </c>
      <c r="O46" s="110">
        <v>1</v>
      </c>
      <c r="P46" s="73" t="s">
        <v>64</v>
      </c>
      <c r="Q46" s="110">
        <v>5000000</v>
      </c>
      <c r="R46" s="108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9" ht="28.15" customHeight="1" x14ac:dyDescent="0.2">
      <c r="B47" s="145"/>
      <c r="C47" s="144" t="str">
        <f ca="1">CONCATENATE(MAX($B$3:B47),".",ROW()-MATCH(MAX($B$3:B47),$B$3:B47,0))</f>
        <v>4.6</v>
      </c>
      <c r="D47" s="197" t="s">
        <v>235</v>
      </c>
      <c r="E47" s="260"/>
      <c r="F47" s="237">
        <v>4</v>
      </c>
      <c r="G47" s="260"/>
      <c r="H47" s="237">
        <v>4</v>
      </c>
      <c r="I47" s="113">
        <f>Q47+R47+SUM(S47:AA47)*чл_мес</f>
        <v>2000000</v>
      </c>
      <c r="J47" s="113">
        <f>I47*H47</f>
        <v>8000000</v>
      </c>
      <c r="K47" s="293"/>
      <c r="L47" s="142"/>
      <c r="M47" s="111">
        <f>kz</f>
        <v>1.35</v>
      </c>
      <c r="N47" s="110">
        <v>0</v>
      </c>
      <c r="O47" s="110">
        <v>1</v>
      </c>
      <c r="P47" s="73" t="s">
        <v>64</v>
      </c>
      <c r="Q47" s="110">
        <v>2000000</v>
      </c>
      <c r="R47" s="108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9" ht="19.149999999999999" customHeight="1" x14ac:dyDescent="0.2">
      <c r="B48" s="145"/>
      <c r="C48" s="144" t="str">
        <f ca="1">CONCATENATE(MAX($B$3:B48),".",ROW()-MATCH(MAX($B$3:B48),$B$3:B48,0))</f>
        <v>4.7</v>
      </c>
      <c r="D48" s="197"/>
      <c r="E48" s="260"/>
      <c r="F48" s="234">
        <v>2</v>
      </c>
      <c r="G48" s="260"/>
      <c r="H48" s="234">
        <v>2</v>
      </c>
      <c r="I48" s="113">
        <f>Q48+R48+SUM(S48:AA48)*чл_мес</f>
        <v>0</v>
      </c>
      <c r="J48" s="271">
        <f>I48*H48</f>
        <v>0</v>
      </c>
      <c r="K48" s="142"/>
      <c r="L48" s="142"/>
      <c r="M48" s="111">
        <f>kz</f>
        <v>1.35</v>
      </c>
      <c r="N48" s="110">
        <v>0</v>
      </c>
      <c r="O48" s="110">
        <v>1</v>
      </c>
      <c r="P48" s="73" t="s">
        <v>64</v>
      </c>
      <c r="Q48" s="108"/>
      <c r="R48" s="108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1:28" x14ac:dyDescent="0.25">
      <c r="C49" s="144" t="str">
        <f ca="1">CONCATENATE(MAX($B$3:B49),".",ROW()-MATCH(MAX($B$3:B49),$B$3:B49,0))</f>
        <v>4.8</v>
      </c>
    </row>
    <row r="50" spans="1:28" ht="15.75" x14ac:dyDescent="0.25">
      <c r="B50" s="196"/>
      <c r="C50" s="162"/>
      <c r="D50" s="330" t="str">
        <f>CONCATENATE("Итого по разделу """,D43,"""",":")</f>
        <v>Итого по разделу "Механическая часть":</v>
      </c>
      <c r="E50" s="330"/>
      <c r="F50" s="330"/>
      <c r="G50" s="330"/>
      <c r="H50" s="330"/>
      <c r="I50" s="331"/>
      <c r="J50" s="195">
        <f>SUM(J44:J48)</f>
        <v>46200000</v>
      </c>
      <c r="K50" s="171">
        <f>J50</f>
        <v>46200000</v>
      </c>
      <c r="L50" s="136">
        <f ca="1">J50*(1+Дополнительно/(Итого-Дополнительно))</f>
        <v>55902000</v>
      </c>
      <c r="M50" s="133"/>
      <c r="N50" s="132"/>
      <c r="O50" s="132"/>
      <c r="P50" s="132"/>
      <c r="Q50" s="194"/>
      <c r="R50" s="131"/>
      <c r="S50" s="130"/>
      <c r="T50" s="130"/>
      <c r="U50" s="130"/>
      <c r="V50" s="130"/>
      <c r="W50" s="130"/>
      <c r="X50" s="130"/>
      <c r="Y50" s="130"/>
      <c r="Z50" s="130"/>
      <c r="AA50" s="130"/>
    </row>
    <row r="51" spans="1:28" ht="12.75" x14ac:dyDescent="0.2">
      <c r="B51" s="193">
        <f ca="1">MAX(OFFSET($B$4:B51,-1,0))+1</f>
        <v>5</v>
      </c>
      <c r="C51" s="128"/>
      <c r="D51" s="127" t="s">
        <v>145</v>
      </c>
      <c r="E51" s="127"/>
      <c r="F51" s="127"/>
      <c r="G51" s="127"/>
      <c r="H51" s="192"/>
      <c r="I51" s="191"/>
      <c r="J51" s="190"/>
      <c r="K51" s="189"/>
      <c r="L51" s="189"/>
      <c r="M51" s="189"/>
      <c r="N51" s="188"/>
      <c r="O51" s="188"/>
      <c r="P51" s="188"/>
      <c r="Q51" s="154"/>
      <c r="R51" s="154"/>
      <c r="S51" s="154"/>
      <c r="T51" s="154"/>
      <c r="U51" s="187"/>
      <c r="V51" s="187"/>
      <c r="W51" s="187"/>
      <c r="X51" s="187"/>
      <c r="Y51" s="186"/>
      <c r="Z51" s="186"/>
      <c r="AA51" s="154"/>
    </row>
    <row r="52" spans="1:28" ht="38.25" x14ac:dyDescent="0.2">
      <c r="B52" s="185"/>
      <c r="C52" s="144" t="str">
        <f ca="1">CONCATENATE(MAX($B$3:B52),".",ROW()-MATCH(MAX($B$3:B52),$B$3:B52,0))</f>
        <v>5.3</v>
      </c>
      <c r="D52" s="184" t="s">
        <v>175</v>
      </c>
      <c r="E52" s="184" t="s">
        <v>178</v>
      </c>
      <c r="F52" s="233">
        <f>c_N</f>
        <v>0</v>
      </c>
      <c r="G52" s="184"/>
      <c r="H52" s="233">
        <f>c_N</f>
        <v>0</v>
      </c>
      <c r="I52" s="113">
        <f>(Q52+R52)*IF(O52,1,M52)</f>
        <v>364139.6</v>
      </c>
      <c r="J52" s="274">
        <f t="shared" ref="J52:J60" si="11">I52*H52</f>
        <v>0</v>
      </c>
      <c r="K52" s="174"/>
      <c r="L52" s="229" t="s">
        <v>176</v>
      </c>
      <c r="M52" s="111">
        <f t="shared" ref="M52:M62" si="12">kz</f>
        <v>1.35</v>
      </c>
      <c r="N52" s="140">
        <v>1</v>
      </c>
      <c r="O52" s="110">
        <v>1</v>
      </c>
      <c r="P52" s="180" t="s">
        <v>41</v>
      </c>
      <c r="Q52" s="228">
        <v>364139.6</v>
      </c>
      <c r="R52" s="108"/>
      <c r="S52" s="100"/>
      <c r="T52" s="100"/>
      <c r="U52" s="100"/>
      <c r="V52" s="100"/>
      <c r="W52" s="100"/>
      <c r="X52" s="100"/>
      <c r="Y52" s="100"/>
      <c r="Z52" s="100"/>
      <c r="AA52" s="100"/>
    </row>
    <row r="53" spans="1:28" x14ac:dyDescent="0.2">
      <c r="B53" s="145"/>
      <c r="C53" s="144" t="str">
        <f ca="1">CONCATENATE(MAX($B$3:B53),".",ROW()-MATCH(MAX($B$3:B53),$B$3:B53,0))</f>
        <v>5.4</v>
      </c>
      <c r="D53" s="231" t="s">
        <v>182</v>
      </c>
      <c r="E53" s="178"/>
      <c r="F53" s="234">
        <v>1</v>
      </c>
      <c r="G53" s="178"/>
      <c r="H53" s="234">
        <v>1</v>
      </c>
      <c r="I53" s="113">
        <f t="shared" ref="I53:I60" si="13">(Q53+R53)*IF(O53,1,M53)</f>
        <v>202500</v>
      </c>
      <c r="J53" s="278">
        <f t="shared" si="11"/>
        <v>202500</v>
      </c>
      <c r="K53" s="183"/>
      <c r="L53" s="174"/>
      <c r="M53" s="111">
        <f t="shared" si="12"/>
        <v>1.35</v>
      </c>
      <c r="N53" s="182">
        <v>1</v>
      </c>
      <c r="O53" s="181">
        <v>0</v>
      </c>
      <c r="P53" s="180" t="s">
        <v>41</v>
      </c>
      <c r="Q53" s="179">
        <v>150000</v>
      </c>
      <c r="R53" s="108"/>
      <c r="S53" s="100"/>
      <c r="T53" s="100"/>
      <c r="U53" s="176"/>
      <c r="V53" s="176"/>
      <c r="W53" s="176"/>
      <c r="X53" s="176"/>
      <c r="Y53" s="177"/>
      <c r="Z53" s="176"/>
      <c r="AA53" s="176"/>
    </row>
    <row r="54" spans="1:28" ht="21.6" customHeight="1" x14ac:dyDescent="0.2">
      <c r="B54" s="145"/>
      <c r="C54" s="144" t="str">
        <f ca="1">CONCATENATE(MAX($B$3:B54),".",ROW()-MATCH(MAX($B$3:B54),$B$3:B54,0))</f>
        <v>5.5</v>
      </c>
      <c r="D54" s="175" t="s">
        <v>183</v>
      </c>
      <c r="E54" s="175"/>
      <c r="F54" s="235">
        <v>1</v>
      </c>
      <c r="G54" s="175"/>
      <c r="H54" s="235">
        <v>1</v>
      </c>
      <c r="I54" s="113">
        <f t="shared" si="13"/>
        <v>675000</v>
      </c>
      <c r="J54" s="278">
        <f t="shared" si="11"/>
        <v>675000</v>
      </c>
      <c r="K54" s="142" t="s">
        <v>144</v>
      </c>
      <c r="L54" s="174"/>
      <c r="M54" s="111">
        <f t="shared" si="12"/>
        <v>1.35</v>
      </c>
      <c r="N54" s="140">
        <v>1</v>
      </c>
      <c r="O54" s="110">
        <v>0</v>
      </c>
      <c r="P54" s="173" t="s">
        <v>41</v>
      </c>
      <c r="Q54" s="179">
        <v>500000</v>
      </c>
      <c r="R54" s="108"/>
      <c r="S54" s="100"/>
      <c r="T54" s="100"/>
      <c r="U54" s="100"/>
      <c r="V54" s="100"/>
      <c r="W54" s="100"/>
      <c r="X54" s="100"/>
      <c r="Y54" s="100"/>
      <c r="Z54" s="100"/>
      <c r="AA54" s="100"/>
      <c r="AB54" s="231" t="s">
        <v>215</v>
      </c>
    </row>
    <row r="55" spans="1:28" ht="21.6" customHeight="1" x14ac:dyDescent="0.2">
      <c r="B55" s="145"/>
      <c r="C55" s="144" t="str">
        <f ca="1">CONCATENATE(MAX($B$3:B55),".",ROW()-MATCH(MAX($B$3:B55),$B$3:B55,0))</f>
        <v>5.6</v>
      </c>
      <c r="D55" s="175" t="s">
        <v>218</v>
      </c>
      <c r="E55" s="175"/>
      <c r="F55" s="235">
        <v>1</v>
      </c>
      <c r="G55" s="175"/>
      <c r="H55" s="235">
        <v>1</v>
      </c>
      <c r="I55" s="113">
        <f>(Q55+R55)*IF(O55,1,M55)</f>
        <v>675000</v>
      </c>
      <c r="J55" s="278">
        <f>I55*H55</f>
        <v>675000</v>
      </c>
      <c r="K55" s="142" t="s">
        <v>144</v>
      </c>
      <c r="L55" s="174"/>
      <c r="M55" s="111">
        <f t="shared" si="12"/>
        <v>1.35</v>
      </c>
      <c r="N55" s="140">
        <v>1</v>
      </c>
      <c r="O55" s="110">
        <v>0</v>
      </c>
      <c r="P55" s="173" t="s">
        <v>41</v>
      </c>
      <c r="Q55" s="179">
        <v>500000</v>
      </c>
      <c r="R55" s="108"/>
      <c r="S55" s="100"/>
      <c r="T55" s="100"/>
      <c r="U55" s="100"/>
      <c r="V55" s="100"/>
      <c r="W55" s="100"/>
      <c r="X55" s="100"/>
      <c r="Y55" s="100"/>
      <c r="Z55" s="100"/>
      <c r="AA55" s="100"/>
      <c r="AB55" s="231" t="s">
        <v>215</v>
      </c>
    </row>
    <row r="56" spans="1:28" ht="21.6" customHeight="1" x14ac:dyDescent="0.25">
      <c r="A56" s="227">
        <v>3120</v>
      </c>
      <c r="B56" s="263"/>
      <c r="C56" s="117" t="str">
        <f ca="1">CONCATENATE(MAX($B$3:B56),".",ROW()-MATCH(MAX($B$3:B56),$B$3:B56,0))</f>
        <v>5.7</v>
      </c>
      <c r="D56" s="175" t="s">
        <v>195</v>
      </c>
      <c r="E56" s="175"/>
      <c r="F56" s="235">
        <v>4</v>
      </c>
      <c r="G56" s="175"/>
      <c r="H56" s="235">
        <v>4</v>
      </c>
      <c r="I56" s="113">
        <f t="shared" si="13"/>
        <v>18900000</v>
      </c>
      <c r="J56" s="278">
        <f t="shared" si="11"/>
        <v>75600000</v>
      </c>
      <c r="K56" s="142" t="s">
        <v>144</v>
      </c>
      <c r="L56" s="174"/>
      <c r="M56" s="111">
        <f t="shared" si="12"/>
        <v>1.35</v>
      </c>
      <c r="N56" s="140">
        <v>1</v>
      </c>
      <c r="O56" s="110">
        <v>0</v>
      </c>
      <c r="P56" s="173" t="s">
        <v>41</v>
      </c>
      <c r="Q56" s="108">
        <v>14000000</v>
      </c>
      <c r="R56" s="108"/>
      <c r="S56" s="100"/>
      <c r="T56" s="100"/>
      <c r="U56" s="100"/>
      <c r="V56" s="100"/>
      <c r="X56" s="100"/>
      <c r="Y56" s="100"/>
      <c r="Z56" s="100"/>
      <c r="AA56" s="100"/>
      <c r="AB56" s="100">
        <v>1</v>
      </c>
    </row>
    <row r="57" spans="1:28" ht="35.450000000000003" customHeight="1" x14ac:dyDescent="0.25">
      <c r="B57" s="263"/>
      <c r="C57" s="117" t="str">
        <f ca="1">CONCATENATE(MAX($B$3:B57),".",ROW()-MATCH(MAX($B$3:B57),$B$3:B57,0))</f>
        <v>5.8</v>
      </c>
      <c r="D57" s="272" t="s">
        <v>212</v>
      </c>
      <c r="E57" s="175"/>
      <c r="F57" s="235">
        <v>4</v>
      </c>
      <c r="G57" s="175"/>
      <c r="H57" s="235">
        <v>4</v>
      </c>
      <c r="I57" s="113">
        <f t="shared" si="13"/>
        <v>10800000</v>
      </c>
      <c r="J57" s="278">
        <f t="shared" si="11"/>
        <v>43200000</v>
      </c>
      <c r="K57" s="142" t="s">
        <v>144</v>
      </c>
      <c r="L57" s="174"/>
      <c r="M57" s="111">
        <f t="shared" si="12"/>
        <v>1.35</v>
      </c>
      <c r="N57" s="140">
        <v>1</v>
      </c>
      <c r="O57" s="110">
        <v>0</v>
      </c>
      <c r="P57" s="173" t="s">
        <v>41</v>
      </c>
      <c r="Q57" s="108">
        <v>8000000</v>
      </c>
      <c r="R57" s="108"/>
      <c r="S57" s="100"/>
      <c r="T57" s="100"/>
      <c r="U57" s="100"/>
      <c r="V57" s="100"/>
      <c r="X57" s="100"/>
      <c r="Y57" s="100"/>
      <c r="Z57" s="100"/>
      <c r="AA57" s="100"/>
      <c r="AB57" s="100">
        <v>1</v>
      </c>
    </row>
    <row r="58" spans="1:28" ht="21.6" customHeight="1" x14ac:dyDescent="0.25">
      <c r="B58" s="263"/>
      <c r="C58" s="117" t="str">
        <f ca="1">CONCATENATE(MAX($B$3:B58),".",ROW()-MATCH(MAX($B$3:B58),$B$3:B58,0))</f>
        <v>5.9</v>
      </c>
      <c r="D58" s="272" t="s">
        <v>196</v>
      </c>
      <c r="E58" s="175"/>
      <c r="F58" s="235">
        <v>1</v>
      </c>
      <c r="G58" s="175"/>
      <c r="H58" s="235">
        <v>1</v>
      </c>
      <c r="I58" s="113">
        <f t="shared" si="13"/>
        <v>1350000</v>
      </c>
      <c r="J58" s="278">
        <f t="shared" si="11"/>
        <v>1350000</v>
      </c>
      <c r="K58" s="142" t="s">
        <v>144</v>
      </c>
      <c r="L58" s="174"/>
      <c r="M58" s="111">
        <f t="shared" si="12"/>
        <v>1.35</v>
      </c>
      <c r="N58" s="140">
        <v>1</v>
      </c>
      <c r="O58" s="110">
        <v>0</v>
      </c>
      <c r="P58" s="173" t="s">
        <v>41</v>
      </c>
      <c r="Q58" s="108">
        <v>1000000</v>
      </c>
      <c r="R58" s="108"/>
      <c r="S58" s="100"/>
      <c r="T58" s="100"/>
      <c r="U58" s="100"/>
      <c r="V58" s="100"/>
      <c r="X58" s="100"/>
      <c r="Y58" s="100"/>
      <c r="Z58" s="100"/>
      <c r="AA58" s="100"/>
      <c r="AB58" s="100">
        <v>0.5</v>
      </c>
    </row>
    <row r="59" spans="1:28" ht="75.599999999999994" customHeight="1" x14ac:dyDescent="0.2">
      <c r="B59" s="263"/>
      <c r="C59" s="117" t="str">
        <f ca="1">CONCATENATE(MAX($B$3:B59),".",ROW()-MATCH(MAX($B$3:B59),$B$3:B59,0))</f>
        <v>5.10</v>
      </c>
      <c r="D59" s="276" t="s">
        <v>197</v>
      </c>
      <c r="E59" s="275"/>
      <c r="F59" s="235">
        <v>1</v>
      </c>
      <c r="G59" s="275"/>
      <c r="H59" s="235">
        <v>1</v>
      </c>
      <c r="I59" s="113">
        <f t="shared" si="13"/>
        <v>405000</v>
      </c>
      <c r="J59" s="278">
        <f t="shared" si="11"/>
        <v>405000</v>
      </c>
      <c r="K59" s="142" t="s">
        <v>144</v>
      </c>
      <c r="L59" s="174"/>
      <c r="M59" s="111">
        <f t="shared" si="12"/>
        <v>1.35</v>
      </c>
      <c r="N59" s="140">
        <v>1</v>
      </c>
      <c r="O59" s="110">
        <v>0</v>
      </c>
      <c r="P59" s="173" t="s">
        <v>41</v>
      </c>
      <c r="Q59" s="108">
        <v>300000</v>
      </c>
      <c r="R59" s="108"/>
      <c r="S59" s="100"/>
      <c r="T59" s="100"/>
      <c r="U59" s="100"/>
      <c r="V59" s="100"/>
      <c r="W59" s="100"/>
      <c r="X59" s="100"/>
      <c r="Y59" s="100"/>
      <c r="Z59" s="100"/>
      <c r="AA59" s="100"/>
    </row>
    <row r="60" spans="1:28" ht="40.15" customHeight="1" x14ac:dyDescent="0.2">
      <c r="B60" s="263"/>
      <c r="C60" s="117" t="str">
        <f ca="1">CONCATENATE(MAX($B$3:B60),".",ROW()-MATCH(MAX($B$3:B60),$B$3:B60,0))</f>
        <v>5.11</v>
      </c>
      <c r="D60" s="290" t="s">
        <v>211</v>
      </c>
      <c r="E60" s="282"/>
      <c r="F60" s="288">
        <v>1</v>
      </c>
      <c r="G60" s="282"/>
      <c r="H60" s="288">
        <v>1</v>
      </c>
      <c r="I60" s="113">
        <f t="shared" si="13"/>
        <v>135000</v>
      </c>
      <c r="J60" s="278">
        <f t="shared" si="11"/>
        <v>135000</v>
      </c>
      <c r="K60" s="142" t="s">
        <v>144</v>
      </c>
      <c r="L60" s="174"/>
      <c r="M60" s="111">
        <f t="shared" si="12"/>
        <v>1.35</v>
      </c>
      <c r="N60" s="140">
        <v>1</v>
      </c>
      <c r="O60" s="110">
        <v>0</v>
      </c>
      <c r="P60" s="173" t="s">
        <v>41</v>
      </c>
      <c r="Q60" s="108">
        <v>100000</v>
      </c>
      <c r="R60" s="108"/>
      <c r="S60" s="100"/>
      <c r="T60" s="100"/>
      <c r="U60" s="100"/>
      <c r="V60" s="100"/>
      <c r="W60" s="100"/>
      <c r="X60" s="100"/>
      <c r="Y60" s="100"/>
      <c r="Z60" s="100"/>
      <c r="AA60" s="100"/>
    </row>
    <row r="61" spans="1:28" ht="40.15" customHeight="1" x14ac:dyDescent="0.2">
      <c r="B61" s="263"/>
      <c r="C61" s="117" t="str">
        <f ca="1">CONCATENATE(MAX($B$3:B61),".",ROW()-MATCH(MAX($B$3:B61),$B$3:B61,0))</f>
        <v>5.12</v>
      </c>
      <c r="D61" s="300" t="s">
        <v>232</v>
      </c>
      <c r="E61" s="282" t="s">
        <v>233</v>
      </c>
      <c r="F61" s="288">
        <v>1</v>
      </c>
      <c r="G61" s="282"/>
      <c r="H61" s="288">
        <v>1</v>
      </c>
      <c r="I61" s="113">
        <f>(Q61+R61)*IF(O61,1,M61)</f>
        <v>270000</v>
      </c>
      <c r="J61" s="278">
        <f>I61*H61</f>
        <v>270000</v>
      </c>
      <c r="K61" s="142" t="s">
        <v>144</v>
      </c>
      <c r="L61" s="174"/>
      <c r="M61" s="111">
        <f t="shared" si="12"/>
        <v>1.35</v>
      </c>
      <c r="N61" s="140">
        <v>1</v>
      </c>
      <c r="O61" s="110">
        <v>0</v>
      </c>
      <c r="P61" s="173" t="s">
        <v>41</v>
      </c>
      <c r="Q61" s="108">
        <v>200000</v>
      </c>
      <c r="R61" s="108"/>
      <c r="S61" s="100"/>
      <c r="T61" s="100"/>
      <c r="U61" s="100"/>
      <c r="V61" s="100"/>
      <c r="W61" s="100"/>
      <c r="X61" s="100"/>
      <c r="Y61" s="100"/>
      <c r="Z61" s="100"/>
      <c r="AA61" s="100"/>
    </row>
    <row r="62" spans="1:28" ht="40.15" customHeight="1" x14ac:dyDescent="0.2">
      <c r="B62" s="263"/>
      <c r="C62" s="117" t="str">
        <f ca="1">CONCATENATE(MAX($B$3:B62),".",ROW()-MATCH(MAX($B$3:B62),$B$3:B62,0))</f>
        <v>5.13</v>
      </c>
      <c r="D62" s="300"/>
      <c r="E62" s="282"/>
      <c r="F62" s="288">
        <v>1</v>
      </c>
      <c r="G62" s="282"/>
      <c r="H62" s="288">
        <v>1</v>
      </c>
      <c r="I62" s="113">
        <f>(Q62+R62)*IF(O62,1,M62)</f>
        <v>0</v>
      </c>
      <c r="J62" s="278">
        <f>I62*H62</f>
        <v>0</v>
      </c>
      <c r="K62" s="142" t="s">
        <v>144</v>
      </c>
      <c r="L62" s="174"/>
      <c r="M62" s="111">
        <f t="shared" si="12"/>
        <v>1.35</v>
      </c>
      <c r="N62" s="140">
        <v>1</v>
      </c>
      <c r="O62" s="110">
        <v>0</v>
      </c>
      <c r="P62" s="173" t="s">
        <v>41</v>
      </c>
      <c r="Q62" s="108"/>
      <c r="R62" s="108"/>
      <c r="S62" s="100"/>
      <c r="T62" s="100"/>
      <c r="U62" s="100"/>
      <c r="V62" s="100"/>
      <c r="W62" s="100"/>
      <c r="X62" s="100"/>
      <c r="Y62" s="100"/>
      <c r="Z62" s="100"/>
      <c r="AA62" s="100"/>
    </row>
    <row r="63" spans="1:28" ht="40.15" customHeight="1" x14ac:dyDescent="0.25">
      <c r="B63" s="263"/>
      <c r="C63" s="264"/>
      <c r="D63" s="336" t="str">
        <f>CONCATENATE("Итого по разделу """,D51,"""",":")</f>
        <v>Итого по разделу "Общесистемное оборудование":</v>
      </c>
      <c r="E63" s="336"/>
      <c r="F63" s="336"/>
      <c r="G63" s="336"/>
      <c r="H63" s="336"/>
      <c r="I63" s="337"/>
      <c r="J63" s="265">
        <f>SUM(J52:J62)</f>
        <v>122512500</v>
      </c>
      <c r="K63" s="266">
        <f>J63</f>
        <v>122512500</v>
      </c>
      <c r="L63" s="267">
        <f ca="1">J63*(1+Дополнительно/(Итого-Дополнительно))</f>
        <v>148240125</v>
      </c>
      <c r="M63" s="111"/>
      <c r="N63" s="140"/>
      <c r="O63" s="110"/>
      <c r="P63" s="173"/>
      <c r="Q63" s="108"/>
      <c r="R63" s="108"/>
      <c r="S63" s="100"/>
      <c r="T63" s="100"/>
      <c r="U63" s="100"/>
      <c r="V63" s="100"/>
      <c r="W63" s="100"/>
      <c r="X63" s="100"/>
      <c r="Y63" s="100"/>
      <c r="Z63" s="100"/>
      <c r="AA63" s="100"/>
    </row>
    <row r="64" spans="1:28" ht="40.15" customHeight="1" x14ac:dyDescent="0.2">
      <c r="B64" s="170">
        <f ca="1">MAX(OFFSET($B$4:B64,-1,0))+1</f>
        <v>6</v>
      </c>
      <c r="C64" s="128"/>
      <c r="D64" s="127" t="s">
        <v>232</v>
      </c>
      <c r="E64" s="127"/>
      <c r="F64" s="127"/>
      <c r="G64" s="127"/>
      <c r="H64" s="127"/>
      <c r="I64" s="126"/>
      <c r="J64" s="160"/>
      <c r="K64" s="142"/>
      <c r="L64" s="174"/>
      <c r="M64" s="111"/>
      <c r="N64" s="140"/>
      <c r="O64" s="110"/>
      <c r="P64" s="173"/>
      <c r="Q64" s="108"/>
      <c r="R64" s="108"/>
      <c r="S64" s="100"/>
      <c r="T64" s="100"/>
      <c r="U64" s="100"/>
      <c r="V64" s="100"/>
      <c r="W64" s="100"/>
      <c r="X64" s="100"/>
      <c r="Y64" s="100"/>
      <c r="Z64" s="100"/>
      <c r="AA64" s="100"/>
    </row>
    <row r="65" spans="2:36" ht="40.15" customHeight="1" x14ac:dyDescent="0.2">
      <c r="B65" s="263"/>
      <c r="C65" s="117" t="str">
        <f ca="1">CONCATENATE(MAX($B$3:B65),".",ROW()-MATCH(MAX($B$3:B65),$B$3:B65,0))</f>
        <v>6.3</v>
      </c>
      <c r="D65" s="290" t="s">
        <v>224</v>
      </c>
      <c r="E65" s="282"/>
      <c r="F65" s="288">
        <v>1</v>
      </c>
      <c r="G65" s="282"/>
      <c r="H65" s="288">
        <v>1</v>
      </c>
      <c r="I65" s="113">
        <f>(Q65+R65)*IF(O65,1,M65)</f>
        <v>0</v>
      </c>
      <c r="J65" s="278">
        <f>I65*H65</f>
        <v>0</v>
      </c>
      <c r="K65" s="142" t="s">
        <v>144</v>
      </c>
      <c r="L65" s="174"/>
      <c r="M65" s="111">
        <f>kz</f>
        <v>1.35</v>
      </c>
      <c r="N65" s="140">
        <v>1</v>
      </c>
      <c r="O65" s="110">
        <v>0</v>
      </c>
      <c r="P65" s="173" t="s">
        <v>41</v>
      </c>
      <c r="Q65" s="108"/>
      <c r="R65" s="108"/>
      <c r="S65" s="100"/>
      <c r="T65" s="100"/>
      <c r="U65" s="100"/>
      <c r="V65" s="100"/>
      <c r="W65" s="100"/>
      <c r="X65" s="100"/>
      <c r="Y65" s="100"/>
      <c r="Z65" s="100"/>
      <c r="AA65" s="100"/>
    </row>
    <row r="66" spans="2:36" ht="40.15" customHeight="1" x14ac:dyDescent="0.2">
      <c r="B66" s="263"/>
      <c r="C66" s="117" t="str">
        <f ca="1">CONCATENATE(MAX($B$3:B66),".",ROW()-MATCH(MAX($B$3:B66),$B$3:B66,0))</f>
        <v>6.4</v>
      </c>
      <c r="D66" s="290" t="s">
        <v>226</v>
      </c>
      <c r="E66" s="282"/>
      <c r="F66" s="288">
        <v>1</v>
      </c>
      <c r="G66" s="282"/>
      <c r="H66" s="288">
        <v>1</v>
      </c>
      <c r="I66" s="113">
        <f>(Q66+R66)*IF(O66,1,M66)</f>
        <v>0</v>
      </c>
      <c r="J66" s="278">
        <f>I66*H66</f>
        <v>0</v>
      </c>
      <c r="K66" s="142" t="s">
        <v>144</v>
      </c>
      <c r="L66" s="174"/>
      <c r="M66" s="111">
        <f>kz</f>
        <v>1.35</v>
      </c>
      <c r="N66" s="140">
        <v>1</v>
      </c>
      <c r="O66" s="110">
        <v>0</v>
      </c>
      <c r="P66" s="173" t="s">
        <v>41</v>
      </c>
      <c r="Q66" s="108"/>
      <c r="R66" s="108"/>
      <c r="S66" s="100"/>
      <c r="T66" s="100"/>
      <c r="U66" s="100"/>
      <c r="V66" s="100"/>
      <c r="W66" s="100"/>
      <c r="X66" s="100"/>
      <c r="Y66" s="100"/>
      <c r="Z66" s="100"/>
      <c r="AA66" s="100"/>
    </row>
    <row r="67" spans="2:36" ht="40.15" customHeight="1" x14ac:dyDescent="0.2">
      <c r="B67" s="263"/>
      <c r="C67" s="117" t="str">
        <f ca="1">CONCATENATE(MAX($B$3:B67),".",ROW()-MATCH(MAX($B$3:B67),$B$3:B67,0))</f>
        <v>6.5</v>
      </c>
      <c r="D67" s="290" t="s">
        <v>227</v>
      </c>
      <c r="E67" s="282"/>
      <c r="F67" s="288">
        <v>1</v>
      </c>
      <c r="G67" s="282"/>
      <c r="H67" s="288">
        <v>1</v>
      </c>
      <c r="I67" s="113">
        <f>(Q67+R67)*IF(O67,1,M67)</f>
        <v>0</v>
      </c>
      <c r="J67" s="278">
        <f>I67*H67</f>
        <v>0</v>
      </c>
      <c r="K67" s="142" t="s">
        <v>144</v>
      </c>
      <c r="L67" s="174"/>
      <c r="M67" s="111">
        <f>kz</f>
        <v>1.35</v>
      </c>
      <c r="N67" s="140">
        <v>1</v>
      </c>
      <c r="O67" s="110">
        <v>0</v>
      </c>
      <c r="P67" s="173" t="s">
        <v>41</v>
      </c>
      <c r="Q67" s="108"/>
      <c r="R67" s="108"/>
      <c r="S67" s="100"/>
      <c r="T67" s="100"/>
      <c r="U67" s="100"/>
      <c r="V67" s="100"/>
      <c r="W67" s="100"/>
      <c r="X67" s="100"/>
      <c r="Y67" s="100"/>
      <c r="Z67" s="100"/>
      <c r="AA67" s="100"/>
    </row>
    <row r="68" spans="2:36" ht="40.15" customHeight="1" x14ac:dyDescent="0.2">
      <c r="B68" s="263"/>
      <c r="C68" s="117" t="str">
        <f ca="1">CONCATENATE(MAX($B$3:B68),".",ROW()-MATCH(MAX($B$3:B68),$B$3:B68,0))</f>
        <v>6.6</v>
      </c>
      <c r="D68" s="290" t="s">
        <v>228</v>
      </c>
      <c r="E68" s="282"/>
      <c r="F68" s="288">
        <v>2</v>
      </c>
      <c r="G68" s="282"/>
      <c r="H68" s="288">
        <v>2</v>
      </c>
      <c r="I68" s="113">
        <f>(Q68+R68)*IF(O68,1,M68)</f>
        <v>0</v>
      </c>
      <c r="J68" s="278">
        <f>I68*H68</f>
        <v>0</v>
      </c>
      <c r="K68" s="142" t="s">
        <v>144</v>
      </c>
      <c r="L68" s="174"/>
      <c r="M68" s="111">
        <f>kz</f>
        <v>1.35</v>
      </c>
      <c r="N68" s="140">
        <v>1</v>
      </c>
      <c r="O68" s="110">
        <v>0</v>
      </c>
      <c r="P68" s="173" t="s">
        <v>41</v>
      </c>
      <c r="Q68" s="108"/>
      <c r="R68" s="108"/>
      <c r="S68" s="100"/>
      <c r="T68" s="100"/>
      <c r="U68" s="100"/>
      <c r="V68" s="100"/>
      <c r="W68" s="100"/>
      <c r="X68" s="100"/>
      <c r="Y68" s="100"/>
      <c r="Z68" s="100"/>
      <c r="AA68" s="100"/>
    </row>
    <row r="69" spans="2:36" ht="40.15" customHeight="1" x14ac:dyDescent="0.25">
      <c r="B69" s="172"/>
      <c r="C69" s="264"/>
      <c r="D69" s="336" t="str">
        <f>CONCATENATE("Итого по разделу """,D64,"""",":")</f>
        <v>Итого по разделу "Связь":</v>
      </c>
      <c r="E69" s="336"/>
      <c r="F69" s="336"/>
      <c r="G69" s="336"/>
      <c r="H69" s="336"/>
      <c r="I69" s="337"/>
      <c r="J69" s="265">
        <f ca="1">SUM(OFFSET(J65:J68,-1,0))</f>
        <v>0</v>
      </c>
      <c r="K69" s="266">
        <f ca="1">J69</f>
        <v>0</v>
      </c>
      <c r="L69" s="267">
        <f ca="1">J69*(1+Дополнительно/(Итого-Дополнительно))</f>
        <v>0</v>
      </c>
      <c r="M69" s="133"/>
      <c r="N69" s="132"/>
      <c r="O69" s="132"/>
      <c r="P69" s="132"/>
      <c r="Q69" s="131"/>
      <c r="R69" s="131"/>
      <c r="W69" s="100"/>
      <c r="X69" s="100"/>
      <c r="Y69" s="100"/>
      <c r="Z69" s="100"/>
      <c r="AA69" s="100"/>
    </row>
    <row r="70" spans="2:36" ht="40.15" customHeight="1" x14ac:dyDescent="0.25">
      <c r="B70" s="299"/>
      <c r="C70" s="297"/>
      <c r="D70" s="296"/>
      <c r="E70" s="296"/>
      <c r="F70" s="296"/>
      <c r="G70" s="296"/>
      <c r="H70" s="296"/>
      <c r="I70" s="296"/>
      <c r="J70" s="298"/>
      <c r="K70" s="265"/>
      <c r="L70" s="267"/>
      <c r="M70" s="133"/>
      <c r="N70" s="132"/>
      <c r="O70" s="132"/>
      <c r="P70" s="132"/>
      <c r="Q70" s="131"/>
      <c r="R70" s="131"/>
      <c r="W70" s="100"/>
      <c r="X70" s="100"/>
      <c r="Y70" s="100"/>
      <c r="Z70" s="100"/>
      <c r="AA70" s="100"/>
    </row>
    <row r="71" spans="2:36" ht="27.6" customHeight="1" x14ac:dyDescent="0.2">
      <c r="B71" s="170">
        <f ca="1">MAX(OFFSET($B$4:B71,-1,0))+1</f>
        <v>7</v>
      </c>
      <c r="C71" s="128"/>
      <c r="D71" s="127" t="s">
        <v>223</v>
      </c>
      <c r="E71" s="127"/>
      <c r="F71" s="127"/>
      <c r="G71" s="127"/>
      <c r="H71" s="127"/>
      <c r="I71" s="126"/>
      <c r="J71" s="160"/>
      <c r="K71" s="142"/>
      <c r="L71" s="174"/>
      <c r="M71" s="111"/>
      <c r="N71" s="140"/>
      <c r="O71" s="110"/>
      <c r="P71" s="173"/>
      <c r="Q71" s="108"/>
      <c r="R71" s="108"/>
      <c r="S71" s="100"/>
      <c r="T71" s="100"/>
      <c r="U71" s="100"/>
      <c r="V71" s="100"/>
      <c r="W71" s="100"/>
      <c r="X71" s="100"/>
      <c r="Y71" s="100"/>
      <c r="Z71" s="100"/>
      <c r="AA71" s="100"/>
    </row>
    <row r="72" spans="2:36" ht="64.900000000000006" customHeight="1" x14ac:dyDescent="0.2">
      <c r="B72" s="263"/>
      <c r="C72" s="117" t="str">
        <f ca="1">CONCATENATE(MAX($B$3:B72),".",ROW()-MATCH(MAX($B$3:B72),$B$3:B72,0))</f>
        <v>7.3</v>
      </c>
      <c r="D72" s="290" t="s">
        <v>224</v>
      </c>
      <c r="E72" s="282" t="s">
        <v>225</v>
      </c>
      <c r="F72" s="282"/>
      <c r="G72" s="282"/>
      <c r="H72" s="288">
        <v>1</v>
      </c>
      <c r="I72" s="113">
        <f>(Q72+R72)*IF(O72,1,M72)</f>
        <v>40500000</v>
      </c>
      <c r="J72" s="278">
        <f>I72*H72</f>
        <v>40500000</v>
      </c>
      <c r="K72" s="142" t="s">
        <v>144</v>
      </c>
      <c r="L72" s="174"/>
      <c r="M72" s="111">
        <f>kz</f>
        <v>1.35</v>
      </c>
      <c r="N72" s="140">
        <v>1</v>
      </c>
      <c r="O72" s="110">
        <v>0</v>
      </c>
      <c r="P72" s="173" t="s">
        <v>41</v>
      </c>
      <c r="Q72" s="108">
        <v>30000000</v>
      </c>
      <c r="R72" s="108"/>
      <c r="S72" s="100"/>
      <c r="T72" s="100"/>
      <c r="U72" s="100"/>
      <c r="V72" s="100"/>
      <c r="W72" s="100"/>
      <c r="X72" s="100"/>
      <c r="Y72" s="100"/>
      <c r="Z72" s="100"/>
      <c r="AA72" s="100"/>
    </row>
    <row r="73" spans="2:36" ht="22.9" customHeight="1" x14ac:dyDescent="0.2">
      <c r="B73" s="263"/>
      <c r="C73" s="117" t="str">
        <f ca="1">CONCATENATE(MAX($B$3:B73),".",ROW()-MATCH(MAX($B$3:B73),$B$3:B73,0))</f>
        <v>7.4</v>
      </c>
      <c r="D73" s="290" t="s">
        <v>226</v>
      </c>
      <c r="E73" s="282"/>
      <c r="F73" s="282"/>
      <c r="G73" s="282"/>
      <c r="H73" s="288">
        <v>1</v>
      </c>
      <c r="I73" s="113">
        <f>(Q73+R73)*IF(O73,1,M73)</f>
        <v>4050000.0000000005</v>
      </c>
      <c r="J73" s="278">
        <f>I73*H73</f>
        <v>4050000.0000000005</v>
      </c>
      <c r="K73" s="142" t="s">
        <v>144</v>
      </c>
      <c r="L73" s="174"/>
      <c r="M73" s="111">
        <f>kz</f>
        <v>1.35</v>
      </c>
      <c r="N73" s="140">
        <v>1</v>
      </c>
      <c r="O73" s="110">
        <v>0</v>
      </c>
      <c r="P73" s="173" t="s">
        <v>41</v>
      </c>
      <c r="Q73" s="108">
        <v>3000000</v>
      </c>
      <c r="R73" s="108"/>
      <c r="S73" s="100"/>
      <c r="T73" s="100"/>
      <c r="U73" s="100"/>
      <c r="V73" s="100"/>
      <c r="W73" s="100"/>
      <c r="X73" s="100"/>
      <c r="Y73" s="100"/>
      <c r="Z73" s="100"/>
      <c r="AA73" s="100"/>
    </row>
    <row r="74" spans="2:36" ht="40.15" customHeight="1" x14ac:dyDescent="0.2">
      <c r="B74" s="263"/>
      <c r="C74" s="117" t="str">
        <f ca="1">CONCATENATE(MAX($B$3:B74),".",ROW()-MATCH(MAX($B$3:B74),$B$3:B74,0))</f>
        <v>7.5</v>
      </c>
      <c r="D74" s="290" t="s">
        <v>227</v>
      </c>
      <c r="E74" s="282"/>
      <c r="F74" s="282"/>
      <c r="G74" s="282"/>
      <c r="H74" s="288">
        <v>1</v>
      </c>
      <c r="I74" s="113">
        <f>(Q74+R74)*IF(O74,1,M74)</f>
        <v>6750000</v>
      </c>
      <c r="J74" s="278">
        <f>I74*H74</f>
        <v>6750000</v>
      </c>
      <c r="K74" s="142" t="s">
        <v>144</v>
      </c>
      <c r="L74" s="174"/>
      <c r="M74" s="111">
        <f>kz</f>
        <v>1.35</v>
      </c>
      <c r="N74" s="140">
        <v>1</v>
      </c>
      <c r="O74" s="110">
        <v>0</v>
      </c>
      <c r="P74" s="173" t="s">
        <v>41</v>
      </c>
      <c r="Q74" s="108">
        <v>5000000</v>
      </c>
      <c r="R74" s="108"/>
      <c r="S74" s="100"/>
      <c r="T74" s="100"/>
      <c r="U74" s="100"/>
      <c r="V74" s="100"/>
      <c r="W74" s="100"/>
      <c r="X74" s="100"/>
      <c r="Y74" s="100"/>
      <c r="Z74" s="100"/>
      <c r="AA74" s="100"/>
    </row>
    <row r="75" spans="2:36" ht="40.15" customHeight="1" x14ac:dyDescent="0.2">
      <c r="B75" s="263"/>
      <c r="C75" s="117" t="str">
        <f ca="1">CONCATENATE(MAX($B$3:B75),".",ROW()-MATCH(MAX($B$3:B75),$B$3:B75,0))</f>
        <v>7.6</v>
      </c>
      <c r="D75" s="290" t="s">
        <v>228</v>
      </c>
      <c r="E75" s="282"/>
      <c r="F75" s="282"/>
      <c r="G75" s="282"/>
      <c r="H75" s="288">
        <v>2</v>
      </c>
      <c r="I75" s="113">
        <f>(Q75+R75)*IF(O75,1,M75)</f>
        <v>2025000.0000000002</v>
      </c>
      <c r="J75" s="278">
        <f>I75*H75</f>
        <v>4050000.0000000005</v>
      </c>
      <c r="K75" s="142" t="s">
        <v>144</v>
      </c>
      <c r="L75" s="174"/>
      <c r="M75" s="111">
        <f>kz</f>
        <v>1.35</v>
      </c>
      <c r="N75" s="140">
        <v>1</v>
      </c>
      <c r="O75" s="110">
        <v>0</v>
      </c>
      <c r="P75" s="173" t="s">
        <v>41</v>
      </c>
      <c r="Q75" s="108">
        <v>1500000</v>
      </c>
      <c r="R75" s="108"/>
      <c r="S75" s="100"/>
      <c r="T75" s="100"/>
      <c r="U75" s="100"/>
      <c r="V75" s="100"/>
      <c r="W75" s="100"/>
      <c r="X75" s="100"/>
      <c r="Y75" s="100"/>
      <c r="Z75" s="100"/>
      <c r="AA75" s="100"/>
    </row>
    <row r="76" spans="2:36" ht="21.6" customHeight="1" x14ac:dyDescent="0.2">
      <c r="B76" s="263"/>
      <c r="C76" s="117" t="str">
        <f ca="1">CONCATENATE(MAX($B$3:B76),".",ROW()-MATCH(MAX($B$3:B76),$B$3:B76,0))</f>
        <v>7.7</v>
      </c>
      <c r="D76" s="175"/>
      <c r="E76" s="175"/>
      <c r="F76" s="175"/>
      <c r="G76" s="175"/>
      <c r="H76" s="235"/>
      <c r="I76" s="113"/>
      <c r="J76" s="143"/>
      <c r="K76" s="174"/>
      <c r="L76" s="174"/>
      <c r="M76" s="111"/>
      <c r="N76" s="110"/>
      <c r="O76" s="110"/>
      <c r="P76" s="110"/>
      <c r="Q76" s="108"/>
      <c r="R76" s="108"/>
      <c r="S76" s="100"/>
      <c r="T76" s="100"/>
      <c r="U76" s="100"/>
      <c r="V76" s="100"/>
      <c r="W76" s="100"/>
      <c r="X76" s="100"/>
      <c r="Y76" s="100"/>
      <c r="Z76" s="100"/>
      <c r="AA76" s="100"/>
    </row>
    <row r="77" spans="2:36" ht="24.6" customHeight="1" x14ac:dyDescent="0.25">
      <c r="B77" s="172"/>
      <c r="C77" s="264"/>
      <c r="D77" s="336" t="str">
        <f>CONCATENATE("Итого по разделу """,D71,"""",":")</f>
        <v>Итого по разделу "Обдув воздухом":</v>
      </c>
      <c r="E77" s="336"/>
      <c r="F77" s="336"/>
      <c r="G77" s="336"/>
      <c r="H77" s="336"/>
      <c r="I77" s="337"/>
      <c r="J77" s="265">
        <f ca="1">SUM(OFFSET(J72:J76,-1,0))</f>
        <v>55350000</v>
      </c>
      <c r="K77" s="266">
        <f ca="1">J77</f>
        <v>55350000</v>
      </c>
      <c r="L77" s="267">
        <f ca="1">J77*(1+Дополнительно/(Итого-Дополнительно))</f>
        <v>66973500</v>
      </c>
      <c r="M77" s="133"/>
      <c r="N77" s="132"/>
      <c r="O77" s="132"/>
      <c r="P77" s="132"/>
      <c r="Q77" s="131"/>
      <c r="R77" s="131"/>
      <c r="Z77" s="130"/>
      <c r="AA77" s="94"/>
      <c r="AB77" s="360" t="s">
        <v>143</v>
      </c>
      <c r="AC77" s="361" t="s">
        <v>142</v>
      </c>
      <c r="AD77" s="357" t="s">
        <v>141</v>
      </c>
      <c r="AE77" s="357" t="s">
        <v>140</v>
      </c>
      <c r="AF77" s="357" t="s">
        <v>139</v>
      </c>
      <c r="AG77" s="361" t="s">
        <v>138</v>
      </c>
      <c r="AH77" s="357" t="s">
        <v>137</v>
      </c>
    </row>
    <row r="78" spans="2:36" s="99" customFormat="1" ht="12.75" x14ac:dyDescent="0.2">
      <c r="B78" s="170">
        <f ca="1">MAX(OFFSET($B$4:B78,-1,0))+1</f>
        <v>8</v>
      </c>
      <c r="C78" s="128"/>
      <c r="D78" s="127" t="s">
        <v>136</v>
      </c>
      <c r="E78" s="127"/>
      <c r="F78" s="127"/>
      <c r="G78" s="127"/>
      <c r="H78" s="127"/>
      <c r="I78" s="126"/>
      <c r="J78" s="160"/>
      <c r="K78" s="159"/>
      <c r="L78" s="159"/>
      <c r="M78" s="159"/>
      <c r="N78" s="158"/>
      <c r="O78" s="158"/>
      <c r="P78" s="158"/>
      <c r="Q78" s="154"/>
      <c r="R78" s="154"/>
      <c r="Z78" s="155"/>
      <c r="AA78" s="154"/>
      <c r="AB78" s="360"/>
      <c r="AC78" s="361"/>
      <c r="AD78" s="357"/>
      <c r="AE78" s="357"/>
      <c r="AF78" s="357"/>
      <c r="AG78" s="361"/>
      <c r="AH78" s="357"/>
      <c r="AI78" s="167"/>
      <c r="AJ78" s="167"/>
    </row>
    <row r="79" spans="2:36" s="99" customFormat="1" x14ac:dyDescent="0.2">
      <c r="B79" s="169"/>
      <c r="C79" s="117" t="str">
        <f ca="1">CONCATENATE(MAX($B$3:B79),".",ROW()-MATCH(MAX($B$3:B79),$B$3:B79,0))</f>
        <v>8.3</v>
      </c>
      <c r="D79" s="239" t="s">
        <v>184</v>
      </c>
      <c r="E79" s="239"/>
      <c r="F79" s="236">
        <v>10</v>
      </c>
      <c r="G79" s="311"/>
      <c r="H79" s="236">
        <v>10</v>
      </c>
      <c r="I79" s="113">
        <f t="shared" ref="I79:I84" si="14">Q79+R79</f>
        <v>13618.000000000002</v>
      </c>
      <c r="J79" s="143">
        <f t="shared" ref="J79:J84" si="15">I79*H79</f>
        <v>136180.00000000003</v>
      </c>
      <c r="K79" s="124"/>
      <c r="L79" s="124"/>
      <c r="M79" s="165">
        <f t="shared" ref="M79:M84" si="16">kz</f>
        <v>1.35</v>
      </c>
      <c r="N79" s="110">
        <v>0</v>
      </c>
      <c r="O79" s="110">
        <v>1</v>
      </c>
      <c r="P79" s="110" t="s">
        <v>58</v>
      </c>
      <c r="Q79" s="168">
        <f>(AC79+AG79+AD79*2+AE79*AF79+AH79)*usd</f>
        <v>13618.000000000002</v>
      </c>
      <c r="R79" s="119"/>
      <c r="U79" s="107"/>
      <c r="V79" s="107"/>
      <c r="W79" s="107"/>
      <c r="X79" s="107"/>
      <c r="Y79" s="107"/>
      <c r="Z79" s="120"/>
      <c r="AA79" s="119"/>
      <c r="AB79" s="243" t="s">
        <v>185</v>
      </c>
      <c r="AC79" s="244">
        <v>5</v>
      </c>
      <c r="AD79" s="245">
        <v>33</v>
      </c>
      <c r="AE79" s="245">
        <f>4*1*kz</f>
        <v>5.4</v>
      </c>
      <c r="AF79" s="245">
        <v>7</v>
      </c>
      <c r="AG79" s="245">
        <v>5</v>
      </c>
      <c r="AH79" s="245">
        <v>10</v>
      </c>
      <c r="AI79" s="167"/>
      <c r="AJ79" s="167"/>
    </row>
    <row r="80" spans="2:36" s="99" customFormat="1" ht="27.6" customHeight="1" x14ac:dyDescent="0.2">
      <c r="B80" s="169"/>
      <c r="C80" s="117" t="str">
        <f ca="1">CONCATENATE(MAX($B$3:B80),".",ROW()-MATCH(MAX($B$3:B80),$B$3:B80,0))</f>
        <v>8.4</v>
      </c>
      <c r="D80" s="239" t="s">
        <v>186</v>
      </c>
      <c r="E80" s="239"/>
      <c r="F80" s="236">
        <v>100</v>
      </c>
      <c r="G80" s="311"/>
      <c r="H80" s="236">
        <v>100</v>
      </c>
      <c r="I80" s="113">
        <f t="shared" si="14"/>
        <v>6050</v>
      </c>
      <c r="J80" s="143">
        <f t="shared" si="15"/>
        <v>605000</v>
      </c>
      <c r="K80" s="124"/>
      <c r="L80" s="124"/>
      <c r="M80" s="165">
        <f t="shared" si="16"/>
        <v>1.35</v>
      </c>
      <c r="N80" s="110">
        <v>0</v>
      </c>
      <c r="O80" s="110">
        <v>1</v>
      </c>
      <c r="P80" s="110" t="s">
        <v>58</v>
      </c>
      <c r="Q80" s="168">
        <f>(AC80+AG80+AD80*2+AE80*AF80+AH80)*usd</f>
        <v>6050</v>
      </c>
      <c r="R80" s="119"/>
      <c r="S80" s="107"/>
      <c r="T80" s="107"/>
      <c r="U80" s="107"/>
      <c r="V80" s="107"/>
      <c r="W80" s="107"/>
      <c r="X80" s="107"/>
      <c r="Y80" s="107"/>
      <c r="Z80" s="120"/>
      <c r="AA80" s="119"/>
      <c r="AB80" s="243" t="s">
        <v>179</v>
      </c>
      <c r="AC80" s="244">
        <v>5</v>
      </c>
      <c r="AD80" s="245">
        <v>4</v>
      </c>
      <c r="AE80" s="245">
        <f>1*kz</f>
        <v>1.35</v>
      </c>
      <c r="AF80" s="245">
        <v>20</v>
      </c>
      <c r="AG80" s="245">
        <v>5</v>
      </c>
      <c r="AH80" s="245">
        <v>10</v>
      </c>
      <c r="AI80" s="167"/>
      <c r="AJ80" s="167"/>
    </row>
    <row r="81" spans="2:36" s="99" customFormat="1" ht="49.9" customHeight="1" x14ac:dyDescent="0.2">
      <c r="B81" s="169"/>
      <c r="C81" s="283" t="s">
        <v>204</v>
      </c>
      <c r="D81" s="272" t="s">
        <v>206</v>
      </c>
      <c r="E81" s="282" t="s">
        <v>203</v>
      </c>
      <c r="F81" s="268">
        <v>4</v>
      </c>
      <c r="G81" s="282"/>
      <c r="H81" s="268">
        <v>4</v>
      </c>
      <c r="I81" s="113">
        <f t="shared" si="14"/>
        <v>400000</v>
      </c>
      <c r="J81" s="143">
        <f>I81*H81</f>
        <v>1600000</v>
      </c>
      <c r="K81" s="142" t="s">
        <v>144</v>
      </c>
      <c r="L81" s="174"/>
      <c r="M81" s="111">
        <f>kz</f>
        <v>1.35</v>
      </c>
      <c r="N81" s="140">
        <v>1</v>
      </c>
      <c r="O81" s="110">
        <v>0</v>
      </c>
      <c r="P81" s="110" t="s">
        <v>58</v>
      </c>
      <c r="Q81" s="108">
        <v>400000</v>
      </c>
      <c r="R81" s="108"/>
      <c r="S81" s="107"/>
      <c r="T81" s="107"/>
      <c r="U81" s="107"/>
      <c r="V81" s="107"/>
      <c r="W81" s="107"/>
      <c r="X81" s="107"/>
      <c r="Y81" s="107"/>
      <c r="Z81" s="120"/>
      <c r="AA81" s="119"/>
      <c r="AB81" s="243" t="s">
        <v>209</v>
      </c>
      <c r="AC81" s="244"/>
      <c r="AD81" s="245"/>
      <c r="AE81" s="245"/>
      <c r="AF81" s="245"/>
      <c r="AG81" s="245"/>
      <c r="AH81" s="245"/>
      <c r="AI81" s="167"/>
      <c r="AJ81" s="167"/>
    </row>
    <row r="82" spans="2:36" s="99" customFormat="1" ht="32.450000000000003" customHeight="1" x14ac:dyDescent="0.2">
      <c r="B82" s="169"/>
      <c r="C82" s="283" t="s">
        <v>205</v>
      </c>
      <c r="D82" s="272" t="s">
        <v>207</v>
      </c>
      <c r="E82" s="282" t="s">
        <v>203</v>
      </c>
      <c r="F82" s="268">
        <v>4</v>
      </c>
      <c r="G82" s="282"/>
      <c r="H82" s="268">
        <v>4</v>
      </c>
      <c r="I82" s="113">
        <f t="shared" si="14"/>
        <v>400000</v>
      </c>
      <c r="J82" s="143">
        <f>I82*H82</f>
        <v>1600000</v>
      </c>
      <c r="K82" s="142" t="s">
        <v>144</v>
      </c>
      <c r="L82" s="174"/>
      <c r="M82" s="111">
        <f>kz</f>
        <v>1.35</v>
      </c>
      <c r="N82" s="140">
        <v>1</v>
      </c>
      <c r="O82" s="110">
        <v>0</v>
      </c>
      <c r="P82" s="110" t="s">
        <v>58</v>
      </c>
      <c r="Q82" s="108">
        <v>400000</v>
      </c>
      <c r="R82" s="108"/>
      <c r="S82" s="107"/>
      <c r="T82" s="107"/>
      <c r="U82" s="107"/>
      <c r="V82" s="107"/>
      <c r="W82" s="107"/>
      <c r="X82" s="107"/>
      <c r="Y82" s="107"/>
      <c r="Z82" s="120"/>
      <c r="AA82" s="119"/>
      <c r="AB82" s="243" t="s">
        <v>209</v>
      </c>
      <c r="AC82" s="244"/>
      <c r="AD82" s="245"/>
      <c r="AE82" s="245"/>
      <c r="AF82" s="245"/>
      <c r="AG82" s="245"/>
      <c r="AH82" s="245"/>
      <c r="AI82" s="167"/>
      <c r="AJ82" s="167"/>
    </row>
    <row r="83" spans="2:36" s="99" customFormat="1" ht="32.450000000000003" customHeight="1" x14ac:dyDescent="0.2">
      <c r="B83" s="169"/>
      <c r="C83" s="283" t="s">
        <v>205</v>
      </c>
      <c r="D83" s="272" t="s">
        <v>208</v>
      </c>
      <c r="E83" s="282" t="s">
        <v>203</v>
      </c>
      <c r="F83" s="268">
        <v>1</v>
      </c>
      <c r="G83" s="282"/>
      <c r="H83" s="268">
        <v>1</v>
      </c>
      <c r="I83" s="113">
        <f t="shared" si="14"/>
        <v>1000000</v>
      </c>
      <c r="J83" s="143">
        <f>I83*H83</f>
        <v>1000000</v>
      </c>
      <c r="K83" s="142" t="s">
        <v>144</v>
      </c>
      <c r="L83" s="174"/>
      <c r="M83" s="111">
        <f>kz</f>
        <v>1.35</v>
      </c>
      <c r="N83" s="140">
        <v>1</v>
      </c>
      <c r="O83" s="110">
        <v>0</v>
      </c>
      <c r="P83" s="110" t="s">
        <v>58</v>
      </c>
      <c r="Q83" s="108">
        <v>1000000</v>
      </c>
      <c r="R83" s="108"/>
      <c r="S83" s="107"/>
      <c r="T83" s="107"/>
      <c r="U83" s="107"/>
      <c r="V83" s="107"/>
      <c r="W83" s="107"/>
      <c r="X83" s="107"/>
      <c r="Y83" s="107"/>
      <c r="Z83" s="120"/>
      <c r="AA83" s="119"/>
      <c r="AB83" s="243"/>
      <c r="AC83" s="244"/>
      <c r="AD83" s="245"/>
      <c r="AE83" s="245"/>
      <c r="AF83" s="245"/>
      <c r="AG83" s="245"/>
      <c r="AH83" s="245"/>
      <c r="AI83" s="167"/>
      <c r="AJ83" s="167"/>
    </row>
    <row r="84" spans="2:36" ht="25.5" x14ac:dyDescent="0.2">
      <c r="B84" s="145"/>
      <c r="C84" s="144" t="str">
        <f ca="1">CONCATENATE(MAX($B$3:B84),".",ROW()-MATCH(MAX($B$3:B84),$B$3:B84,0))</f>
        <v>8.8</v>
      </c>
      <c r="D84" s="239" t="s">
        <v>210</v>
      </c>
      <c r="E84" s="239"/>
      <c r="F84" s="236">
        <v>1</v>
      </c>
      <c r="G84" s="311"/>
      <c r="H84" s="236">
        <v>1</v>
      </c>
      <c r="I84" s="113">
        <f t="shared" si="14"/>
        <v>2500000</v>
      </c>
      <c r="J84" s="143">
        <f t="shared" si="15"/>
        <v>2500000</v>
      </c>
      <c r="K84" s="142"/>
      <c r="L84" s="166"/>
      <c r="M84" s="165">
        <f t="shared" si="16"/>
        <v>1.35</v>
      </c>
      <c r="N84" s="110">
        <v>1</v>
      </c>
      <c r="O84" s="110">
        <v>0</v>
      </c>
      <c r="P84" s="110" t="s">
        <v>58</v>
      </c>
      <c r="Q84" s="108">
        <v>2500000</v>
      </c>
      <c r="R84" s="108"/>
      <c r="S84" s="100"/>
      <c r="T84" s="100"/>
      <c r="U84" s="100"/>
      <c r="V84" s="100"/>
      <c r="W84" s="100"/>
      <c r="X84" s="100"/>
      <c r="Y84" s="100"/>
      <c r="Z84" s="100"/>
      <c r="AA84" s="100"/>
      <c r="AB84" s="99"/>
      <c r="AC84" s="164"/>
      <c r="AD84" s="99"/>
      <c r="AE84" s="99"/>
      <c r="AF84" s="99"/>
      <c r="AG84" s="99"/>
      <c r="AH84" s="99"/>
      <c r="AI84" s="99"/>
      <c r="AJ84" s="99"/>
    </row>
    <row r="85" spans="2:36" s="99" customFormat="1" ht="15.75" x14ac:dyDescent="0.2">
      <c r="B85" s="163"/>
      <c r="C85" s="162"/>
      <c r="D85" s="345" t="str">
        <f>CONCATENATE("Итого по разделу """,D78,"""",":")</f>
        <v>Итого по разделу "Кабельная продукция":</v>
      </c>
      <c r="E85" s="345"/>
      <c r="F85" s="345"/>
      <c r="G85" s="345"/>
      <c r="H85" s="345"/>
      <c r="I85" s="346"/>
      <c r="J85" s="161">
        <f ca="1">SUM(OFFSET(J79:J85,-1,0))</f>
        <v>7441180</v>
      </c>
      <c r="K85" s="136">
        <f ca="1">J85</f>
        <v>7441180</v>
      </c>
      <c r="L85" s="136">
        <f ca="1">J85*(1+Дополнительно/(Итого-Дополнительно))</f>
        <v>9003827.7999999989</v>
      </c>
      <c r="M85" s="133"/>
      <c r="N85" s="132"/>
      <c r="O85" s="132"/>
      <c r="Q85" s="131"/>
      <c r="R85" s="131"/>
      <c r="S85" s="130"/>
      <c r="T85" s="130"/>
      <c r="U85" s="130"/>
      <c r="V85" s="130"/>
      <c r="W85" s="130"/>
      <c r="X85" s="130"/>
      <c r="Y85" s="130"/>
      <c r="Z85" s="130"/>
    </row>
    <row r="86" spans="2:36" s="99" customFormat="1" x14ac:dyDescent="0.2">
      <c r="B86" s="129">
        <f ca="1">MAX(OFFSET($B$4:B86,-1,0))+1</f>
        <v>9</v>
      </c>
      <c r="C86" s="128"/>
      <c r="D86" s="127" t="s">
        <v>75</v>
      </c>
      <c r="E86" s="127"/>
      <c r="F86" s="127"/>
      <c r="G86" s="127"/>
      <c r="H86" s="127"/>
      <c r="I86" s="126"/>
      <c r="J86" s="160"/>
      <c r="K86" s="159"/>
      <c r="L86" s="159"/>
      <c r="M86" s="159"/>
      <c r="N86" s="158"/>
      <c r="O86" s="158"/>
      <c r="P86" s="157"/>
      <c r="Q86" s="154"/>
      <c r="R86" s="287" t="s">
        <v>75</v>
      </c>
      <c r="S86" s="154"/>
      <c r="T86" s="154"/>
      <c r="U86" s="156"/>
      <c r="V86" s="156"/>
      <c r="W86" s="156"/>
      <c r="X86" s="156"/>
      <c r="Y86" s="155"/>
      <c r="Z86" s="155"/>
      <c r="AA86" s="154"/>
    </row>
    <row r="87" spans="2:36" s="99" customFormat="1" x14ac:dyDescent="0.2">
      <c r="B87" s="153"/>
      <c r="C87" s="144" t="str">
        <f ca="1">CONCATENATE(MAX($B$3:B87),".",ROW()-MATCH(MAX($B$3:B87),$B$3:B87,0))</f>
        <v>9.3</v>
      </c>
      <c r="D87" s="348" t="s">
        <v>135</v>
      </c>
      <c r="E87" s="349"/>
      <c r="F87" s="237">
        <v>1</v>
      </c>
      <c r="G87" s="304"/>
      <c r="H87" s="237">
        <v>1</v>
      </c>
      <c r="I87" s="113">
        <f t="shared" ref="I87:I96" si="17">Q87+R87+SUM(S87:AA87)*чл_мес</f>
        <v>120000</v>
      </c>
      <c r="J87" s="152">
        <f t="shared" ref="J87:J96" si="18">I87*H87</f>
        <v>120000</v>
      </c>
      <c r="K87" s="148"/>
      <c r="L87" s="148"/>
      <c r="M87" s="111">
        <f t="shared" ref="M87:M96" si="19">kz</f>
        <v>1.35</v>
      </c>
      <c r="N87" s="110"/>
      <c r="O87" s="110">
        <v>1</v>
      </c>
      <c r="P87" s="110" t="s">
        <v>60</v>
      </c>
      <c r="Q87" s="110">
        <v>120000</v>
      </c>
      <c r="R87" s="108"/>
      <c r="S87" s="141"/>
      <c r="T87" s="141"/>
      <c r="U87" s="141"/>
      <c r="V87" s="141"/>
      <c r="W87" s="141"/>
      <c r="X87" s="141"/>
      <c r="Y87" s="141"/>
      <c r="Z87" s="141"/>
      <c r="AA87" s="141"/>
    </row>
    <row r="88" spans="2:36" x14ac:dyDescent="0.2">
      <c r="B88" s="145"/>
      <c r="C88" s="144" t="str">
        <f ca="1">CONCATENATE(MAX($B$3:B88),".",ROW()-MATCH(MAX($B$3:B88),$B$3:B88,0))</f>
        <v>9.4</v>
      </c>
      <c r="D88" s="353" t="s">
        <v>134</v>
      </c>
      <c r="E88" s="354"/>
      <c r="F88" s="284">
        <v>1</v>
      </c>
      <c r="G88" s="312"/>
      <c r="H88" s="284">
        <v>1</v>
      </c>
      <c r="I88" s="113">
        <f t="shared" si="17"/>
        <v>10500000</v>
      </c>
      <c r="J88" s="143">
        <f t="shared" si="18"/>
        <v>10500000</v>
      </c>
      <c r="K88" s="151"/>
      <c r="L88" s="151"/>
      <c r="M88" s="111">
        <f t="shared" si="19"/>
        <v>1.35</v>
      </c>
      <c r="N88" s="110"/>
      <c r="O88" s="110">
        <v>1</v>
      </c>
      <c r="P88" s="110"/>
      <c r="Q88" s="108"/>
      <c r="R88" s="108"/>
      <c r="S88" s="141"/>
      <c r="T88" s="141"/>
      <c r="U88" s="141"/>
      <c r="V88" s="141">
        <f>[4]!ПО</f>
        <v>15</v>
      </c>
      <c r="W88" s="141"/>
      <c r="X88" s="141"/>
      <c r="Y88" s="141"/>
      <c r="Z88" s="141"/>
      <c r="AA88" s="141"/>
    </row>
    <row r="89" spans="2:36" x14ac:dyDescent="0.2">
      <c r="B89" s="145"/>
      <c r="C89" s="144" t="str">
        <f ca="1">CONCATENATE(MAX($B$3:B89),".",ROW()-MATCH(MAX($B$3:B89),$B$3:B89,0))</f>
        <v>9.5</v>
      </c>
      <c r="D89" s="362" t="s">
        <v>133</v>
      </c>
      <c r="E89" s="335"/>
      <c r="F89" s="291">
        <v>1</v>
      </c>
      <c r="G89" s="303"/>
      <c r="H89" s="291">
        <v>1</v>
      </c>
      <c r="I89" s="113">
        <f t="shared" si="17"/>
        <v>25550000</v>
      </c>
      <c r="J89" s="143">
        <f t="shared" si="18"/>
        <v>25550000</v>
      </c>
      <c r="K89" s="142"/>
      <c r="L89" s="142"/>
      <c r="M89" s="111">
        <f t="shared" si="19"/>
        <v>1.35</v>
      </c>
      <c r="N89" s="110"/>
      <c r="O89" s="110">
        <v>1</v>
      </c>
      <c r="P89" s="110"/>
      <c r="Q89" s="108"/>
      <c r="R89" s="108"/>
      <c r="S89" s="141">
        <f>[4]!КД</f>
        <v>7</v>
      </c>
      <c r="T89" s="141">
        <f>[4]!КО</f>
        <v>16</v>
      </c>
      <c r="U89" s="141"/>
      <c r="V89" s="141"/>
      <c r="W89" s="141">
        <f>[4]!ВП</f>
        <v>9.5</v>
      </c>
      <c r="X89" s="141"/>
      <c r="Y89" s="141"/>
      <c r="Z89" s="141">
        <f>[4]!ЭД</f>
        <v>4</v>
      </c>
      <c r="AA89" s="141"/>
    </row>
    <row r="90" spans="2:36" x14ac:dyDescent="0.2">
      <c r="B90" s="145"/>
      <c r="C90" s="144" t="str">
        <f ca="1">CONCATENATE(MAX($B$3:B90),".",ROW()-MATCH(MAX($B$3:B90),$B$3:B90,0))</f>
        <v>9.6</v>
      </c>
      <c r="D90" s="334" t="s">
        <v>217</v>
      </c>
      <c r="E90" s="335"/>
      <c r="F90" s="248">
        <f>F45</f>
        <v>1</v>
      </c>
      <c r="G90" s="303"/>
      <c r="H90" s="248">
        <f>H45</f>
        <v>1</v>
      </c>
      <c r="I90" s="113">
        <f>Q90+R90+SUM(S90:AA90)*чл_мес</f>
        <v>3500000</v>
      </c>
      <c r="J90" s="143">
        <f>I90*H90</f>
        <v>3500000</v>
      </c>
      <c r="K90" s="142"/>
      <c r="L90" s="142"/>
      <c r="M90" s="111">
        <f t="shared" si="19"/>
        <v>1.35</v>
      </c>
      <c r="N90" s="110"/>
      <c r="O90" s="110">
        <v>1</v>
      </c>
      <c r="P90" s="110"/>
      <c r="Q90" s="108"/>
      <c r="R90" s="108"/>
      <c r="S90" s="141"/>
      <c r="T90" s="141">
        <f>[4]Лист1!$E$37</f>
        <v>5</v>
      </c>
      <c r="U90" s="141"/>
      <c r="V90" s="141"/>
      <c r="W90" s="141"/>
      <c r="X90" s="141"/>
      <c r="Y90" s="141"/>
      <c r="Z90" s="141"/>
      <c r="AA90" s="141"/>
    </row>
    <row r="91" spans="2:36" x14ac:dyDescent="0.2">
      <c r="B91" s="145"/>
      <c r="C91" s="144" t="str">
        <f ca="1">CONCATENATE(MAX($B$3:B91),".",ROW()-MATCH(MAX($B$3:B91),$B$3:B91,0))</f>
        <v>9.7</v>
      </c>
      <c r="D91" s="332" t="s">
        <v>132</v>
      </c>
      <c r="E91" s="333"/>
      <c r="F91" s="234">
        <v>1</v>
      </c>
      <c r="G91" s="302"/>
      <c r="H91" s="234">
        <v>1</v>
      </c>
      <c r="I91" s="113">
        <f t="shared" si="17"/>
        <v>13475000</v>
      </c>
      <c r="J91" s="143">
        <f t="shared" si="18"/>
        <v>13475000</v>
      </c>
      <c r="K91" s="142"/>
      <c r="L91" s="142"/>
      <c r="M91" s="111">
        <f t="shared" si="19"/>
        <v>1.35</v>
      </c>
      <c r="N91" s="110"/>
      <c r="O91" s="110">
        <v>1</v>
      </c>
      <c r="P91" s="110"/>
      <c r="Q91" s="108"/>
      <c r="R91" s="108"/>
      <c r="S91" s="141"/>
      <c r="T91" s="141"/>
      <c r="U91" s="141"/>
      <c r="V91" s="141"/>
      <c r="W91" s="150"/>
      <c r="X91" s="141"/>
      <c r="Y91" s="141">
        <f>[4]!ПНР</f>
        <v>5</v>
      </c>
      <c r="Z91" s="141"/>
      <c r="AA91" s="141">
        <f>[4]!Монтаж</f>
        <v>14.25</v>
      </c>
    </row>
    <row r="92" spans="2:36" ht="30" x14ac:dyDescent="0.2">
      <c r="B92" s="145"/>
      <c r="C92" s="144" t="str">
        <f ca="1">CONCATENATE(MAX($B$3:B92),".",ROW()-MATCH(MAX($B$3:B92),$B$3:B92,0))</f>
        <v>9.8</v>
      </c>
      <c r="D92" s="332" t="s">
        <v>213</v>
      </c>
      <c r="E92" s="333"/>
      <c r="F92" s="234">
        <v>1</v>
      </c>
      <c r="G92" s="302"/>
      <c r="H92" s="234">
        <v>1</v>
      </c>
      <c r="I92" s="113">
        <f>Q92+R92+SUM(S92:AA92)*чл_мес</f>
        <v>3000000</v>
      </c>
      <c r="J92" s="143">
        <f>I92*H92</f>
        <v>3000000</v>
      </c>
      <c r="K92" s="142"/>
      <c r="L92" s="142"/>
      <c r="M92" s="111">
        <f t="shared" si="19"/>
        <v>1.35</v>
      </c>
      <c r="N92" s="110"/>
      <c r="O92" s="110">
        <v>1</v>
      </c>
      <c r="P92" s="23" t="s">
        <v>65</v>
      </c>
      <c r="Q92" s="108">
        <v>3000000</v>
      </c>
      <c r="R92" s="108"/>
      <c r="S92" s="141"/>
      <c r="T92" s="141"/>
      <c r="U92" s="141"/>
      <c r="V92" s="141"/>
      <c r="W92" s="150"/>
      <c r="X92" s="141"/>
      <c r="Y92" s="141"/>
      <c r="Z92" s="141"/>
      <c r="AA92" s="141"/>
    </row>
    <row r="93" spans="2:36" ht="75" customHeight="1" x14ac:dyDescent="0.2">
      <c r="B93" s="145"/>
      <c r="C93" s="144" t="str">
        <f ca="1">CONCATENATE(MAX($B$3:B93),".",ROW()-MATCH(MAX($B$3:B93),$B$3:B93,0))</f>
        <v>9.9</v>
      </c>
      <c r="D93" s="353" t="s">
        <v>131</v>
      </c>
      <c r="E93" s="354"/>
      <c r="F93" s="234">
        <v>1</v>
      </c>
      <c r="G93" s="305"/>
      <c r="H93" s="234">
        <v>1</v>
      </c>
      <c r="I93" s="113">
        <f t="shared" si="17"/>
        <v>2800000</v>
      </c>
      <c r="J93" s="149">
        <f t="shared" si="18"/>
        <v>2800000</v>
      </c>
      <c r="K93" s="148" t="s">
        <v>130</v>
      </c>
      <c r="L93" s="142"/>
      <c r="M93" s="111">
        <f t="shared" si="19"/>
        <v>1.35</v>
      </c>
      <c r="N93" s="110"/>
      <c r="O93" s="110">
        <v>1</v>
      </c>
      <c r="P93" s="110"/>
      <c r="Q93" s="108"/>
      <c r="R93" s="108"/>
      <c r="S93" s="141"/>
      <c r="T93" s="141"/>
      <c r="U93" s="141"/>
      <c r="V93" s="141"/>
      <c r="W93" s="141"/>
      <c r="X93" s="141">
        <f>[4]!АИ</f>
        <v>4</v>
      </c>
      <c r="Y93" s="141"/>
      <c r="Z93" s="141"/>
      <c r="AA93" s="141"/>
      <c r="AB93" s="147" t="s">
        <v>129</v>
      </c>
      <c r="AC93" s="146" t="s">
        <v>128</v>
      </c>
      <c r="AD93" s="146" t="s">
        <v>127</v>
      </c>
      <c r="AE93" s="146" t="s">
        <v>126</v>
      </c>
      <c r="AF93" s="146" t="s">
        <v>125</v>
      </c>
      <c r="AG93" s="146" t="s">
        <v>124</v>
      </c>
    </row>
    <row r="94" spans="2:36" ht="30" x14ac:dyDescent="0.25">
      <c r="B94" s="145"/>
      <c r="C94" s="144" t="str">
        <f ca="1">CONCATENATE(MAX($B$3:B94),".",ROW()-MATCH(MAX($B$3:B94),$B$3:B94,0))</f>
        <v>9.10</v>
      </c>
      <c r="D94" s="363" t="s">
        <v>229</v>
      </c>
      <c r="E94" s="354"/>
      <c r="F94" s="238">
        <v>1</v>
      </c>
      <c r="G94" s="313"/>
      <c r="H94" s="238">
        <v>1</v>
      </c>
      <c r="I94" s="113">
        <f>Q94+R94+SUM(S94:AA94)*чл_мес</f>
        <v>5600000</v>
      </c>
      <c r="J94" s="143">
        <f>I94*H94</f>
        <v>5600000</v>
      </c>
      <c r="K94" s="142"/>
      <c r="L94" s="142"/>
      <c r="M94" s="111">
        <f t="shared" si="19"/>
        <v>1.35</v>
      </c>
      <c r="N94" s="110"/>
      <c r="O94" s="110">
        <v>1</v>
      </c>
      <c r="P94" s="23" t="s">
        <v>69</v>
      </c>
      <c r="Q94" s="108">
        <v>3500000</v>
      </c>
      <c r="R94" s="108"/>
      <c r="S94" s="141"/>
      <c r="T94" s="141"/>
      <c r="U94" s="141">
        <v>3</v>
      </c>
      <c r="V94" s="141"/>
      <c r="W94" s="141"/>
      <c r="X94" s="141"/>
      <c r="Y94" s="141"/>
      <c r="Z94" s="294"/>
      <c r="AA94" s="141"/>
      <c r="AB94" s="240"/>
      <c r="AC94" s="241"/>
      <c r="AD94" s="241"/>
      <c r="AE94" s="242"/>
      <c r="AF94" s="242"/>
      <c r="AG94" s="242"/>
    </row>
    <row r="95" spans="2:36" ht="30" x14ac:dyDescent="0.25">
      <c r="B95" s="145"/>
      <c r="C95" s="144" t="str">
        <f ca="1">CONCATENATE(MAX($B$3:B95),".",ROW()-MATCH(MAX($B$3:B95),$B$3:B95,0))</f>
        <v>9.11</v>
      </c>
      <c r="D95" s="363" t="s">
        <v>230</v>
      </c>
      <c r="E95" s="354"/>
      <c r="F95" s="238">
        <v>1</v>
      </c>
      <c r="G95" s="313"/>
      <c r="H95" s="238">
        <v>1</v>
      </c>
      <c r="I95" s="113">
        <f>Q95+R95+SUM(S95:AA95)*чл_мес</f>
        <v>4400000</v>
      </c>
      <c r="J95" s="143">
        <f>I95*H95</f>
        <v>4400000</v>
      </c>
      <c r="K95" s="142"/>
      <c r="L95" s="142"/>
      <c r="M95" s="111">
        <f t="shared" si="19"/>
        <v>1.35</v>
      </c>
      <c r="N95" s="110"/>
      <c r="O95" s="110">
        <v>1</v>
      </c>
      <c r="P95" s="23" t="s">
        <v>69</v>
      </c>
      <c r="Q95" s="108">
        <v>3000000</v>
      </c>
      <c r="R95" s="108"/>
      <c r="S95" s="141"/>
      <c r="T95" s="141"/>
      <c r="U95" s="141">
        <v>2</v>
      </c>
      <c r="V95" s="141"/>
      <c r="W95" s="141"/>
      <c r="X95" s="141"/>
      <c r="Y95" s="141"/>
      <c r="Z95" s="294"/>
      <c r="AA95" s="141"/>
      <c r="AB95" s="240"/>
      <c r="AC95" s="241"/>
      <c r="AD95" s="241"/>
      <c r="AE95" s="242"/>
      <c r="AF95" s="242"/>
      <c r="AG95" s="242"/>
    </row>
    <row r="96" spans="2:36" ht="30" x14ac:dyDescent="0.2">
      <c r="B96" s="145"/>
      <c r="C96" s="144" t="str">
        <f ca="1">CONCATENATE(MAX($B$3:B96),".",ROW()-MATCH(MAX($B$3:B96),$B$3:B96,0))</f>
        <v>9.12</v>
      </c>
      <c r="D96" s="353" t="s">
        <v>18</v>
      </c>
      <c r="E96" s="354"/>
      <c r="F96" s="238">
        <v>1</v>
      </c>
      <c r="G96" s="313"/>
      <c r="H96" s="238">
        <v>1</v>
      </c>
      <c r="I96" s="113">
        <f t="shared" si="17"/>
        <v>8662500</v>
      </c>
      <c r="J96" s="143">
        <f t="shared" si="18"/>
        <v>8662500</v>
      </c>
      <c r="K96" s="142"/>
      <c r="L96" s="142"/>
      <c r="M96" s="111">
        <f t="shared" si="19"/>
        <v>1.35</v>
      </c>
      <c r="N96" s="110"/>
      <c r="O96" s="110">
        <v>1</v>
      </c>
      <c r="P96" s="110" t="s">
        <v>67</v>
      </c>
      <c r="Q96" s="108">
        <f>AG96</f>
        <v>8662500</v>
      </c>
      <c r="R96" s="108"/>
      <c r="S96" s="141"/>
      <c r="T96" s="141"/>
      <c r="U96" s="141"/>
      <c r="V96" s="141"/>
      <c r="W96" s="141"/>
      <c r="X96" s="141"/>
      <c r="Y96" s="141"/>
      <c r="Z96" s="141"/>
      <c r="AA96" s="141"/>
      <c r="AB96" s="240">
        <f>(ПНР+Монтаж)*4</f>
        <v>77</v>
      </c>
      <c r="AC96" s="241">
        <v>4500</v>
      </c>
      <c r="AD96" s="241">
        <v>20000</v>
      </c>
      <c r="AE96" s="242">
        <v>700</v>
      </c>
      <c r="AF96" s="242">
        <f>AC96*2+(AD96+AE96)*5</f>
        <v>112500</v>
      </c>
      <c r="AG96" s="242">
        <f>AF96*AB96</f>
        <v>8662500</v>
      </c>
    </row>
    <row r="97" spans="2:28" s="99" customFormat="1" ht="16.5" thickBot="1" x14ac:dyDescent="0.25">
      <c r="B97" s="139"/>
      <c r="C97" s="138"/>
      <c r="D97" s="343" t="str">
        <f>CONCATENATE("Итого по разделу """,D86,"""",":")</f>
        <v>Итого по разделу "Работы":</v>
      </c>
      <c r="E97" s="343"/>
      <c r="F97" s="343"/>
      <c r="G97" s="343"/>
      <c r="H97" s="343"/>
      <c r="I97" s="344"/>
      <c r="J97" s="137">
        <f>SummTKP(J87:J96)</f>
        <v>77607500</v>
      </c>
      <c r="K97" s="136">
        <f>J97</f>
        <v>77607500</v>
      </c>
      <c r="L97" s="136">
        <f ca="1">J97*(1+Дополнительно/(Итого-Дополнительно))</f>
        <v>93905075</v>
      </c>
      <c r="M97" s="133"/>
      <c r="N97" s="132"/>
      <c r="O97" s="132"/>
      <c r="P97" s="132"/>
      <c r="Q97" s="131"/>
      <c r="R97" s="131"/>
      <c r="S97" s="130"/>
      <c r="T97" s="130"/>
      <c r="U97" s="130"/>
      <c r="V97" s="130"/>
      <c r="W97" s="130"/>
      <c r="X97" s="130"/>
      <c r="Y97" s="130"/>
      <c r="Z97" s="130"/>
    </row>
    <row r="98" spans="2:28" s="99" customFormat="1" ht="16.5" thickBot="1" x14ac:dyDescent="0.25">
      <c r="B98" s="350" t="s">
        <v>123</v>
      </c>
      <c r="C98" s="358"/>
      <c r="D98" s="358"/>
      <c r="E98" s="358"/>
      <c r="F98" s="358"/>
      <c r="G98" s="358"/>
      <c r="H98" s="358"/>
      <c r="I98" s="359"/>
      <c r="J98" s="135">
        <f ca="1">SUM(K14:K97)</f>
        <v>244715501.38100001</v>
      </c>
      <c r="K98" s="134"/>
      <c r="L98" s="134"/>
      <c r="M98" s="133"/>
      <c r="N98" s="132"/>
      <c r="O98" s="132"/>
      <c r="P98" s="132"/>
      <c r="Q98" s="131"/>
      <c r="R98" s="131"/>
      <c r="S98" s="130"/>
      <c r="T98" s="130"/>
      <c r="U98" s="130"/>
      <c r="V98" s="130"/>
      <c r="W98" s="130"/>
      <c r="X98" s="130"/>
      <c r="Y98" s="130"/>
      <c r="Z98" s="130"/>
    </row>
    <row r="99" spans="2:28" s="99" customFormat="1" x14ac:dyDescent="0.2">
      <c r="B99" s="129">
        <f ca="1">MAX(OFFSET($B$4:B99,-1,0))+1</f>
        <v>10</v>
      </c>
      <c r="C99" s="128"/>
      <c r="D99" s="127" t="s">
        <v>122</v>
      </c>
      <c r="E99" s="127"/>
      <c r="F99" s="127"/>
      <c r="G99" s="127"/>
      <c r="H99" s="127"/>
      <c r="I99" s="126"/>
      <c r="J99" s="125"/>
      <c r="K99" s="124"/>
      <c r="L99" s="124"/>
      <c r="M99" s="124"/>
      <c r="N99" s="123"/>
      <c r="O99" s="123"/>
      <c r="P99" s="122"/>
      <c r="Q99" s="119"/>
      <c r="R99" s="119"/>
      <c r="S99" s="119"/>
      <c r="T99" s="119"/>
      <c r="U99" s="121"/>
      <c r="V99" s="121"/>
      <c r="W99" s="121"/>
      <c r="X99" s="121"/>
      <c r="Y99" s="120"/>
      <c r="Z99" s="120"/>
      <c r="AA99" s="119"/>
    </row>
    <row r="100" spans="2:28" s="99" customFormat="1" ht="15.75" x14ac:dyDescent="0.2">
      <c r="B100" s="118"/>
      <c r="C100" s="117" t="str">
        <f ca="1">CONCATENATE(MAX($B$3:B100),".",ROW()-MATCH(MAX($B$3:B100),$B$3:B100,0))</f>
        <v>10.3</v>
      </c>
      <c r="D100" s="116" t="s">
        <v>49</v>
      </c>
      <c r="E100" s="115"/>
      <c r="F100" s="115"/>
      <c r="G100" s="115"/>
      <c r="H100" s="114">
        <v>1</v>
      </c>
      <c r="I100" s="113">
        <f ca="1">Итог_система*БанковскаяГарантия</f>
        <v>14682930.08286</v>
      </c>
      <c r="J100" s="112">
        <f ca="1">I100*H100</f>
        <v>14682930.08286</v>
      </c>
      <c r="K100" s="105"/>
      <c r="L100" s="105"/>
      <c r="M100" s="111"/>
      <c r="N100" s="110"/>
      <c r="O100" s="110"/>
      <c r="P100" s="109" t="s">
        <v>36</v>
      </c>
      <c r="Q100" s="108"/>
      <c r="R100" s="108"/>
      <c r="S100" s="100"/>
      <c r="T100" s="100"/>
      <c r="U100" s="100"/>
      <c r="V100" s="100"/>
      <c r="W100" s="100"/>
      <c r="X100" s="100"/>
      <c r="Y100" s="100"/>
      <c r="Z100" s="100"/>
      <c r="AA100" s="107"/>
    </row>
    <row r="101" spans="2:28" s="99" customFormat="1" ht="15.75" x14ac:dyDescent="0.2">
      <c r="B101" s="118"/>
      <c r="C101" s="117" t="str">
        <f ca="1">CONCATENATE(MAX($B$3:B101),".",ROW()-MATCH(MAX($B$3:B101),$B$3:B101,0))</f>
        <v>10.4</v>
      </c>
      <c r="D101" s="116" t="s">
        <v>35</v>
      </c>
      <c r="E101" s="115"/>
      <c r="F101" s="115"/>
      <c r="G101" s="115"/>
      <c r="H101" s="247">
        <v>1</v>
      </c>
      <c r="I101" s="113">
        <f ca="1">Итог_система*0.15</f>
        <v>36707325.207149997</v>
      </c>
      <c r="J101" s="112">
        <f ca="1">I101*H101</f>
        <v>36707325.207149997</v>
      </c>
      <c r="K101" s="105"/>
      <c r="L101" s="105"/>
      <c r="M101" s="111"/>
      <c r="N101" s="110"/>
      <c r="O101" s="110"/>
      <c r="P101" s="109" t="s">
        <v>35</v>
      </c>
      <c r="Q101" s="108"/>
      <c r="R101" s="108"/>
      <c r="S101" s="100"/>
      <c r="T101" s="100"/>
      <c r="U101" s="100"/>
      <c r="V101" s="100"/>
      <c r="W101" s="100"/>
      <c r="X101" s="100"/>
      <c r="Y101" s="100"/>
      <c r="Z101" s="100"/>
      <c r="AA101" s="107"/>
    </row>
    <row r="102" spans="2:28" s="99" customFormat="1" ht="16.5" thickBot="1" x14ac:dyDescent="0.25">
      <c r="B102" s="118"/>
      <c r="C102" s="117" t="str">
        <f ca="1">CONCATENATE(MAX($B$3:B102),".",ROW()-MATCH(MAX($B$3:B102),$B$3:B102,0))</f>
        <v>10.5</v>
      </c>
      <c r="D102" s="116" t="s">
        <v>19</v>
      </c>
      <c r="E102" s="115"/>
      <c r="F102" s="115"/>
      <c r="G102" s="115"/>
      <c r="H102" s="114">
        <v>1</v>
      </c>
      <c r="I102" s="113">
        <f ca="1">Q102</f>
        <v>0</v>
      </c>
      <c r="J102" s="112">
        <f ca="1">I102*H102</f>
        <v>0</v>
      </c>
      <c r="K102" s="105"/>
      <c r="L102" s="105"/>
      <c r="M102" s="111"/>
      <c r="N102" s="110"/>
      <c r="O102" s="110"/>
      <c r="P102" s="109" t="s">
        <v>19</v>
      </c>
      <c r="Q102" s="108">
        <f ca="1">Итог_система*0</f>
        <v>0</v>
      </c>
      <c r="R102" s="108"/>
      <c r="S102" s="100"/>
      <c r="T102" s="100"/>
      <c r="U102" s="100"/>
      <c r="V102" s="100"/>
      <c r="W102" s="100"/>
      <c r="X102" s="100"/>
      <c r="Y102" s="100"/>
      <c r="Z102" s="100"/>
      <c r="AA102" s="107"/>
    </row>
    <row r="103" spans="2:28" s="99" customFormat="1" ht="16.5" thickBot="1" x14ac:dyDescent="0.25">
      <c r="B103" s="350" t="s">
        <v>121</v>
      </c>
      <c r="C103" s="351"/>
      <c r="D103" s="351"/>
      <c r="E103" s="351"/>
      <c r="F103" s="351"/>
      <c r="G103" s="351"/>
      <c r="H103" s="351"/>
      <c r="I103" s="352"/>
      <c r="J103" s="106">
        <f ca="1">SUM(J100:J102)</f>
        <v>51390255.290009998</v>
      </c>
      <c r="K103" s="105"/>
      <c r="L103" s="105"/>
      <c r="M103" s="111"/>
      <c r="N103" s="110"/>
      <c r="O103" s="110"/>
      <c r="P103" s="109"/>
      <c r="Q103" s="108"/>
      <c r="R103" s="108"/>
      <c r="S103" s="100"/>
      <c r="T103" s="100"/>
      <c r="U103" s="100"/>
      <c r="V103" s="100"/>
      <c r="W103" s="100"/>
      <c r="X103" s="100"/>
      <c r="Y103" s="100"/>
      <c r="Z103" s="100"/>
      <c r="AA103" s="107"/>
    </row>
    <row r="104" spans="2:28" s="99" customFormat="1" ht="16.5" thickBot="1" x14ac:dyDescent="0.25">
      <c r="B104" s="350" t="s">
        <v>4</v>
      </c>
      <c r="C104" s="351"/>
      <c r="D104" s="351"/>
      <c r="E104" s="351"/>
      <c r="F104" s="351"/>
      <c r="G104" s="351"/>
      <c r="H104" s="351"/>
      <c r="I104" s="352"/>
      <c r="J104" s="106">
        <f ca="1">Итог_система+Дополнительно</f>
        <v>296105756.67101002</v>
      </c>
      <c r="K104" s="105"/>
      <c r="L104" s="105"/>
      <c r="M104" s="104"/>
      <c r="N104" s="102"/>
      <c r="O104" s="103"/>
      <c r="P104" s="102"/>
      <c r="Q104" s="101"/>
      <c r="R104" s="108"/>
      <c r="S104" s="100">
        <f>SUMIF($H$12:$H$97,"&gt;0",S12:S97)</f>
        <v>7</v>
      </c>
      <c r="T104" s="100">
        <f>SUMIF($H$12:$H$97,"&gt;0",T12:T97)</f>
        <v>21</v>
      </c>
      <c r="U104" s="295">
        <v>0</v>
      </c>
      <c r="V104" s="100">
        <f t="shared" ref="V104:AA104" si="20">SUMIF($H$12:$H$97,"&gt;0",V12:V97)</f>
        <v>15</v>
      </c>
      <c r="W104" s="100">
        <f t="shared" si="20"/>
        <v>9.5</v>
      </c>
      <c r="X104" s="100">
        <f t="shared" si="20"/>
        <v>4</v>
      </c>
      <c r="Y104" s="100">
        <f t="shared" si="20"/>
        <v>5</v>
      </c>
      <c r="Z104" s="100">
        <f t="shared" si="20"/>
        <v>4</v>
      </c>
      <c r="AA104" s="100">
        <f t="shared" si="20"/>
        <v>14.25</v>
      </c>
    </row>
    <row r="105" spans="2:28" ht="196.9" customHeight="1" x14ac:dyDescent="0.25">
      <c r="D105" s="342" t="s">
        <v>120</v>
      </c>
      <c r="E105" s="342"/>
      <c r="F105" s="342"/>
      <c r="G105" s="342"/>
      <c r="H105" s="342"/>
      <c r="I105" s="342"/>
      <c r="J105" s="342"/>
      <c r="K105" s="98"/>
      <c r="L105" s="98"/>
      <c r="M105" s="98"/>
      <c r="O105" s="98"/>
    </row>
    <row r="106" spans="2:28" ht="33.75" customHeight="1" x14ac:dyDescent="0.25">
      <c r="D106" s="341" t="s">
        <v>119</v>
      </c>
      <c r="E106" s="341"/>
      <c r="F106" s="341"/>
      <c r="G106" s="341"/>
      <c r="H106" s="341"/>
      <c r="I106" s="341"/>
      <c r="J106" s="341"/>
      <c r="AB106" s="95"/>
    </row>
    <row r="107" spans="2:28" ht="39.75" customHeight="1" x14ac:dyDescent="0.25">
      <c r="D107" s="340" t="s">
        <v>118</v>
      </c>
      <c r="E107" s="340"/>
      <c r="F107" s="340"/>
      <c r="G107" s="340"/>
      <c r="H107" s="340"/>
      <c r="I107" s="340"/>
      <c r="J107" s="340"/>
      <c r="AB107" s="95"/>
    </row>
    <row r="108" spans="2:28" x14ac:dyDescent="0.25">
      <c r="AB108" s="95"/>
    </row>
    <row r="109" spans="2:28" x14ac:dyDescent="0.25">
      <c r="AB109" s="95"/>
    </row>
    <row r="110" spans="2:28" x14ac:dyDescent="0.25">
      <c r="AB110" s="95"/>
    </row>
    <row r="111" spans="2:28" x14ac:dyDescent="0.25">
      <c r="AB111" s="95"/>
    </row>
    <row r="112" spans="2:28" x14ac:dyDescent="0.25">
      <c r="AB112" s="95"/>
    </row>
    <row r="113" spans="28:28" x14ac:dyDescent="0.25">
      <c r="AB113" s="95"/>
    </row>
    <row r="130" spans="4:7" x14ac:dyDescent="0.25">
      <c r="D130" s="97"/>
      <c r="E130" s="97"/>
      <c r="F130" s="97"/>
      <c r="G130" s="97"/>
    </row>
  </sheetData>
  <sheetProtection formatCells="0" formatColumns="0" formatRows="0" insertColumns="0" insertRows="0"/>
  <protectedRanges>
    <protectedRange sqref="B105:D105 B27:J28 D54:E54 E53 B97:J97 B98:C98 E98:J98 B99:J102 E103:J105 B103:C104 B30:B31 D31:J31 I30:J30 D30:E30 B51:C54 I42 D51:J51 I33:I40 B93:C96 H93:J96 I44:I48 D12:J13 G30 F52:J62 D52:E52 B55:E62 B63:J92 F93:F96 I14:J26 B12:C26" name="Диапазон1"/>
    <protectedRange sqref="D93:E93 G93" name="Диапазон1_4"/>
    <protectedRange sqref="D94:E96 G94:G96" name="Диапазон1_5"/>
    <protectedRange sqref="B32:J32 B50:J50 B29:J29 C30:C31 B41:J41 B43:J43 C49 B42:H42 J42 J33:J40 J44:J48 B33:H40 B44:H48" name="Диапазон1_7"/>
    <protectedRange sqref="F14:F26 H14:H26" name="Диапазон1_2"/>
    <protectedRange sqref="D14:D17" name="Диапазон1_6"/>
    <protectedRange sqref="D18:D26" name="Диапазон1_8"/>
    <protectedRange sqref="G14:G26 E14:E26" name="Диапазон1_9"/>
  </protectedRanges>
  <dataConsolidate/>
  <mergeCells count="45">
    <mergeCell ref="Z11:Z12"/>
    <mergeCell ref="AA11:AA12"/>
    <mergeCell ref="U11:U12"/>
    <mergeCell ref="V11:V12"/>
    <mergeCell ref="W11:W12"/>
    <mergeCell ref="X11:X12"/>
    <mergeCell ref="Y11:Y12"/>
    <mergeCell ref="AH77:AH78"/>
    <mergeCell ref="B98:I98"/>
    <mergeCell ref="B103:I103"/>
    <mergeCell ref="AB77:AB78"/>
    <mergeCell ref="AC77:AC78"/>
    <mergeCell ref="D96:E96"/>
    <mergeCell ref="D91:E91"/>
    <mergeCell ref="D89:E89"/>
    <mergeCell ref="D88:E88"/>
    <mergeCell ref="AD77:AD78"/>
    <mergeCell ref="AE77:AE78"/>
    <mergeCell ref="AF77:AF78"/>
    <mergeCell ref="AG77:AG78"/>
    <mergeCell ref="D94:E94"/>
    <mergeCell ref="D95:E95"/>
    <mergeCell ref="T11:T12"/>
    <mergeCell ref="D107:J107"/>
    <mergeCell ref="D106:J106"/>
    <mergeCell ref="D105:J105"/>
    <mergeCell ref="D97:I97"/>
    <mergeCell ref="D85:I85"/>
    <mergeCell ref="D11:H11"/>
    <mergeCell ref="D87:E87"/>
    <mergeCell ref="D27:I27"/>
    <mergeCell ref="B104:I104"/>
    <mergeCell ref="D93:E93"/>
    <mergeCell ref="B12:C12"/>
    <mergeCell ref="D77:I77"/>
    <mergeCell ref="D32:E32"/>
    <mergeCell ref="D50:I50"/>
    <mergeCell ref="S11:S12"/>
    <mergeCell ref="D29:E29"/>
    <mergeCell ref="D43:E43"/>
    <mergeCell ref="D41:I41"/>
    <mergeCell ref="D92:E92"/>
    <mergeCell ref="D90:E90"/>
    <mergeCell ref="D63:I63"/>
    <mergeCell ref="D69:I69"/>
  </mergeCells>
  <phoneticPr fontId="45" type="noConversion"/>
  <conditionalFormatting sqref="K5:L9">
    <cfRule type="cellIs" dxfId="1" priority="104" operator="equal">
      <formula>0</formula>
    </cfRule>
    <cfRule type="cellIs" dxfId="0" priority="105" operator="greaterThan">
      <formula>0</formula>
    </cfRule>
  </conditionalFormatting>
  <conditionalFormatting sqref="O96 O88 N87:O87 O91">
    <cfRule type="iconSet" priority="103">
      <iconSet iconSet="3Symbols2" showValue="0">
        <cfvo type="percent" val="0"/>
        <cfvo type="num" val="0" gte="0"/>
        <cfvo type="num" val="1"/>
      </iconSet>
    </cfRule>
  </conditionalFormatting>
  <conditionalFormatting sqref="N96">
    <cfRule type="iconSet" priority="102">
      <iconSet iconSet="3Symbols2" showValue="0">
        <cfvo type="percent" val="0"/>
        <cfvo type="num" val="0" gte="0"/>
        <cfvo type="num" val="1"/>
      </iconSet>
    </cfRule>
  </conditionalFormatting>
  <conditionalFormatting sqref="N93">
    <cfRule type="iconSet" priority="101">
      <iconSet iconSet="3Symbols2" showValue="0">
        <cfvo type="percent" val="0"/>
        <cfvo type="num" val="0" gte="0"/>
        <cfvo type="num" val="1"/>
      </iconSet>
    </cfRule>
  </conditionalFormatting>
  <conditionalFormatting sqref="N85:O85">
    <cfRule type="iconSet" priority="107">
      <iconSet iconSet="3Symbols2" showValue="0">
        <cfvo type="percent" val="0"/>
        <cfvo type="num" val="0" gte="0"/>
        <cfvo type="num" val="1"/>
      </iconSet>
    </cfRule>
  </conditionalFormatting>
  <conditionalFormatting sqref="N91">
    <cfRule type="iconSet" priority="100">
      <iconSet iconSet="3Symbols2" showValue="0">
        <cfvo type="percent" val="0"/>
        <cfvo type="num" val="0" gte="0"/>
        <cfvo type="num" val="1"/>
      </iconSet>
    </cfRule>
  </conditionalFormatting>
  <conditionalFormatting sqref="N89">
    <cfRule type="iconSet" priority="99">
      <iconSet iconSet="3Symbols2" showValue="0">
        <cfvo type="percent" val="0"/>
        <cfvo type="num" val="0" gte="0"/>
        <cfvo type="num" val="1"/>
      </iconSet>
    </cfRule>
  </conditionalFormatting>
  <conditionalFormatting sqref="N88">
    <cfRule type="iconSet" priority="98">
      <iconSet iconSet="3Symbols2" showValue="0">
        <cfvo type="percent" val="0"/>
        <cfvo type="num" val="0" gte="0"/>
        <cfvo type="num" val="1"/>
      </iconSet>
    </cfRule>
  </conditionalFormatting>
  <conditionalFormatting sqref="N77:O77 N52:O52 N54 N76">
    <cfRule type="iconSet" priority="108">
      <iconSet iconSet="3Symbols2" showValue="0">
        <cfvo type="percent" val="0"/>
        <cfvo type="num" val="0" gte="0"/>
        <cfvo type="num" val="1"/>
      </iconSet>
    </cfRule>
  </conditionalFormatting>
  <conditionalFormatting sqref="O93 O89">
    <cfRule type="iconSet" priority="94">
      <iconSet iconSet="3Symbols2" showValue="0">
        <cfvo type="percent" val="0"/>
        <cfvo type="num" val="0" gte="0"/>
        <cfvo type="num" val="1"/>
      </iconSet>
    </cfRule>
  </conditionalFormatting>
  <conditionalFormatting sqref="N53:O53">
    <cfRule type="iconSet" priority="91">
      <iconSet iconSet="3Symbols2" showValue="0">
        <cfvo type="percent" val="0"/>
        <cfvo type="num" val="0" gte="0"/>
        <cfvo type="num" val="1"/>
      </iconSet>
    </cfRule>
  </conditionalFormatting>
  <conditionalFormatting sqref="N50:O50">
    <cfRule type="iconSet" priority="109">
      <iconSet iconSet="3Symbols2" showValue="0">
        <cfvo type="percent" val="0"/>
        <cfvo type="num" val="0" gte="0"/>
        <cfvo type="num" val="1"/>
      </iconSet>
    </cfRule>
  </conditionalFormatting>
  <conditionalFormatting sqref="N84:O84">
    <cfRule type="iconSet" priority="110">
      <iconSet iconSet="3Symbols2" showValue="0">
        <cfvo type="percent" val="0"/>
        <cfvo type="num" val="0" gte="0"/>
        <cfvo type="num" val="1"/>
      </iconSet>
    </cfRule>
  </conditionalFormatting>
  <conditionalFormatting sqref="N97:O98 N100:O103">
    <cfRule type="iconSet" priority="112">
      <iconSet iconSet="3Symbols2" showValue="0">
        <cfvo type="percent" val="0"/>
        <cfvo type="num" val="0" gte="0"/>
        <cfvo type="num" val="1"/>
      </iconSet>
    </cfRule>
  </conditionalFormatting>
  <conditionalFormatting sqref="P97:P98">
    <cfRule type="iconSet" priority="90">
      <iconSet iconSet="3Symbols2" showValue="0">
        <cfvo type="percent" val="0"/>
        <cfvo type="num" val="0" gte="0"/>
        <cfvo type="num" val="1"/>
      </iconSet>
    </cfRule>
  </conditionalFormatting>
  <conditionalFormatting sqref="O79">
    <cfRule type="iconSet" priority="85">
      <iconSet iconSet="3Symbols2" showValue="0">
        <cfvo type="percent" val="0"/>
        <cfvo type="num" val="0" gte="0"/>
        <cfvo type="num" val="1"/>
      </iconSet>
    </cfRule>
  </conditionalFormatting>
  <conditionalFormatting sqref="N79">
    <cfRule type="iconSet" priority="133">
      <iconSet iconSet="3Symbols2" showValue="0">
        <cfvo type="percent" val="0"/>
        <cfvo type="num" val="0" gte="0"/>
        <cfvo type="num" val="1"/>
      </iconSet>
    </cfRule>
  </conditionalFormatting>
  <conditionalFormatting sqref="N30:O30">
    <cfRule type="iconSet" priority="71">
      <iconSet iconSet="3Symbols2" showValue="0">
        <cfvo type="percent" val="0"/>
        <cfvo type="num" val="0" gte="0"/>
        <cfvo type="num" val="1"/>
      </iconSet>
    </cfRule>
  </conditionalFormatting>
  <conditionalFormatting sqref="N27:O29 N31:O31">
    <cfRule type="iconSet" priority="138">
      <iconSet iconSet="3Symbols2" showValue="0">
        <cfvo type="percent" val="0"/>
        <cfvo type="num" val="0" gte="0"/>
        <cfvo type="num" val="1"/>
      </iconSet>
    </cfRule>
  </conditionalFormatting>
  <conditionalFormatting sqref="N36:O36">
    <cfRule type="iconSet" priority="70">
      <iconSet iconSet="3Symbols2" showValue="0">
        <cfvo type="percent" val="0"/>
        <cfvo type="num" val="0" gte="0"/>
        <cfvo type="num" val="1"/>
      </iconSet>
    </cfRule>
  </conditionalFormatting>
  <conditionalFormatting sqref="N37:O37">
    <cfRule type="iconSet" priority="69">
      <iconSet iconSet="3Symbols2" showValue="0">
        <cfvo type="percent" val="0"/>
        <cfvo type="num" val="0" gte="0"/>
        <cfvo type="num" val="1"/>
      </iconSet>
    </cfRule>
  </conditionalFormatting>
  <conditionalFormatting sqref="N39:O39">
    <cfRule type="iconSet" priority="68">
      <iconSet iconSet="3Symbols2" showValue="0">
        <cfvo type="percent" val="0"/>
        <cfvo type="num" val="0" gte="0"/>
        <cfvo type="num" val="1"/>
      </iconSet>
    </cfRule>
  </conditionalFormatting>
  <conditionalFormatting sqref="O56">
    <cfRule type="iconSet" priority="66">
      <iconSet iconSet="3Symbols2" showValue="0">
        <cfvo type="percent" val="0"/>
        <cfvo type="num" val="0" gte="0"/>
        <cfvo type="num" val="1"/>
      </iconSet>
    </cfRule>
  </conditionalFormatting>
  <conditionalFormatting sqref="N56">
    <cfRule type="iconSet" priority="65">
      <iconSet iconSet="3Symbols2" showValue="0">
        <cfvo type="percent" val="0"/>
        <cfvo type="num" val="0" gte="0"/>
        <cfvo type="num" val="1"/>
      </iconSet>
    </cfRule>
  </conditionalFormatting>
  <conditionalFormatting sqref="O57">
    <cfRule type="iconSet" priority="64">
      <iconSet iconSet="3Symbols2" showValue="0">
        <cfvo type="percent" val="0"/>
        <cfvo type="num" val="0" gte="0"/>
        <cfvo type="num" val="1"/>
      </iconSet>
    </cfRule>
  </conditionalFormatting>
  <conditionalFormatting sqref="N57">
    <cfRule type="iconSet" priority="63">
      <iconSet iconSet="3Symbols2" showValue="0">
        <cfvo type="percent" val="0"/>
        <cfvo type="num" val="0" gte="0"/>
        <cfvo type="num" val="1"/>
      </iconSet>
    </cfRule>
  </conditionalFormatting>
  <conditionalFormatting sqref="O58">
    <cfRule type="iconSet" priority="62">
      <iconSet iconSet="3Symbols2" showValue="0">
        <cfvo type="percent" val="0"/>
        <cfvo type="num" val="0" gte="0"/>
        <cfvo type="num" val="1"/>
      </iconSet>
    </cfRule>
  </conditionalFormatting>
  <conditionalFormatting sqref="N58">
    <cfRule type="iconSet" priority="61">
      <iconSet iconSet="3Symbols2" showValue="0">
        <cfvo type="percent" val="0"/>
        <cfvo type="num" val="0" gte="0"/>
        <cfvo type="num" val="1"/>
      </iconSet>
    </cfRule>
  </conditionalFormatting>
  <conditionalFormatting sqref="O59">
    <cfRule type="iconSet" priority="60">
      <iconSet iconSet="3Symbols2" showValue="0">
        <cfvo type="percent" val="0"/>
        <cfvo type="num" val="0" gte="0"/>
        <cfvo type="num" val="1"/>
      </iconSet>
    </cfRule>
  </conditionalFormatting>
  <conditionalFormatting sqref="N59">
    <cfRule type="iconSet" priority="59">
      <iconSet iconSet="3Symbols2" showValue="0">
        <cfvo type="percent" val="0"/>
        <cfvo type="num" val="0" gte="0"/>
        <cfvo type="num" val="1"/>
      </iconSet>
    </cfRule>
  </conditionalFormatting>
  <conditionalFormatting sqref="N38:O38">
    <cfRule type="iconSet" priority="58">
      <iconSet iconSet="3Symbols2" showValue="0">
        <cfvo type="percent" val="0"/>
        <cfvo type="num" val="0" gte="0"/>
        <cfvo type="num" val="1"/>
      </iconSet>
    </cfRule>
  </conditionalFormatting>
  <conditionalFormatting sqref="N35:O35">
    <cfRule type="iconSet" priority="57">
      <iconSet iconSet="3Symbols2" showValue="0">
        <cfvo type="percent" val="0"/>
        <cfvo type="num" val="0" gte="0"/>
        <cfvo type="num" val="1"/>
      </iconSet>
    </cfRule>
  </conditionalFormatting>
  <conditionalFormatting sqref="N43:O45">
    <cfRule type="iconSet" priority="56">
      <iconSet iconSet="3Symbols2" showValue="0">
        <cfvo type="percent" val="0"/>
        <cfvo type="num" val="0" gte="0"/>
        <cfvo type="num" val="1"/>
      </iconSet>
    </cfRule>
  </conditionalFormatting>
  <conditionalFormatting sqref="N48:O48">
    <cfRule type="iconSet" priority="55">
      <iconSet iconSet="3Symbols2" showValue="0">
        <cfvo type="percent" val="0"/>
        <cfvo type="num" val="0" gte="0"/>
        <cfvo type="num" val="1"/>
      </iconSet>
    </cfRule>
  </conditionalFormatting>
  <conditionalFormatting sqref="N32:O34 N41:O42">
    <cfRule type="iconSet" priority="146">
      <iconSet iconSet="3Symbols2" showValue="0">
        <cfvo type="percent" val="0"/>
        <cfvo type="num" val="0" gte="0"/>
        <cfvo type="num" val="1"/>
      </iconSet>
    </cfRule>
  </conditionalFormatting>
  <conditionalFormatting sqref="N40:O40">
    <cfRule type="iconSet" priority="54">
      <iconSet iconSet="3Symbols2" showValue="0">
        <cfvo type="percent" val="0"/>
        <cfvo type="num" val="0" gte="0"/>
        <cfvo type="num" val="1"/>
      </iconSet>
    </cfRule>
  </conditionalFormatting>
  <conditionalFormatting sqref="O81">
    <cfRule type="iconSet" priority="51">
      <iconSet iconSet="3Symbols2" showValue="0">
        <cfvo type="percent" val="0"/>
        <cfvo type="num" val="0" gte="0"/>
        <cfvo type="num" val="1"/>
      </iconSet>
    </cfRule>
  </conditionalFormatting>
  <conditionalFormatting sqref="N81">
    <cfRule type="iconSet" priority="50">
      <iconSet iconSet="3Symbols2" showValue="0">
        <cfvo type="percent" val="0"/>
        <cfvo type="num" val="0" gte="0"/>
        <cfvo type="num" val="1"/>
      </iconSet>
    </cfRule>
  </conditionalFormatting>
  <conditionalFormatting sqref="O82">
    <cfRule type="iconSet" priority="49">
      <iconSet iconSet="3Symbols2" showValue="0">
        <cfvo type="percent" val="0"/>
        <cfvo type="num" val="0" gte="0"/>
        <cfvo type="num" val="1"/>
      </iconSet>
    </cfRule>
  </conditionalFormatting>
  <conditionalFormatting sqref="N82">
    <cfRule type="iconSet" priority="48">
      <iconSet iconSet="3Symbols2" showValue="0">
        <cfvo type="percent" val="0"/>
        <cfvo type="num" val="0" gte="0"/>
        <cfvo type="num" val="1"/>
      </iconSet>
    </cfRule>
  </conditionalFormatting>
  <conditionalFormatting sqref="O80">
    <cfRule type="iconSet" priority="152">
      <iconSet iconSet="3Symbols2" showValue="0">
        <cfvo type="percent" val="0"/>
        <cfvo type="num" val="0" gte="0"/>
        <cfvo type="num" val="1"/>
      </iconSet>
    </cfRule>
  </conditionalFormatting>
  <conditionalFormatting sqref="N80">
    <cfRule type="iconSet" priority="153">
      <iconSet iconSet="3Symbols2" showValue="0">
        <cfvo type="percent" val="0"/>
        <cfvo type="num" val="0" gte="0"/>
        <cfvo type="num" val="1"/>
      </iconSet>
    </cfRule>
  </conditionalFormatting>
  <conditionalFormatting sqref="O83">
    <cfRule type="iconSet" priority="47">
      <iconSet iconSet="3Symbols2" showValue="0">
        <cfvo type="percent" val="0"/>
        <cfvo type="num" val="0" gte="0"/>
        <cfvo type="num" val="1"/>
      </iconSet>
    </cfRule>
  </conditionalFormatting>
  <conditionalFormatting sqref="N83">
    <cfRule type="iconSet" priority="46">
      <iconSet iconSet="3Symbols2" showValue="0">
        <cfvo type="percent" val="0"/>
        <cfvo type="num" val="0" gte="0"/>
        <cfvo type="num" val="1"/>
      </iconSet>
    </cfRule>
  </conditionalFormatting>
  <conditionalFormatting sqref="O76 O54">
    <cfRule type="iconSet" priority="162">
      <iconSet iconSet="3Symbols2" showValue="0">
        <cfvo type="percent" val="0"/>
        <cfvo type="num" val="0" gte="0"/>
        <cfvo type="num" val="1"/>
      </iconSet>
    </cfRule>
  </conditionalFormatting>
  <conditionalFormatting sqref="O92">
    <cfRule type="iconSet" priority="168">
      <iconSet iconSet="3Symbols2" showValue="0">
        <cfvo type="percent" val="0"/>
        <cfvo type="num" val="0" gte="0"/>
        <cfvo type="num" val="1"/>
      </iconSet>
    </cfRule>
  </conditionalFormatting>
  <conditionalFormatting sqref="N92">
    <cfRule type="iconSet" priority="169">
      <iconSet iconSet="3Symbols2" showValue="0">
        <cfvo type="percent" val="0"/>
        <cfvo type="num" val="0" gte="0"/>
        <cfvo type="num" val="1"/>
      </iconSet>
    </cfRule>
  </conditionalFormatting>
  <conditionalFormatting sqref="N90">
    <cfRule type="iconSet" priority="39">
      <iconSet iconSet="3Symbols2" showValue="0">
        <cfvo type="percent" val="0"/>
        <cfvo type="num" val="0" gte="0"/>
        <cfvo type="num" val="1"/>
      </iconSet>
    </cfRule>
  </conditionalFormatting>
  <conditionalFormatting sqref="O90">
    <cfRule type="iconSet" priority="38">
      <iconSet iconSet="3Symbols2" showValue="0">
        <cfvo type="percent" val="0"/>
        <cfvo type="num" val="0" gte="0"/>
        <cfvo type="num" val="1"/>
      </iconSet>
    </cfRule>
  </conditionalFormatting>
  <conditionalFormatting sqref="N55">
    <cfRule type="iconSet" priority="36">
      <iconSet iconSet="3Symbols2" showValue="0">
        <cfvo type="percent" val="0"/>
        <cfvo type="num" val="0" gte="0"/>
        <cfvo type="num" val="1"/>
      </iconSet>
    </cfRule>
  </conditionalFormatting>
  <conditionalFormatting sqref="O55">
    <cfRule type="iconSet" priority="37">
      <iconSet iconSet="3Symbols2" showValue="0">
        <cfvo type="percent" val="0"/>
        <cfvo type="num" val="0" gte="0"/>
        <cfvo type="num" val="1"/>
      </iconSet>
    </cfRule>
  </conditionalFormatting>
  <conditionalFormatting sqref="N46:O46">
    <cfRule type="iconSet" priority="35">
      <iconSet iconSet="3Symbols2" showValue="0">
        <cfvo type="percent" val="0"/>
        <cfvo type="num" val="0" gte="0"/>
        <cfvo type="num" val="1"/>
      </iconSet>
    </cfRule>
  </conditionalFormatting>
  <conditionalFormatting sqref="N19:O19 N22:O22 N24:O24 N26:O26">
    <cfRule type="iconSet" priority="34">
      <iconSet iconSet="3Symbols2" showValue="0">
        <cfvo type="percent" val="0"/>
        <cfvo type="num" val="0" gte="0"/>
        <cfvo type="num" val="1"/>
      </iconSet>
    </cfRule>
  </conditionalFormatting>
  <conditionalFormatting sqref="O72">
    <cfRule type="iconSet" priority="33">
      <iconSet iconSet="3Symbols2" showValue="0">
        <cfvo type="percent" val="0"/>
        <cfvo type="num" val="0" gte="0"/>
        <cfvo type="num" val="1"/>
      </iconSet>
    </cfRule>
  </conditionalFormatting>
  <conditionalFormatting sqref="N72">
    <cfRule type="iconSet" priority="32">
      <iconSet iconSet="3Symbols2" showValue="0">
        <cfvo type="percent" val="0"/>
        <cfvo type="num" val="0" gte="0"/>
        <cfvo type="num" val="1"/>
      </iconSet>
    </cfRule>
  </conditionalFormatting>
  <conditionalFormatting sqref="O73">
    <cfRule type="iconSet" priority="31">
      <iconSet iconSet="3Symbols2" showValue="0">
        <cfvo type="percent" val="0"/>
        <cfvo type="num" val="0" gte="0"/>
        <cfvo type="num" val="1"/>
      </iconSet>
    </cfRule>
  </conditionalFormatting>
  <conditionalFormatting sqref="N73">
    <cfRule type="iconSet" priority="30">
      <iconSet iconSet="3Symbols2" showValue="0">
        <cfvo type="percent" val="0"/>
        <cfvo type="num" val="0" gte="0"/>
        <cfvo type="num" val="1"/>
      </iconSet>
    </cfRule>
  </conditionalFormatting>
  <conditionalFormatting sqref="O74">
    <cfRule type="iconSet" priority="29">
      <iconSet iconSet="3Symbols2" showValue="0">
        <cfvo type="percent" val="0"/>
        <cfvo type="num" val="0" gte="0"/>
        <cfvo type="num" val="1"/>
      </iconSet>
    </cfRule>
  </conditionalFormatting>
  <conditionalFormatting sqref="N74">
    <cfRule type="iconSet" priority="28">
      <iconSet iconSet="3Symbols2" showValue="0">
        <cfvo type="percent" val="0"/>
        <cfvo type="num" val="0" gte="0"/>
        <cfvo type="num" val="1"/>
      </iconSet>
    </cfRule>
  </conditionalFormatting>
  <conditionalFormatting sqref="O75">
    <cfRule type="iconSet" priority="27">
      <iconSet iconSet="3Symbols2" showValue="0">
        <cfvo type="percent" val="0"/>
        <cfvo type="num" val="0" gte="0"/>
        <cfvo type="num" val="1"/>
      </iconSet>
    </cfRule>
  </conditionalFormatting>
  <conditionalFormatting sqref="N75">
    <cfRule type="iconSet" priority="26">
      <iconSet iconSet="3Symbols2" showValue="0">
        <cfvo type="percent" val="0"/>
        <cfvo type="num" val="0" gte="0"/>
        <cfvo type="num" val="1"/>
      </iconSet>
    </cfRule>
  </conditionalFormatting>
  <conditionalFormatting sqref="O71 O60 O63">
    <cfRule type="iconSet" priority="178">
      <iconSet iconSet="3Symbols2" showValue="0">
        <cfvo type="percent" val="0"/>
        <cfvo type="num" val="0" gte="0"/>
        <cfvo type="num" val="1"/>
      </iconSet>
    </cfRule>
  </conditionalFormatting>
  <conditionalFormatting sqref="N71 N60 N63">
    <cfRule type="iconSet" priority="179">
      <iconSet iconSet="3Symbols2" showValue="0">
        <cfvo type="percent" val="0"/>
        <cfvo type="num" val="0" gte="0"/>
        <cfvo type="num" val="1"/>
      </iconSet>
    </cfRule>
  </conditionalFormatting>
  <conditionalFormatting sqref="O94">
    <cfRule type="iconSet" priority="25">
      <iconSet iconSet="3Symbols2" showValue="0">
        <cfvo type="percent" val="0"/>
        <cfvo type="num" val="0" gte="0"/>
        <cfvo type="num" val="1"/>
      </iconSet>
    </cfRule>
  </conditionalFormatting>
  <conditionalFormatting sqref="N94">
    <cfRule type="iconSet" priority="24">
      <iconSet iconSet="3Symbols2" showValue="0">
        <cfvo type="percent" val="0"/>
        <cfvo type="num" val="0" gte="0"/>
        <cfvo type="num" val="1"/>
      </iconSet>
    </cfRule>
  </conditionalFormatting>
  <conditionalFormatting sqref="O95">
    <cfRule type="iconSet" priority="23">
      <iconSet iconSet="3Symbols2" showValue="0">
        <cfvo type="percent" val="0"/>
        <cfvo type="num" val="0" gte="0"/>
        <cfvo type="num" val="1"/>
      </iconSet>
    </cfRule>
  </conditionalFormatting>
  <conditionalFormatting sqref="N95">
    <cfRule type="iconSet" priority="22">
      <iconSet iconSet="3Symbols2" showValue="0">
        <cfvo type="percent" val="0"/>
        <cfvo type="num" val="0" gte="0"/>
        <cfvo type="num" val="1"/>
      </iconSet>
    </cfRule>
  </conditionalFormatting>
  <conditionalFormatting sqref="N69:O70">
    <cfRule type="iconSet" priority="18">
      <iconSet iconSet="3Symbols2" showValue="0">
        <cfvo type="percent" val="0"/>
        <cfvo type="num" val="0" gte="0"/>
        <cfvo type="num" val="1"/>
      </iconSet>
    </cfRule>
  </conditionalFormatting>
  <conditionalFormatting sqref="O65">
    <cfRule type="iconSet" priority="17">
      <iconSet iconSet="3Symbols2" showValue="0">
        <cfvo type="percent" val="0"/>
        <cfvo type="num" val="0" gte="0"/>
        <cfvo type="num" val="1"/>
      </iconSet>
    </cfRule>
  </conditionalFormatting>
  <conditionalFormatting sqref="N65">
    <cfRule type="iconSet" priority="16">
      <iconSet iconSet="3Symbols2" showValue="0">
        <cfvo type="percent" val="0"/>
        <cfvo type="num" val="0" gte="0"/>
        <cfvo type="num" val="1"/>
      </iconSet>
    </cfRule>
  </conditionalFormatting>
  <conditionalFormatting sqref="O66">
    <cfRule type="iconSet" priority="15">
      <iconSet iconSet="3Symbols2" showValue="0">
        <cfvo type="percent" val="0"/>
        <cfvo type="num" val="0" gte="0"/>
        <cfvo type="num" val="1"/>
      </iconSet>
    </cfRule>
  </conditionalFormatting>
  <conditionalFormatting sqref="N66">
    <cfRule type="iconSet" priority="14">
      <iconSet iconSet="3Symbols2" showValue="0">
        <cfvo type="percent" val="0"/>
        <cfvo type="num" val="0" gte="0"/>
        <cfvo type="num" val="1"/>
      </iconSet>
    </cfRule>
  </conditionalFormatting>
  <conditionalFormatting sqref="O67">
    <cfRule type="iconSet" priority="13">
      <iconSet iconSet="3Symbols2" showValue="0">
        <cfvo type="percent" val="0"/>
        <cfvo type="num" val="0" gte="0"/>
        <cfvo type="num" val="1"/>
      </iconSet>
    </cfRule>
  </conditionalFormatting>
  <conditionalFormatting sqref="N67">
    <cfRule type="iconSet" priority="12">
      <iconSet iconSet="3Symbols2" showValue="0">
        <cfvo type="percent" val="0"/>
        <cfvo type="num" val="0" gte="0"/>
        <cfvo type="num" val="1"/>
      </iconSet>
    </cfRule>
  </conditionalFormatting>
  <conditionalFormatting sqref="O68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N68">
    <cfRule type="iconSet" priority="10">
      <iconSet iconSet="3Symbols2" showValue="0">
        <cfvo type="percent" val="0"/>
        <cfvo type="num" val="0" gte="0"/>
        <cfvo type="num" val="1"/>
      </iconSet>
    </cfRule>
  </conditionalFormatting>
  <conditionalFormatting sqref="O64">
    <cfRule type="iconSet" priority="20">
      <iconSet iconSet="3Symbols2" showValue="0">
        <cfvo type="percent" val="0"/>
        <cfvo type="num" val="0" gte="0"/>
        <cfvo type="num" val="1"/>
      </iconSet>
    </cfRule>
  </conditionalFormatting>
  <conditionalFormatting sqref="N64">
    <cfRule type="iconSet" priority="21">
      <iconSet iconSet="3Symbols2" showValue="0">
        <cfvo type="percent" val="0"/>
        <cfvo type="num" val="0" gte="0"/>
        <cfvo type="num" val="1"/>
      </iconSet>
    </cfRule>
  </conditionalFormatting>
  <conditionalFormatting sqref="O61">
    <cfRule type="iconSet" priority="8">
      <iconSet iconSet="3Symbols2" showValue="0">
        <cfvo type="percent" val="0"/>
        <cfvo type="num" val="0" gte="0"/>
        <cfvo type="num" val="1"/>
      </iconSet>
    </cfRule>
  </conditionalFormatting>
  <conditionalFormatting sqref="N61">
    <cfRule type="iconSet" priority="9">
      <iconSet iconSet="3Symbols2" showValue="0">
        <cfvo type="percent" val="0"/>
        <cfvo type="num" val="0" gte="0"/>
        <cfvo type="num" val="1"/>
      </iconSet>
    </cfRule>
  </conditionalFormatting>
  <conditionalFormatting sqref="O62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N62">
    <cfRule type="iconSet" priority="7">
      <iconSet iconSet="3Symbols2" showValue="0">
        <cfvo type="percent" val="0"/>
        <cfvo type="num" val="0" gte="0"/>
        <cfvo type="num" val="1"/>
      </iconSet>
    </cfRule>
  </conditionalFormatting>
  <conditionalFormatting sqref="N47:O4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N14:O18 N20:O21 N23:O23 N25:O25">
    <cfRule type="iconSet" priority="188">
      <iconSet iconSet="3Symbols2" showValue="0">
        <cfvo type="percent" val="0"/>
        <cfvo type="num" val="0" gte="0"/>
        <cfvo type="num" val="1"/>
      </iconSet>
    </cfRule>
  </conditionalFormatting>
  <dataValidations count="1">
    <dataValidation type="whole" allowBlank="1" showDropDown="1" showInputMessage="1" showErrorMessage="1" sqref="P97:P98 N50:O103 N13:O48" xr:uid="{00000000-0002-0000-0100-000000000000}">
      <formula1>0</formula1>
      <formula2>1</formula2>
    </dataValidation>
  </dataValidations>
  <hyperlinks>
    <hyperlink ref="Q52" r:id="rId1" display="https://visom.ru/catalog/amplifiers/vs-319" xr:uid="{00000000-0004-0000-0100-000002000000}"/>
    <hyperlink ref="H3" r:id="rId2" xr:uid="{00000000-0004-0000-0100-000003000000}"/>
    <hyperlink ref="D30" r:id="rId3" xr:uid="{00000000-0004-0000-0100-000004000000}"/>
    <hyperlink ref="A56" r:id="rId4" display="\\fserv\e\MERA\TKP\TKP2022\tkp2022_230_СКБМ_КурганМашЗавод_стенд испытаний ГМТ_Ежова_РСС\" xr:uid="{00000000-0004-0000-0100-000005000000}"/>
    <hyperlink ref="R86" r:id="rId5" display="&quot;\\Fserv\e\MERA\TKP\TKP2025\tkp2025_325_КАМАЗ_Стенд_испытания_четырехосный_Мелихов\Схема соединений\v01_325_25_Камаз_Работы.xlsx&quot; " xr:uid="{00000000-0004-0000-0100-000006000000}"/>
    <hyperlink ref="I3" r:id="rId6" xr:uid="{00000000-0004-0000-0100-000007000000}"/>
    <hyperlink ref="I2" r:id="rId7" display="&quot;\\Fserv\e\MERA\TKP\TKP2025\tkp2025_325_КАМАЗ_Стенд_испытания_четырехосный_Мелихов\Схема соединений\список ИК\Список ИК_325_25_v01.xlsm&quot; " xr:uid="{00000000-0004-0000-0100-00000C000000}"/>
    <hyperlink ref="C4" r:id="rId8" xr:uid="{EF17E57F-E512-4489-AC60-B3BF0A7E0951}"/>
    <hyperlink ref="D3" r:id="rId9" display="\\fserv\e\MERA\WORKS\ДСИ\Потолочин\прайс\2024\Линейка PXI.xlsx" xr:uid="{DBA5A10E-20F3-4464-8267-3B9548F4BE45}"/>
    <hyperlink ref="D5" r:id="rId10" display="\\fserv\e\MERA\WORKS\ДСИ\Потолочин\прайс\2024\Прайс 2025_v01.xlsx" xr:uid="{AE592E8E-72DB-47C1-AF62-BA1DD98644EF}"/>
    <hyperlink ref="D4" r:id="rId11" display="\\fserv\e\MERA\WORKS\ДСИ\Потолочин\прайс\2024\Линейка RXI.xlsx" xr:uid="{3C80C913-FFC4-4631-AC87-252812371121}"/>
    <hyperlink ref="D6" r:id="rId12" display="\\fserv\e\MERA\WORKS\ДСИ\Потолочин\прайс\2024\" xr:uid="{3432EE86-B69C-4B88-893D-9341990F8E8D}"/>
    <hyperlink ref="C2" r:id="rId13" xr:uid="{F7DEAC87-D0C8-417F-8B78-C5D5A2071E8F}"/>
  </hyperlinks>
  <printOptions horizontalCentered="1"/>
  <pageMargins left="0.39370078740157483" right="0.39370078740157483" top="0.62992125984251968" bottom="0.39370078740157483" header="0.39370078740157483" footer="0.51181102362204722"/>
  <pageSetup paperSize="9" scale="51" fitToHeight="0" orientation="portrait" r:id="rId14"/>
  <headerFooter alignWithMargins="0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17" name="Button 11">
              <controlPr defaultSize="0" print="0" autoFill="0" autoPict="0" macro="[0]!ЭтаКнига.ПолноеТКП">
                <anchor>
                  <from>
                    <xdr:col>0</xdr:col>
                    <xdr:colOff>419100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8" name="Button 12">
              <controlPr defaultSize="0" print="0" autoFill="0" autoPict="0" macro="[0]!ЭтаКнига.СокращенноеТКП">
                <anchor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3</xdr:col>
                    <xdr:colOff>161925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9" name="Button 13">
              <controlPr defaultSize="0" print="0" autoFill="0" autoPict="0" macro="[0]!ЭтаКнига.РаботыТКП">
                <anchor>
                  <from>
                    <xdr:col>3</xdr:col>
                    <xdr:colOff>171450</xdr:colOff>
                    <xdr:row>0</xdr:row>
                    <xdr:rowOff>47625</xdr:rowOff>
                  </from>
                  <to>
                    <xdr:col>3</xdr:col>
                    <xdr:colOff>704850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20" name="Button 14">
              <controlPr defaultSize="0" print="0" autoFill="0" autoPict="0" macro="[0]!ЭтаКнига.КабелиКомандировкиТКП">
                <anchor>
                  <from>
                    <xdr:col>3</xdr:col>
                    <xdr:colOff>733425</xdr:colOff>
                    <xdr:row>0</xdr:row>
                    <xdr:rowOff>47625</xdr:rowOff>
                  </from>
                  <to>
                    <xdr:col>3</xdr:col>
                    <xdr:colOff>1447800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21" name="Button 15">
              <controlPr defaultSize="0" print="0" autoFill="0" autoPict="0" macro="[0]!ЭтаКнига.НовыйРаздел">
                <anchor>
                  <from>
                    <xdr:col>3</xdr:col>
                    <xdr:colOff>1466850</xdr:colOff>
                    <xdr:row>0</xdr:row>
                    <xdr:rowOff>57150</xdr:rowOff>
                  </from>
                  <to>
                    <xdr:col>3</xdr:col>
                    <xdr:colOff>2352675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2" name="Button 16">
              <controlPr defaultSize="0" print="0" autoFill="0" autoPict="0" macro="[0]!ЭтаКнига.НоваяСтрока">
                <anchor>
                  <from>
                    <xdr:col>3</xdr:col>
                    <xdr:colOff>2371725</xdr:colOff>
                    <xdr:row>0</xdr:row>
                    <xdr:rowOff>57150</xdr:rowOff>
                  </from>
                  <to>
                    <xdr:col>3</xdr:col>
                    <xdr:colOff>3190875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3" name="Button 17">
              <controlPr defaultSize="0" print="0" autoFill="0" autoPict="0" macro="[0]!ЭтаКнига.ВставкаФормул">
                <anchor>
                  <from>
                    <xdr:col>3</xdr:col>
                    <xdr:colOff>3228975</xdr:colOff>
                    <xdr:row>0</xdr:row>
                    <xdr:rowOff>57150</xdr:rowOff>
                  </from>
                  <to>
                    <xdr:col>3</xdr:col>
                    <xdr:colOff>3838575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4" name="Button 18">
              <controlPr defaultSize="0" print="0" autoFill="0" autoPict="0" macro="[0]!ЭтаКнига.вычиткапрайса">
                <anchor>
                  <from>
                    <xdr:col>3</xdr:col>
                    <xdr:colOff>3867150</xdr:colOff>
                    <xdr:row>0</xdr:row>
                    <xdr:rowOff>57150</xdr:rowOff>
                  </from>
                  <to>
                    <xdr:col>4</xdr:col>
                    <xdr:colOff>514350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5" name="btnFixLinks">
              <controlPr defaultSize="0" print="0" autoFill="0" autoPict="0" macro="ЗаменаИспорченныхГиперссылок">
                <anchor moveWithCells="1" sizeWithCells="1">
                  <from>
                    <xdr:col>4</xdr:col>
                    <xdr:colOff>561975</xdr:colOff>
                    <xdr:row>0</xdr:row>
                    <xdr:rowOff>57150</xdr:rowOff>
                  </from>
                  <to>
                    <xdr:col>4</xdr:col>
                    <xdr:colOff>1838325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Расчет!#REF!</xm:f>
          </x14:formula1>
          <xm:sqref>P99 P86:P96 P51:P84 P13:P31</xm:sqref>
        </x14:dataValidation>
        <x14:dataValidation type="list" allowBlank="1" showInputMessage="1" showErrorMessage="1" xr:uid="{00000000-0002-0000-0100-000002000000}">
          <x14:formula1>
            <xm:f>'\\Fserv\e\MERA\TKP\TKP2025\tkp2025_313_ОКБ Микояна_РСС_\[v03_tkp2025_063_КБХМ_СУ_стенда_огневых_испытаний_Мелихов.xlsm]Расчет'!#REF!</xm:f>
          </x14:formula1>
          <xm:sqref>P50 P32:P48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1" tint="0.499984740745262"/>
  </sheetPr>
  <dimension ref="A1:E839"/>
  <sheetViews>
    <sheetView workbookViewId="0">
      <selection activeCell="E838" sqref="E838"/>
    </sheetView>
  </sheetViews>
  <sheetFormatPr defaultColWidth="9.140625" defaultRowHeight="12.75" x14ac:dyDescent="0.2"/>
  <cols>
    <col min="1" max="1" width="9.42578125" style="1" customWidth="1"/>
    <col min="2" max="2" width="3" style="1" bestFit="1" customWidth="1"/>
    <col min="3" max="3" width="33" style="1" customWidth="1"/>
    <col min="4" max="4" width="25.28515625" style="1" customWidth="1"/>
    <col min="5" max="5" width="12.7109375" style="1" bestFit="1" customWidth="1"/>
    <col min="6" max="16384" width="9.140625" style="1"/>
  </cols>
  <sheetData>
    <row r="1" spans="1:5" x14ac:dyDescent="0.2">
      <c r="A1" s="27"/>
    </row>
    <row r="2" spans="1:5" s="28" customFormat="1" x14ac:dyDescent="0.2">
      <c r="B2" s="29" t="s">
        <v>82</v>
      </c>
      <c r="C2" s="30" t="s">
        <v>81</v>
      </c>
      <c r="D2" s="29" t="s">
        <v>80</v>
      </c>
      <c r="E2" s="31" t="s">
        <v>83</v>
      </c>
    </row>
    <row r="3" spans="1:5" x14ac:dyDescent="0.2">
      <c r="B3" s="29">
        <f t="shared" ref="B3:B17" si="0">ROW()-ROW($B$2)</f>
        <v>1</v>
      </c>
      <c r="C3" s="30" t="s">
        <v>79</v>
      </c>
      <c r="D3" s="30">
        <v>45000.601053240738</v>
      </c>
      <c r="E3" s="31">
        <v>128488.20599999999</v>
      </c>
    </row>
    <row r="4" spans="1:5" x14ac:dyDescent="0.2">
      <c r="B4" s="29">
        <f t="shared" si="0"/>
        <v>2</v>
      </c>
      <c r="C4" s="30" t="s">
        <v>79</v>
      </c>
      <c r="D4" s="30">
        <v>45002.693807870368</v>
      </c>
      <c r="E4" s="31">
        <v>128488.20599999999</v>
      </c>
    </row>
    <row r="5" spans="1:5" x14ac:dyDescent="0.2">
      <c r="B5" s="29">
        <f t="shared" si="0"/>
        <v>3</v>
      </c>
      <c r="C5" s="30" t="s">
        <v>79</v>
      </c>
      <c r="D5" s="30">
        <v>45002.7812962963</v>
      </c>
      <c r="E5" s="31">
        <v>128488.20599999999</v>
      </c>
    </row>
    <row r="6" spans="1:5" x14ac:dyDescent="0.2">
      <c r="B6" s="29">
        <f t="shared" si="0"/>
        <v>4</v>
      </c>
      <c r="C6" s="30" t="s">
        <v>79</v>
      </c>
      <c r="D6" s="30">
        <v>45006.740636574075</v>
      </c>
      <c r="E6" s="31">
        <v>128488.20599999999</v>
      </c>
    </row>
    <row r="7" spans="1:5" x14ac:dyDescent="0.2">
      <c r="B7" s="29">
        <f t="shared" si="0"/>
        <v>5</v>
      </c>
      <c r="C7" s="30" t="s">
        <v>96</v>
      </c>
      <c r="D7" s="30">
        <v>45007.364178240743</v>
      </c>
      <c r="E7" s="31">
        <v>4070177.2</v>
      </c>
    </row>
    <row r="8" spans="1:5" x14ac:dyDescent="0.2">
      <c r="B8" s="29">
        <f t="shared" si="0"/>
        <v>6</v>
      </c>
      <c r="C8" s="30" t="s">
        <v>96</v>
      </c>
      <c r="D8" s="30">
        <v>45007.365173611113</v>
      </c>
      <c r="E8" s="31">
        <v>4070177.2</v>
      </c>
    </row>
    <row r="9" spans="1:5" x14ac:dyDescent="0.2">
      <c r="B9" s="29">
        <f t="shared" si="0"/>
        <v>7</v>
      </c>
      <c r="C9" s="30" t="s">
        <v>96</v>
      </c>
      <c r="D9" s="30">
        <v>45007.370856481481</v>
      </c>
      <c r="E9" s="31">
        <v>6126420.2000000002</v>
      </c>
    </row>
    <row r="10" spans="1:5" x14ac:dyDescent="0.2">
      <c r="B10" s="29">
        <f t="shared" si="0"/>
        <v>8</v>
      </c>
      <c r="C10" s="30" t="s">
        <v>96</v>
      </c>
      <c r="D10" s="30">
        <v>45007.371134259258</v>
      </c>
      <c r="E10" s="31">
        <v>6126420.2000000002</v>
      </c>
    </row>
    <row r="11" spans="1:5" x14ac:dyDescent="0.2">
      <c r="B11" s="29">
        <f t="shared" si="0"/>
        <v>9</v>
      </c>
      <c r="C11" s="30" t="s">
        <v>96</v>
      </c>
      <c r="D11" s="30">
        <v>45007.37128472222</v>
      </c>
      <c r="E11" s="31">
        <v>6126420.2000000002</v>
      </c>
    </row>
    <row r="12" spans="1:5" x14ac:dyDescent="0.2">
      <c r="B12" s="29">
        <f t="shared" si="0"/>
        <v>10</v>
      </c>
      <c r="C12" s="30" t="s">
        <v>96</v>
      </c>
      <c r="D12" s="30">
        <v>45007.377893518518</v>
      </c>
      <c r="E12" s="31">
        <v>6126420.2000000002</v>
      </c>
    </row>
    <row r="13" spans="1:5" x14ac:dyDescent="0.2">
      <c r="B13" s="29">
        <f t="shared" si="0"/>
        <v>11</v>
      </c>
      <c r="C13" s="30" t="s">
        <v>96</v>
      </c>
      <c r="D13" s="30">
        <v>45007.404618055552</v>
      </c>
      <c r="E13" s="31">
        <v>6380400.2000000002</v>
      </c>
    </row>
    <row r="14" spans="1:5" x14ac:dyDescent="0.2">
      <c r="B14" s="29">
        <f t="shared" si="0"/>
        <v>12</v>
      </c>
      <c r="C14" s="30" t="s">
        <v>96</v>
      </c>
      <c r="D14" s="30">
        <v>45007.410162037035</v>
      </c>
      <c r="E14" s="31">
        <v>6805995.2000000002</v>
      </c>
    </row>
    <row r="15" spans="1:5" x14ac:dyDescent="0.2">
      <c r="B15" s="29">
        <f t="shared" si="0"/>
        <v>13</v>
      </c>
      <c r="C15" s="30" t="s">
        <v>96</v>
      </c>
      <c r="D15" s="30">
        <v>45007.411168981482</v>
      </c>
      <c r="E15" s="31">
        <v>6805995.2000000002</v>
      </c>
    </row>
    <row r="16" spans="1:5" x14ac:dyDescent="0.2">
      <c r="B16" s="29">
        <f t="shared" si="0"/>
        <v>14</v>
      </c>
      <c r="C16" s="30" t="s">
        <v>96</v>
      </c>
      <c r="D16" s="30">
        <v>45007.418495370373</v>
      </c>
      <c r="E16" s="31">
        <v>6805995.2000000002</v>
      </c>
    </row>
    <row r="17" spans="2:5" x14ac:dyDescent="0.2">
      <c r="B17" s="29">
        <f t="shared" si="0"/>
        <v>15</v>
      </c>
      <c r="C17" s="30" t="s">
        <v>96</v>
      </c>
      <c r="D17" s="30">
        <v>45007.452118055553</v>
      </c>
      <c r="E17" s="31">
        <v>20019061.117560003</v>
      </c>
    </row>
    <row r="18" spans="2:5" x14ac:dyDescent="0.2">
      <c r="B18" s="29">
        <f t="shared" ref="B18:B34" si="1">ROW()-ROW($B$2)</f>
        <v>16</v>
      </c>
      <c r="C18" s="30" t="s">
        <v>96</v>
      </c>
      <c r="D18" s="30">
        <v>45007.456226851849</v>
      </c>
      <c r="E18" s="31">
        <v>19441805.557634227</v>
      </c>
    </row>
    <row r="19" spans="2:5" x14ac:dyDescent="0.2">
      <c r="B19" s="29">
        <f t="shared" si="1"/>
        <v>17</v>
      </c>
      <c r="C19" s="30" t="s">
        <v>96</v>
      </c>
      <c r="D19" s="30">
        <v>45007.462719907409</v>
      </c>
      <c r="E19" s="31">
        <v>19839223.68</v>
      </c>
    </row>
    <row r="20" spans="2:5" x14ac:dyDescent="0.2">
      <c r="B20" s="29">
        <f t="shared" si="1"/>
        <v>18</v>
      </c>
      <c r="C20" s="30" t="s">
        <v>96</v>
      </c>
      <c r="D20" s="30">
        <v>45007.463692129626</v>
      </c>
      <c r="E20" s="31">
        <v>19839223.68</v>
      </c>
    </row>
    <row r="21" spans="2:5" x14ac:dyDescent="0.2">
      <c r="B21" s="29">
        <f t="shared" si="1"/>
        <v>19</v>
      </c>
      <c r="C21" s="30" t="s">
        <v>96</v>
      </c>
      <c r="D21" s="30">
        <v>45007.465671296297</v>
      </c>
      <c r="E21" s="31">
        <v>19839223.68</v>
      </c>
    </row>
    <row r="22" spans="2:5" x14ac:dyDescent="0.2">
      <c r="B22" s="29">
        <f t="shared" si="1"/>
        <v>20</v>
      </c>
      <c r="C22" s="30" t="s">
        <v>96</v>
      </c>
      <c r="D22" s="30">
        <v>45013.395416666666</v>
      </c>
      <c r="E22" s="31">
        <v>19839223.68</v>
      </c>
    </row>
    <row r="23" spans="2:5" x14ac:dyDescent="0.2">
      <c r="B23" s="29">
        <f t="shared" si="1"/>
        <v>21</v>
      </c>
      <c r="C23" s="30" t="s">
        <v>96</v>
      </c>
      <c r="D23" s="30">
        <v>45013.408842592595</v>
      </c>
      <c r="E23" s="31">
        <v>17033798.600000001</v>
      </c>
    </row>
    <row r="24" spans="2:5" x14ac:dyDescent="0.2">
      <c r="B24" s="29">
        <f t="shared" si="1"/>
        <v>22</v>
      </c>
      <c r="C24" s="30" t="s">
        <v>96</v>
      </c>
      <c r="D24" s="30">
        <v>45013.425312500003</v>
      </c>
      <c r="E24" s="31">
        <v>17001827.75</v>
      </c>
    </row>
    <row r="25" spans="2:5" x14ac:dyDescent="0.2">
      <c r="B25" s="29">
        <f t="shared" si="1"/>
        <v>23</v>
      </c>
      <c r="C25" s="30" t="s">
        <v>96</v>
      </c>
      <c r="D25" s="30">
        <v>45013.428541666668</v>
      </c>
      <c r="E25" s="31">
        <v>16151827.750000002</v>
      </c>
    </row>
    <row r="26" spans="2:5" x14ac:dyDescent="0.2">
      <c r="B26" s="29">
        <f t="shared" si="1"/>
        <v>24</v>
      </c>
      <c r="C26" s="30" t="s">
        <v>96</v>
      </c>
      <c r="D26" s="30">
        <v>45013.428564814814</v>
      </c>
      <c r="E26" s="31">
        <v>16151827.750000002</v>
      </c>
    </row>
    <row r="27" spans="2:5" x14ac:dyDescent="0.2">
      <c r="B27" s="29">
        <f t="shared" si="1"/>
        <v>25</v>
      </c>
      <c r="C27" s="30" t="s">
        <v>96</v>
      </c>
      <c r="D27" s="30">
        <v>45013.433749999997</v>
      </c>
      <c r="E27" s="31">
        <v>15618637.149999999</v>
      </c>
    </row>
    <row r="28" spans="2:5" x14ac:dyDescent="0.2">
      <c r="B28" s="29">
        <f t="shared" si="1"/>
        <v>26</v>
      </c>
      <c r="C28" s="30" t="s">
        <v>96</v>
      </c>
      <c r="D28" s="30">
        <v>45013.451145833336</v>
      </c>
      <c r="E28" s="31">
        <v>9523965.1499999985</v>
      </c>
    </row>
    <row r="29" spans="2:5" x14ac:dyDescent="0.2">
      <c r="B29" s="29">
        <f t="shared" si="1"/>
        <v>27</v>
      </c>
      <c r="C29" s="30" t="s">
        <v>96</v>
      </c>
      <c r="D29" s="30">
        <v>45013.45380787037</v>
      </c>
      <c r="E29" s="31">
        <v>9823965.1500000004</v>
      </c>
    </row>
    <row r="30" spans="2:5" x14ac:dyDescent="0.2">
      <c r="B30" s="29">
        <f t="shared" si="1"/>
        <v>28</v>
      </c>
      <c r="C30" s="30" t="s">
        <v>96</v>
      </c>
      <c r="D30" s="30">
        <v>45013.454942129632</v>
      </c>
      <c r="E30" s="31">
        <v>9823965.1500000004</v>
      </c>
    </row>
    <row r="31" spans="2:5" x14ac:dyDescent="0.2">
      <c r="B31" s="29">
        <f t="shared" si="1"/>
        <v>29</v>
      </c>
      <c r="C31" s="30" t="s">
        <v>96</v>
      </c>
      <c r="D31" s="30">
        <v>45013.461041666669</v>
      </c>
      <c r="E31" s="31">
        <v>9823965.1500000004</v>
      </c>
    </row>
    <row r="32" spans="2:5" x14ac:dyDescent="0.2">
      <c r="B32" s="29">
        <f t="shared" si="1"/>
        <v>30</v>
      </c>
      <c r="C32" s="30" t="s">
        <v>96</v>
      </c>
      <c r="D32" s="30">
        <v>45013.461701388886</v>
      </c>
      <c r="E32" s="31">
        <v>9823965.1500000004</v>
      </c>
    </row>
    <row r="33" spans="2:5" x14ac:dyDescent="0.2">
      <c r="B33" s="29">
        <f t="shared" si="1"/>
        <v>31</v>
      </c>
      <c r="C33" s="30" t="s">
        <v>96</v>
      </c>
      <c r="D33" s="30">
        <v>45013.461840277778</v>
      </c>
      <c r="E33" s="31">
        <v>9823965.1500000004</v>
      </c>
    </row>
    <row r="34" spans="2:5" x14ac:dyDescent="0.2">
      <c r="B34" s="29">
        <f t="shared" si="1"/>
        <v>32</v>
      </c>
      <c r="C34" s="30" t="s">
        <v>96</v>
      </c>
      <c r="D34" s="30">
        <v>45013.613854166666</v>
      </c>
      <c r="E34" s="31">
        <v>9823965.1500000004</v>
      </c>
    </row>
    <row r="35" spans="2:5" x14ac:dyDescent="0.2">
      <c r="B35" s="29">
        <f t="shared" ref="B35:B41" si="2">ROW()-ROW($B$2)</f>
        <v>33</v>
      </c>
      <c r="C35" s="30" t="s">
        <v>79</v>
      </c>
      <c r="D35" s="30">
        <v>45015.63784722222</v>
      </c>
      <c r="E35" s="31">
        <v>9823965.1500000004</v>
      </c>
    </row>
    <row r="36" spans="2:5" x14ac:dyDescent="0.2">
      <c r="B36" s="29">
        <f t="shared" si="2"/>
        <v>34</v>
      </c>
      <c r="C36" s="30" t="s">
        <v>79</v>
      </c>
      <c r="D36" s="30">
        <v>45015.640798611108</v>
      </c>
      <c r="E36" s="31">
        <v>0</v>
      </c>
    </row>
    <row r="37" spans="2:5" x14ac:dyDescent="0.2">
      <c r="B37" s="29">
        <f t="shared" si="2"/>
        <v>35</v>
      </c>
      <c r="C37" s="30" t="s">
        <v>79</v>
      </c>
      <c r="D37" s="30">
        <v>45015.642962962964</v>
      </c>
      <c r="E37" s="31">
        <v>0</v>
      </c>
    </row>
    <row r="38" spans="2:5" x14ac:dyDescent="0.2">
      <c r="B38" s="29">
        <f t="shared" si="2"/>
        <v>36</v>
      </c>
      <c r="C38" s="30" t="s">
        <v>79</v>
      </c>
      <c r="D38" s="30">
        <v>45015.647766203707</v>
      </c>
      <c r="E38" s="31">
        <v>128488.20599999999</v>
      </c>
    </row>
    <row r="39" spans="2:5" x14ac:dyDescent="0.2">
      <c r="B39" s="29">
        <f t="shared" si="2"/>
        <v>37</v>
      </c>
      <c r="C39" s="30" t="s">
        <v>79</v>
      </c>
      <c r="D39" s="30">
        <v>45016.770833333336</v>
      </c>
      <c r="E39" s="31">
        <v>128488.20599999999</v>
      </c>
    </row>
    <row r="40" spans="2:5" x14ac:dyDescent="0.2">
      <c r="B40" s="29">
        <f t="shared" si="2"/>
        <v>38</v>
      </c>
      <c r="C40" s="30" t="s">
        <v>79</v>
      </c>
      <c r="D40" s="30">
        <v>45016.771018518521</v>
      </c>
      <c r="E40" s="31">
        <v>128488.20599999999</v>
      </c>
    </row>
    <row r="41" spans="2:5" x14ac:dyDescent="0.2">
      <c r="B41" s="29">
        <f t="shared" si="2"/>
        <v>39</v>
      </c>
      <c r="C41" s="30" t="s">
        <v>79</v>
      </c>
      <c r="D41" s="30">
        <v>45016.771851851852</v>
      </c>
      <c r="E41" s="31">
        <v>128488.20599999999</v>
      </c>
    </row>
    <row r="42" spans="2:5" x14ac:dyDescent="0.2">
      <c r="B42" s="29">
        <f t="shared" ref="B42:B47" si="3">ROW()-ROW($B$2)</f>
        <v>40</v>
      </c>
      <c r="C42" s="30" t="s">
        <v>79</v>
      </c>
      <c r="D42" s="30">
        <v>45149.534178240741</v>
      </c>
      <c r="E42" s="31">
        <v>128488.20599999999</v>
      </c>
    </row>
    <row r="43" spans="2:5" x14ac:dyDescent="0.2">
      <c r="B43" s="29">
        <f t="shared" si="3"/>
        <v>41</v>
      </c>
      <c r="C43" s="30" t="s">
        <v>97</v>
      </c>
      <c r="D43" s="30">
        <v>45162.473553240743</v>
      </c>
      <c r="E43" s="31">
        <v>128488.20599999999</v>
      </c>
    </row>
    <row r="44" spans="2:5" x14ac:dyDescent="0.2">
      <c r="B44" s="29">
        <f t="shared" si="3"/>
        <v>42</v>
      </c>
      <c r="C44" s="30" t="s">
        <v>97</v>
      </c>
      <c r="D44" s="30">
        <v>45162.474583333336</v>
      </c>
      <c r="E44" s="31">
        <v>128488.20599999999</v>
      </c>
    </row>
    <row r="45" spans="2:5" x14ac:dyDescent="0.2">
      <c r="B45" s="29">
        <f t="shared" si="3"/>
        <v>43</v>
      </c>
      <c r="C45" s="30" t="s">
        <v>97</v>
      </c>
      <c r="D45" s="30">
        <v>45162.474675925929</v>
      </c>
      <c r="E45" s="31">
        <v>128488.20599999999</v>
      </c>
    </row>
    <row r="46" spans="2:5" x14ac:dyDescent="0.2">
      <c r="B46" s="29">
        <f t="shared" si="3"/>
        <v>44</v>
      </c>
      <c r="C46" s="30" t="s">
        <v>97</v>
      </c>
      <c r="D46" s="30">
        <v>45168.536817129629</v>
      </c>
      <c r="E46" s="31">
        <v>0</v>
      </c>
    </row>
    <row r="47" spans="2:5" x14ac:dyDescent="0.2">
      <c r="B47" s="29">
        <f t="shared" si="3"/>
        <v>45</v>
      </c>
      <c r="C47" s="30" t="s">
        <v>97</v>
      </c>
      <c r="D47" s="30">
        <v>45168.598356481481</v>
      </c>
      <c r="E47" s="31">
        <v>128488.20599999999</v>
      </c>
    </row>
    <row r="48" spans="2:5" x14ac:dyDescent="0.2">
      <c r="B48" s="29">
        <f t="shared" ref="B48:B81" si="4">ROW()-ROW($B$2)</f>
        <v>46</v>
      </c>
      <c r="C48" s="30" t="s">
        <v>97</v>
      </c>
      <c r="D48" s="30">
        <v>45168.59946759259</v>
      </c>
      <c r="E48" s="31">
        <v>128488.20599999999</v>
      </c>
    </row>
    <row r="49" spans="2:5" x14ac:dyDescent="0.2">
      <c r="B49" s="29">
        <f t="shared" si="4"/>
        <v>47</v>
      </c>
      <c r="C49" s="30" t="s">
        <v>96</v>
      </c>
      <c r="D49" s="30">
        <v>45198.483483796299</v>
      </c>
      <c r="E49" s="31">
        <v>128488.20599999999</v>
      </c>
    </row>
    <row r="50" spans="2:5" x14ac:dyDescent="0.2">
      <c r="B50" s="29">
        <f t="shared" si="4"/>
        <v>48</v>
      </c>
      <c r="C50" s="30" t="s">
        <v>96</v>
      </c>
      <c r="D50" s="30">
        <v>45198.496087962965</v>
      </c>
      <c r="E50" s="31">
        <v>36177862.350000001</v>
      </c>
    </row>
    <row r="51" spans="2:5" x14ac:dyDescent="0.2">
      <c r="B51" s="29">
        <f t="shared" si="4"/>
        <v>49</v>
      </c>
      <c r="C51" s="30" t="s">
        <v>96</v>
      </c>
      <c r="D51" s="30">
        <v>45198.518958333334</v>
      </c>
      <c r="E51" s="31">
        <v>37914944.849999994</v>
      </c>
    </row>
    <row r="52" spans="2:5" x14ac:dyDescent="0.2">
      <c r="B52" s="29">
        <f t="shared" si="4"/>
        <v>50</v>
      </c>
      <c r="C52" s="30" t="s">
        <v>96</v>
      </c>
      <c r="D52" s="30">
        <v>45198.605509259258</v>
      </c>
      <c r="E52" s="31">
        <v>38374883.099999987</v>
      </c>
    </row>
    <row r="53" spans="2:5" x14ac:dyDescent="0.2">
      <c r="B53" s="29">
        <f t="shared" si="4"/>
        <v>51</v>
      </c>
      <c r="C53" s="30" t="s">
        <v>96</v>
      </c>
      <c r="D53" s="30">
        <v>45198.609178240738</v>
      </c>
      <c r="E53" s="31">
        <v>40195581.099999987</v>
      </c>
    </row>
    <row r="54" spans="2:5" x14ac:dyDescent="0.2">
      <c r="B54" s="29">
        <f t="shared" si="4"/>
        <v>52</v>
      </c>
      <c r="C54" s="30" t="s">
        <v>96</v>
      </c>
      <c r="D54" s="30">
        <v>45198.610601851855</v>
      </c>
      <c r="E54" s="31">
        <v>40239321.099999987</v>
      </c>
    </row>
    <row r="55" spans="2:5" x14ac:dyDescent="0.2">
      <c r="B55" s="29">
        <f t="shared" si="4"/>
        <v>53</v>
      </c>
      <c r="C55" s="30" t="s">
        <v>96</v>
      </c>
      <c r="D55" s="30">
        <v>45198.612060185187</v>
      </c>
      <c r="E55" s="31">
        <v>40429721.199999988</v>
      </c>
    </row>
    <row r="56" spans="2:5" x14ac:dyDescent="0.2">
      <c r="B56" s="29">
        <f t="shared" si="4"/>
        <v>54</v>
      </c>
      <c r="C56" s="30" t="s">
        <v>96</v>
      </c>
      <c r="D56" s="30">
        <v>45198.616539351853</v>
      </c>
      <c r="E56" s="31">
        <v>40726721.199999988</v>
      </c>
    </row>
    <row r="57" spans="2:5" x14ac:dyDescent="0.2">
      <c r="B57" s="29">
        <f t="shared" si="4"/>
        <v>55</v>
      </c>
      <c r="C57" s="30" t="s">
        <v>96</v>
      </c>
      <c r="D57" s="30">
        <v>45198.618958333333</v>
      </c>
      <c r="E57" s="31">
        <v>40808936.199999988</v>
      </c>
    </row>
    <row r="58" spans="2:5" x14ac:dyDescent="0.2">
      <c r="B58" s="29">
        <f t="shared" si="4"/>
        <v>56</v>
      </c>
      <c r="C58" s="30" t="s">
        <v>96</v>
      </c>
      <c r="D58" s="30">
        <v>45198.620856481481</v>
      </c>
      <c r="E58" s="31">
        <v>42958936.199999988</v>
      </c>
    </row>
    <row r="59" spans="2:5" x14ac:dyDescent="0.2">
      <c r="B59" s="29">
        <f t="shared" si="4"/>
        <v>57</v>
      </c>
      <c r="C59" s="30" t="s">
        <v>96</v>
      </c>
      <c r="D59" s="30">
        <v>45198.621111111112</v>
      </c>
      <c r="E59" s="31">
        <v>42828936.199999988</v>
      </c>
    </row>
    <row r="60" spans="2:5" x14ac:dyDescent="0.2">
      <c r="B60" s="29">
        <f t="shared" si="4"/>
        <v>58</v>
      </c>
      <c r="C60" s="30" t="s">
        <v>96</v>
      </c>
      <c r="D60" s="30">
        <v>45198.621168981481</v>
      </c>
      <c r="E60" s="31">
        <v>42828936.199999988</v>
      </c>
    </row>
    <row r="61" spans="2:5" x14ac:dyDescent="0.2">
      <c r="B61" s="29">
        <f t="shared" si="4"/>
        <v>59</v>
      </c>
      <c r="C61" s="30" t="s">
        <v>96</v>
      </c>
      <c r="D61" s="30">
        <v>45198.628518518519</v>
      </c>
      <c r="E61" s="31">
        <v>43607400.199999988</v>
      </c>
    </row>
    <row r="62" spans="2:5" x14ac:dyDescent="0.2">
      <c r="B62" s="29">
        <f t="shared" si="4"/>
        <v>60</v>
      </c>
      <c r="C62" s="30" t="s">
        <v>96</v>
      </c>
      <c r="D62" s="30">
        <v>45198.629050925927</v>
      </c>
      <c r="E62" s="31">
        <v>43607400.199999988</v>
      </c>
    </row>
    <row r="63" spans="2:5" x14ac:dyDescent="0.2">
      <c r="B63" s="29">
        <f t="shared" si="4"/>
        <v>61</v>
      </c>
      <c r="C63" s="30" t="s">
        <v>96</v>
      </c>
      <c r="D63" s="30">
        <v>45198.629270833335</v>
      </c>
      <c r="E63" s="31">
        <v>43607400.199999988</v>
      </c>
    </row>
    <row r="64" spans="2:5" x14ac:dyDescent="0.2">
      <c r="B64" s="29">
        <f t="shared" si="4"/>
        <v>62</v>
      </c>
      <c r="C64" s="30" t="s">
        <v>96</v>
      </c>
      <c r="D64" s="30">
        <v>45198.642858796295</v>
      </c>
      <c r="E64" s="31">
        <v>52331848.419999987</v>
      </c>
    </row>
    <row r="65" spans="2:5" x14ac:dyDescent="0.2">
      <c r="B65" s="29">
        <f t="shared" si="4"/>
        <v>63</v>
      </c>
      <c r="C65" s="30" t="s">
        <v>96</v>
      </c>
      <c r="D65" s="30">
        <v>45198.654745370368</v>
      </c>
      <c r="E65" s="31">
        <v>52738148.419999987</v>
      </c>
    </row>
    <row r="66" spans="2:5" x14ac:dyDescent="0.2">
      <c r="B66" s="29">
        <f t="shared" si="4"/>
        <v>64</v>
      </c>
      <c r="C66" s="30" t="s">
        <v>96</v>
      </c>
      <c r="D66" s="30">
        <v>45198.657326388886</v>
      </c>
      <c r="E66" s="31">
        <v>53075648.419999987</v>
      </c>
    </row>
    <row r="67" spans="2:5" x14ac:dyDescent="0.2">
      <c r="B67" s="29">
        <f t="shared" si="4"/>
        <v>65</v>
      </c>
      <c r="C67" s="30" t="s">
        <v>96</v>
      </c>
      <c r="D67" s="30">
        <v>45198.657372685186</v>
      </c>
      <c r="E67" s="31">
        <v>53075648.419999987</v>
      </c>
    </row>
    <row r="68" spans="2:5" x14ac:dyDescent="0.2">
      <c r="B68" s="29">
        <f t="shared" si="4"/>
        <v>66</v>
      </c>
      <c r="C68" s="30" t="s">
        <v>96</v>
      </c>
      <c r="D68" s="30">
        <v>45198.661712962959</v>
      </c>
      <c r="E68" s="31">
        <v>53449874.419999987</v>
      </c>
    </row>
    <row r="69" spans="2:5" x14ac:dyDescent="0.2">
      <c r="B69" s="29">
        <f t="shared" si="4"/>
        <v>67</v>
      </c>
      <c r="C69" s="30" t="s">
        <v>96</v>
      </c>
      <c r="D69" s="30">
        <v>45198.662326388891</v>
      </c>
      <c r="E69" s="31">
        <v>53612344.419999987</v>
      </c>
    </row>
    <row r="70" spans="2:5" x14ac:dyDescent="0.2">
      <c r="B70" s="29">
        <f t="shared" si="4"/>
        <v>68</v>
      </c>
      <c r="C70" s="30" t="s">
        <v>96</v>
      </c>
      <c r="D70" s="30">
        <v>45198.662569444445</v>
      </c>
      <c r="E70" s="31">
        <v>53612344.419999987</v>
      </c>
    </row>
    <row r="71" spans="2:5" x14ac:dyDescent="0.2">
      <c r="B71" s="29">
        <f t="shared" si="4"/>
        <v>69</v>
      </c>
      <c r="C71" s="30" t="s">
        <v>96</v>
      </c>
      <c r="D71" s="30">
        <v>45198.664965277778</v>
      </c>
      <c r="E71" s="31">
        <v>53612344.419999987</v>
      </c>
    </row>
    <row r="72" spans="2:5" x14ac:dyDescent="0.2">
      <c r="B72" s="29">
        <f t="shared" si="4"/>
        <v>70</v>
      </c>
      <c r="C72" s="30" t="s">
        <v>96</v>
      </c>
      <c r="D72" s="30">
        <v>45198.681828703702</v>
      </c>
      <c r="E72" s="31">
        <v>81696094.419999987</v>
      </c>
    </row>
    <row r="73" spans="2:5" x14ac:dyDescent="0.2">
      <c r="B73" s="29">
        <f t="shared" si="4"/>
        <v>71</v>
      </c>
      <c r="C73" s="30" t="s">
        <v>96</v>
      </c>
      <c r="D73" s="30">
        <v>45198.682789351849</v>
      </c>
      <c r="E73" s="31">
        <v>87927378.694755509</v>
      </c>
    </row>
    <row r="74" spans="2:5" x14ac:dyDescent="0.2">
      <c r="B74" s="29">
        <f t="shared" si="4"/>
        <v>72</v>
      </c>
      <c r="C74" s="30" t="s">
        <v>96</v>
      </c>
      <c r="D74" s="30">
        <v>45198.709953703707</v>
      </c>
      <c r="E74" s="31">
        <v>77687925.120000005</v>
      </c>
    </row>
    <row r="75" spans="2:5" x14ac:dyDescent="0.2">
      <c r="B75" s="29">
        <f t="shared" si="4"/>
        <v>73</v>
      </c>
      <c r="C75" s="30" t="s">
        <v>96</v>
      </c>
      <c r="D75" s="30">
        <v>45198.710590277777</v>
      </c>
      <c r="E75" s="31">
        <v>77777925.120000005</v>
      </c>
    </row>
    <row r="76" spans="2:5" x14ac:dyDescent="0.2">
      <c r="B76" s="29">
        <f t="shared" si="4"/>
        <v>74</v>
      </c>
      <c r="C76" s="30" t="s">
        <v>96</v>
      </c>
      <c r="D76" s="30">
        <v>45198.712291666663</v>
      </c>
      <c r="E76" s="31">
        <v>77777925.11999999</v>
      </c>
    </row>
    <row r="77" spans="2:5" x14ac:dyDescent="0.2">
      <c r="B77" s="29">
        <f t="shared" si="4"/>
        <v>75</v>
      </c>
      <c r="C77" s="30" t="s">
        <v>96</v>
      </c>
      <c r="D77" s="30">
        <v>45198.714039351849</v>
      </c>
      <c r="E77" s="31">
        <v>78377925.120000005</v>
      </c>
    </row>
    <row r="78" spans="2:5" x14ac:dyDescent="0.2">
      <c r="B78" s="29">
        <f t="shared" si="4"/>
        <v>76</v>
      </c>
      <c r="C78" s="30" t="s">
        <v>96</v>
      </c>
      <c r="D78" s="30">
        <v>45198.718090277776</v>
      </c>
      <c r="E78" s="31">
        <v>78502050.11999999</v>
      </c>
    </row>
    <row r="79" spans="2:5" x14ac:dyDescent="0.2">
      <c r="B79" s="29">
        <f t="shared" si="4"/>
        <v>77</v>
      </c>
      <c r="C79" s="30" t="s">
        <v>96</v>
      </c>
      <c r="D79" s="30">
        <v>45198.719872685186</v>
      </c>
      <c r="E79" s="31">
        <v>79209050.11999999</v>
      </c>
    </row>
    <row r="80" spans="2:5" x14ac:dyDescent="0.2">
      <c r="B80" s="29">
        <f t="shared" si="4"/>
        <v>78</v>
      </c>
      <c r="C80" s="30" t="s">
        <v>96</v>
      </c>
      <c r="D80" s="30">
        <v>45198.722858796296</v>
      </c>
      <c r="E80" s="31">
        <v>79185300.120000005</v>
      </c>
    </row>
    <row r="81" spans="2:5" x14ac:dyDescent="0.2">
      <c r="B81" s="29">
        <f t="shared" si="4"/>
        <v>79</v>
      </c>
      <c r="C81" s="30" t="s">
        <v>96</v>
      </c>
      <c r="D81" s="30">
        <v>45198.723333333335</v>
      </c>
      <c r="E81" s="31">
        <v>79185300.120000005</v>
      </c>
    </row>
    <row r="82" spans="2:5" x14ac:dyDescent="0.2">
      <c r="B82" s="29">
        <f t="shared" ref="B82:B92" si="5">ROW()-ROW($B$2)</f>
        <v>80</v>
      </c>
      <c r="C82" s="30" t="s">
        <v>97</v>
      </c>
      <c r="D82" s="30">
        <v>45198.731192129628</v>
      </c>
      <c r="E82" s="31">
        <v>79066978.120000005</v>
      </c>
    </row>
    <row r="83" spans="2:5" x14ac:dyDescent="0.2">
      <c r="B83" s="29">
        <f t="shared" si="5"/>
        <v>81</v>
      </c>
      <c r="C83" s="30" t="s">
        <v>97</v>
      </c>
      <c r="D83" s="30">
        <v>45198.733634259261</v>
      </c>
      <c r="E83" s="31">
        <v>80266978.120000005</v>
      </c>
    </row>
    <row r="84" spans="2:5" x14ac:dyDescent="0.2">
      <c r="B84" s="29">
        <f t="shared" si="5"/>
        <v>82</v>
      </c>
      <c r="C84" s="30" t="s">
        <v>97</v>
      </c>
      <c r="D84" s="30">
        <v>45198.734259259261</v>
      </c>
      <c r="E84" s="31">
        <v>79066978.120000005</v>
      </c>
    </row>
    <row r="85" spans="2:5" x14ac:dyDescent="0.2">
      <c r="B85" s="29">
        <f t="shared" si="5"/>
        <v>83</v>
      </c>
      <c r="C85" s="30" t="s">
        <v>97</v>
      </c>
      <c r="D85" s="30">
        <v>45198.736712962964</v>
      </c>
      <c r="E85" s="31">
        <v>79066978.120000005</v>
      </c>
    </row>
    <row r="86" spans="2:5" x14ac:dyDescent="0.2">
      <c r="B86" s="29">
        <f t="shared" si="5"/>
        <v>84</v>
      </c>
      <c r="C86" s="30" t="s">
        <v>98</v>
      </c>
      <c r="D86" s="30">
        <v>45201.606689814813</v>
      </c>
      <c r="E86" s="31">
        <v>85559754.729600012</v>
      </c>
    </row>
    <row r="87" spans="2:5" x14ac:dyDescent="0.2">
      <c r="B87" s="29">
        <f t="shared" si="5"/>
        <v>85</v>
      </c>
      <c r="C87" s="30" t="s">
        <v>98</v>
      </c>
      <c r="D87" s="30">
        <v>45201.622106481482</v>
      </c>
      <c r="E87" s="31">
        <v>85559754.729600012</v>
      </c>
    </row>
    <row r="88" spans="2:5" x14ac:dyDescent="0.2">
      <c r="B88" s="29">
        <f t="shared" si="5"/>
        <v>86</v>
      </c>
      <c r="C88" s="30" t="s">
        <v>98</v>
      </c>
      <c r="D88" s="30">
        <v>45201.622175925928</v>
      </c>
      <c r="E88" s="31">
        <v>85559754.729600012</v>
      </c>
    </row>
    <row r="89" spans="2:5" x14ac:dyDescent="0.2">
      <c r="B89" s="29">
        <f t="shared" si="5"/>
        <v>87</v>
      </c>
      <c r="C89" s="30" t="s">
        <v>98</v>
      </c>
      <c r="D89" s="30">
        <v>45201.622175925928</v>
      </c>
      <c r="E89" s="31">
        <v>85559754.729600012</v>
      </c>
    </row>
    <row r="90" spans="2:5" x14ac:dyDescent="0.2">
      <c r="B90" s="29">
        <f t="shared" si="5"/>
        <v>88</v>
      </c>
      <c r="C90" s="30" t="s">
        <v>98</v>
      </c>
      <c r="D90" s="30">
        <v>45201.622766203705</v>
      </c>
      <c r="E90" s="31">
        <v>85559754.729600012</v>
      </c>
    </row>
    <row r="91" spans="2:5" x14ac:dyDescent="0.2">
      <c r="B91" s="29">
        <f t="shared" si="5"/>
        <v>89</v>
      </c>
      <c r="C91" s="30" t="s">
        <v>98</v>
      </c>
      <c r="D91" s="30">
        <v>45201.624074074076</v>
      </c>
      <c r="E91" s="31">
        <v>85559754.729600012</v>
      </c>
    </row>
    <row r="92" spans="2:5" x14ac:dyDescent="0.2">
      <c r="B92" s="29">
        <f t="shared" si="5"/>
        <v>90</v>
      </c>
      <c r="C92" s="30" t="s">
        <v>98</v>
      </c>
      <c r="D92" s="30">
        <v>45201.626666666663</v>
      </c>
      <c r="E92" s="31">
        <v>85559754.729600012</v>
      </c>
    </row>
    <row r="93" spans="2:5" x14ac:dyDescent="0.2">
      <c r="B93" s="29">
        <f t="shared" ref="B93:B98" si="6">ROW()-ROW($B$2)</f>
        <v>91</v>
      </c>
      <c r="C93" s="30" t="s">
        <v>98</v>
      </c>
      <c r="D93" s="30">
        <v>45201.748900462961</v>
      </c>
      <c r="E93" s="31">
        <v>85584504.729600012</v>
      </c>
    </row>
    <row r="94" spans="2:5" x14ac:dyDescent="0.2">
      <c r="B94" s="29">
        <f t="shared" si="6"/>
        <v>92</v>
      </c>
      <c r="C94" s="30" t="s">
        <v>98</v>
      </c>
      <c r="D94" s="30">
        <v>45201.750902777778</v>
      </c>
      <c r="E94" s="31">
        <v>85466597.169599995</v>
      </c>
    </row>
    <row r="95" spans="2:5" x14ac:dyDescent="0.2">
      <c r="B95" s="29">
        <f t="shared" si="6"/>
        <v>93</v>
      </c>
      <c r="C95" s="30" t="s">
        <v>98</v>
      </c>
      <c r="D95" s="30">
        <v>45201.751562500001</v>
      </c>
      <c r="E95" s="31">
        <v>85466597.169599995</v>
      </c>
    </row>
    <row r="96" spans="2:5" x14ac:dyDescent="0.2">
      <c r="B96" s="29">
        <f t="shared" si="6"/>
        <v>94</v>
      </c>
      <c r="C96" s="30" t="s">
        <v>98</v>
      </c>
      <c r="D96" s="30">
        <v>45201.751608796294</v>
      </c>
      <c r="E96" s="31">
        <v>85466597.169599995</v>
      </c>
    </row>
    <row r="97" spans="2:5" x14ac:dyDescent="0.2">
      <c r="B97" s="29">
        <f t="shared" si="6"/>
        <v>95</v>
      </c>
      <c r="C97" s="30" t="s">
        <v>98</v>
      </c>
      <c r="D97" s="30">
        <v>45201.751666666663</v>
      </c>
      <c r="E97" s="31">
        <v>85466597.169599995</v>
      </c>
    </row>
    <row r="98" spans="2:5" x14ac:dyDescent="0.2">
      <c r="B98" s="29">
        <f t="shared" si="6"/>
        <v>96</v>
      </c>
      <c r="C98" s="30" t="s">
        <v>98</v>
      </c>
      <c r="D98" s="30">
        <v>45201.755937499998</v>
      </c>
      <c r="E98" s="31">
        <v>85466597.169599995</v>
      </c>
    </row>
    <row r="99" spans="2:5" x14ac:dyDescent="0.2">
      <c r="B99" s="29">
        <f t="shared" ref="B99:B104" si="7">ROW()-ROW($B$2)</f>
        <v>97</v>
      </c>
      <c r="C99" s="30" t="s">
        <v>98</v>
      </c>
      <c r="D99" s="30">
        <v>45202.391886574071</v>
      </c>
      <c r="E99" s="31">
        <v>85466597.169599995</v>
      </c>
    </row>
    <row r="100" spans="2:5" x14ac:dyDescent="0.2">
      <c r="B100" s="29">
        <f t="shared" si="7"/>
        <v>98</v>
      </c>
      <c r="C100" s="30" t="s">
        <v>98</v>
      </c>
      <c r="D100" s="30">
        <v>45203.629108796296</v>
      </c>
      <c r="E100" s="31">
        <v>85302093.880800009</v>
      </c>
    </row>
    <row r="101" spans="2:5" x14ac:dyDescent="0.2">
      <c r="B101" s="29">
        <f t="shared" si="7"/>
        <v>99</v>
      </c>
      <c r="C101" s="30" t="s">
        <v>98</v>
      </c>
      <c r="D101" s="30">
        <v>45204.424212962964</v>
      </c>
      <c r="E101" s="31">
        <v>85302093.880800009</v>
      </c>
    </row>
    <row r="102" spans="2:5" x14ac:dyDescent="0.2">
      <c r="B102" s="29">
        <f t="shared" si="7"/>
        <v>100</v>
      </c>
      <c r="C102" s="30" t="s">
        <v>98</v>
      </c>
      <c r="D102" s="30">
        <v>45204.42428240741</v>
      </c>
      <c r="E102" s="31">
        <v>85302093.880800009</v>
      </c>
    </row>
    <row r="103" spans="2:5" x14ac:dyDescent="0.2">
      <c r="B103" s="29">
        <f t="shared" si="7"/>
        <v>101</v>
      </c>
      <c r="C103" s="30" t="s">
        <v>98</v>
      </c>
      <c r="D103" s="30">
        <v>45204.424305555556</v>
      </c>
      <c r="E103" s="31">
        <v>85302093.880800009</v>
      </c>
    </row>
    <row r="104" spans="2:5" x14ac:dyDescent="0.2">
      <c r="B104" s="29">
        <f t="shared" si="7"/>
        <v>102</v>
      </c>
      <c r="C104" s="30" t="s">
        <v>98</v>
      </c>
      <c r="D104" s="30">
        <v>45204.424363425926</v>
      </c>
      <c r="E104" s="31">
        <v>85302093.880800009</v>
      </c>
    </row>
    <row r="105" spans="2:5" x14ac:dyDescent="0.2">
      <c r="B105" s="29">
        <f t="shared" ref="B105:B111" si="8">ROW()-ROW($B$2)</f>
        <v>103</v>
      </c>
      <c r="C105" s="30" t="s">
        <v>98</v>
      </c>
      <c r="D105" s="30">
        <v>45204.509259259263</v>
      </c>
      <c r="E105" s="31">
        <v>86999853.880799979</v>
      </c>
    </row>
    <row r="106" spans="2:5" x14ac:dyDescent="0.2">
      <c r="B106" s="29">
        <f t="shared" si="8"/>
        <v>104</v>
      </c>
      <c r="C106" s="30" t="s">
        <v>98</v>
      </c>
      <c r="D106" s="30">
        <v>45205.388009259259</v>
      </c>
      <c r="E106" s="31">
        <v>87000933.880800009</v>
      </c>
    </row>
    <row r="107" spans="2:5" x14ac:dyDescent="0.2">
      <c r="B107" s="29">
        <f t="shared" si="8"/>
        <v>105</v>
      </c>
      <c r="C107" s="30" t="s">
        <v>98</v>
      </c>
      <c r="D107" s="30">
        <v>45205.388113425928</v>
      </c>
      <c r="E107" s="31">
        <v>87000933.880800009</v>
      </c>
    </row>
    <row r="108" spans="2:5" x14ac:dyDescent="0.2">
      <c r="B108" s="29">
        <f t="shared" si="8"/>
        <v>106</v>
      </c>
      <c r="C108" s="30" t="s">
        <v>98</v>
      </c>
      <c r="D108" s="30">
        <v>45205.388182870367</v>
      </c>
      <c r="E108" s="31">
        <v>87000933.880800009</v>
      </c>
    </row>
    <row r="109" spans="2:5" x14ac:dyDescent="0.2">
      <c r="B109" s="29">
        <f t="shared" si="8"/>
        <v>107</v>
      </c>
      <c r="C109" s="30" t="s">
        <v>98</v>
      </c>
      <c r="D109" s="30">
        <v>45257.529907407406</v>
      </c>
      <c r="E109" s="31">
        <v>91794474.353880003</v>
      </c>
    </row>
    <row r="110" spans="2:5" x14ac:dyDescent="0.2">
      <c r="B110" s="29">
        <f t="shared" si="8"/>
        <v>108</v>
      </c>
      <c r="C110" s="30" t="s">
        <v>98</v>
      </c>
      <c r="D110" s="30">
        <v>45257.544710648152</v>
      </c>
      <c r="E110" s="31">
        <v>91794474.353880003</v>
      </c>
    </row>
    <row r="111" spans="2:5" x14ac:dyDescent="0.2">
      <c r="B111" s="29">
        <f t="shared" si="8"/>
        <v>109</v>
      </c>
      <c r="C111" s="30" t="s">
        <v>98</v>
      </c>
      <c r="D111" s="30">
        <v>45257.545312499999</v>
      </c>
      <c r="E111" s="31">
        <v>87395634.353880003</v>
      </c>
    </row>
    <row r="112" spans="2:5" x14ac:dyDescent="0.2">
      <c r="B112" s="29">
        <f t="shared" ref="B112:B118" si="9">ROW()-ROW($B$2)</f>
        <v>110</v>
      </c>
      <c r="C112" s="30" t="s">
        <v>98</v>
      </c>
      <c r="D112" s="30">
        <v>45257.547951388886</v>
      </c>
      <c r="E112" s="31">
        <v>87000934.313879997</v>
      </c>
    </row>
    <row r="113" spans="2:5" x14ac:dyDescent="0.2">
      <c r="B113" s="29">
        <f t="shared" si="9"/>
        <v>111</v>
      </c>
      <c r="C113" s="30" t="s">
        <v>98</v>
      </c>
      <c r="D113" s="30">
        <v>45257.548032407409</v>
      </c>
      <c r="E113" s="31">
        <v>87000934.313879997</v>
      </c>
    </row>
    <row r="114" spans="2:5" x14ac:dyDescent="0.2">
      <c r="B114" s="29">
        <f t="shared" si="9"/>
        <v>112</v>
      </c>
      <c r="C114" s="30" t="s">
        <v>98</v>
      </c>
      <c r="D114" s="30">
        <v>45257.551249999997</v>
      </c>
      <c r="E114" s="31">
        <v>87000934.313879997</v>
      </c>
    </row>
    <row r="115" spans="2:5" x14ac:dyDescent="0.2">
      <c r="B115" s="29">
        <f t="shared" si="9"/>
        <v>113</v>
      </c>
      <c r="C115" s="30" t="s">
        <v>98</v>
      </c>
      <c r="D115" s="30">
        <v>45257.554652777777</v>
      </c>
      <c r="E115" s="31">
        <v>87000934.313879997</v>
      </c>
    </row>
    <row r="116" spans="2:5" x14ac:dyDescent="0.2">
      <c r="B116" s="29">
        <f t="shared" si="9"/>
        <v>114</v>
      </c>
      <c r="C116" s="30" t="s">
        <v>98</v>
      </c>
      <c r="D116" s="30">
        <v>45257.600706018522</v>
      </c>
      <c r="E116" s="31">
        <v>87000934.313879997</v>
      </c>
    </row>
    <row r="117" spans="2:5" x14ac:dyDescent="0.2">
      <c r="B117" s="29">
        <f t="shared" si="9"/>
        <v>115</v>
      </c>
      <c r="C117" s="30" t="s">
        <v>98</v>
      </c>
      <c r="D117" s="30">
        <v>45288.63962962963</v>
      </c>
      <c r="E117" s="31">
        <v>87000934.313879997</v>
      </c>
    </row>
    <row r="118" spans="2:5" x14ac:dyDescent="0.2">
      <c r="B118" s="29">
        <f t="shared" si="9"/>
        <v>116</v>
      </c>
      <c r="C118" s="30" t="s">
        <v>98</v>
      </c>
      <c r="D118" s="30">
        <v>45288.640601851854</v>
      </c>
      <c r="E118" s="31">
        <v>87000934.313880026</v>
      </c>
    </row>
    <row r="119" spans="2:5" x14ac:dyDescent="0.2">
      <c r="B119" s="29">
        <f t="shared" ref="B119:B128" si="10">ROW()-ROW($B$2)</f>
        <v>117</v>
      </c>
      <c r="C119" s="30" t="s">
        <v>98</v>
      </c>
      <c r="D119" s="30">
        <v>45288.646828703706</v>
      </c>
      <c r="E119" s="31">
        <v>87000934.313880026</v>
      </c>
    </row>
    <row r="120" spans="2:5" x14ac:dyDescent="0.2">
      <c r="B120" s="29">
        <f t="shared" si="10"/>
        <v>118</v>
      </c>
      <c r="C120" s="30" t="s">
        <v>98</v>
      </c>
      <c r="D120" s="30">
        <v>45288.654490740744</v>
      </c>
      <c r="E120" s="31">
        <v>104399999.61396004</v>
      </c>
    </row>
    <row r="121" spans="2:5" x14ac:dyDescent="0.2">
      <c r="B121" s="29">
        <f t="shared" si="10"/>
        <v>119</v>
      </c>
      <c r="C121" s="30" t="s">
        <v>98</v>
      </c>
      <c r="D121" s="30">
        <v>45288.656226851854</v>
      </c>
      <c r="E121" s="31">
        <v>104399999.61396004</v>
      </c>
    </row>
    <row r="122" spans="2:5" x14ac:dyDescent="0.2">
      <c r="B122" s="29">
        <f t="shared" si="10"/>
        <v>120</v>
      </c>
      <c r="C122" s="30" t="s">
        <v>98</v>
      </c>
      <c r="D122" s="30">
        <v>45288.659456018519</v>
      </c>
      <c r="E122" s="31">
        <v>104401120.60196003</v>
      </c>
    </row>
    <row r="123" spans="2:5" x14ac:dyDescent="0.2">
      <c r="B123" s="29">
        <f t="shared" si="10"/>
        <v>121</v>
      </c>
      <c r="C123" s="30" t="s">
        <v>98</v>
      </c>
      <c r="D123" s="30">
        <v>45288.739386574074</v>
      </c>
      <c r="E123" s="31">
        <v>76225747.01000002</v>
      </c>
    </row>
    <row r="124" spans="2:5" x14ac:dyDescent="0.2">
      <c r="B124" s="29">
        <f t="shared" si="10"/>
        <v>122</v>
      </c>
      <c r="C124" s="30" t="s">
        <v>98</v>
      </c>
      <c r="D124" s="30">
        <v>45288.744895833333</v>
      </c>
      <c r="E124" s="31">
        <v>76225747.01000002</v>
      </c>
    </row>
    <row r="125" spans="2:5" x14ac:dyDescent="0.2">
      <c r="B125" s="29">
        <f t="shared" si="10"/>
        <v>123</v>
      </c>
      <c r="C125" s="30" t="s">
        <v>98</v>
      </c>
      <c r="D125" s="30">
        <v>45288.748159722221</v>
      </c>
      <c r="E125" s="31">
        <v>76225747.01000002</v>
      </c>
    </row>
    <row r="126" spans="2:5" x14ac:dyDescent="0.2">
      <c r="B126" s="29">
        <f t="shared" si="10"/>
        <v>124</v>
      </c>
      <c r="C126" s="30" t="s">
        <v>98</v>
      </c>
      <c r="D126" s="30">
        <v>45288.748229166667</v>
      </c>
      <c r="E126" s="31">
        <v>76225747.01000002</v>
      </c>
    </row>
    <row r="127" spans="2:5" x14ac:dyDescent="0.2">
      <c r="B127" s="29">
        <f t="shared" si="10"/>
        <v>125</v>
      </c>
      <c r="C127" s="30" t="s">
        <v>98</v>
      </c>
      <c r="D127" s="30">
        <v>45288.748252314814</v>
      </c>
      <c r="E127" s="31">
        <v>76225747.01000002</v>
      </c>
    </row>
    <row r="128" spans="2:5" x14ac:dyDescent="0.2">
      <c r="B128" s="29">
        <f t="shared" si="10"/>
        <v>126</v>
      </c>
      <c r="C128" s="30" t="s">
        <v>98</v>
      </c>
      <c r="D128" s="30">
        <v>45288.748252314814</v>
      </c>
      <c r="E128" s="31">
        <v>76225747.01000002</v>
      </c>
    </row>
    <row r="129" spans="2:5" x14ac:dyDescent="0.2">
      <c r="B129" s="29">
        <f t="shared" ref="B129:B142" si="11">ROW()-ROW($B$2)</f>
        <v>127</v>
      </c>
      <c r="C129" s="30" t="s">
        <v>98</v>
      </c>
      <c r="D129" s="30">
        <v>45288.750277777777</v>
      </c>
      <c r="E129" s="31">
        <v>76225747.01000002</v>
      </c>
    </row>
    <row r="130" spans="2:5" x14ac:dyDescent="0.2">
      <c r="B130" s="29">
        <f t="shared" si="11"/>
        <v>128</v>
      </c>
      <c r="C130" s="30" t="s">
        <v>98</v>
      </c>
      <c r="D130" s="30">
        <v>45306.754120370373</v>
      </c>
      <c r="E130" s="31">
        <v>80037034.360500008</v>
      </c>
    </row>
    <row r="131" spans="2:5" x14ac:dyDescent="0.2">
      <c r="B131" s="29">
        <f t="shared" si="11"/>
        <v>129</v>
      </c>
      <c r="C131" s="30" t="s">
        <v>98</v>
      </c>
      <c r="D131" s="30">
        <v>45314.479837962965</v>
      </c>
      <c r="E131" s="31">
        <v>80037034.360500008</v>
      </c>
    </row>
    <row r="132" spans="2:5" x14ac:dyDescent="0.2">
      <c r="B132" s="29">
        <f t="shared" si="11"/>
        <v>130</v>
      </c>
      <c r="C132" s="30" t="s">
        <v>98</v>
      </c>
      <c r="D132" s="30">
        <v>45314.480069444442</v>
      </c>
      <c r="E132" s="31">
        <v>80037034.360500008</v>
      </c>
    </row>
    <row r="133" spans="2:5" x14ac:dyDescent="0.2">
      <c r="B133" s="29">
        <f t="shared" si="11"/>
        <v>131</v>
      </c>
      <c r="C133" s="30" t="s">
        <v>98</v>
      </c>
      <c r="D133" s="30">
        <v>45314.482800925929</v>
      </c>
      <c r="E133" s="31">
        <v>80037034.360500008</v>
      </c>
    </row>
    <row r="134" spans="2:5" x14ac:dyDescent="0.2">
      <c r="B134" s="29">
        <f t="shared" si="11"/>
        <v>132</v>
      </c>
      <c r="C134" s="30" t="s">
        <v>98</v>
      </c>
      <c r="D134" s="30">
        <v>45314.483344907407</v>
      </c>
      <c r="E134" s="31">
        <v>80037034.360500008</v>
      </c>
    </row>
    <row r="135" spans="2:5" x14ac:dyDescent="0.2">
      <c r="B135" s="29">
        <f t="shared" si="11"/>
        <v>133</v>
      </c>
      <c r="C135" s="30" t="s">
        <v>98</v>
      </c>
      <c r="D135" s="30">
        <v>45314.484351851854</v>
      </c>
      <c r="E135" s="31">
        <v>80037034.360500008</v>
      </c>
    </row>
    <row r="136" spans="2:5" x14ac:dyDescent="0.2">
      <c r="B136" s="29">
        <f t="shared" si="11"/>
        <v>134</v>
      </c>
      <c r="C136" s="30" t="s">
        <v>98</v>
      </c>
      <c r="D136" s="30">
        <v>45314.484444444446</v>
      </c>
      <c r="E136" s="31">
        <v>80037034.360500008</v>
      </c>
    </row>
    <row r="137" spans="2:5" x14ac:dyDescent="0.2">
      <c r="B137" s="29">
        <f t="shared" si="11"/>
        <v>135</v>
      </c>
      <c r="C137" s="30" t="s">
        <v>98</v>
      </c>
      <c r="D137" s="30">
        <v>45314.506342592591</v>
      </c>
      <c r="E137" s="31">
        <v>85969588.474717513</v>
      </c>
    </row>
    <row r="138" spans="2:5" x14ac:dyDescent="0.2">
      <c r="B138" s="29">
        <f t="shared" si="11"/>
        <v>136</v>
      </c>
      <c r="C138" s="30" t="s">
        <v>98</v>
      </c>
      <c r="D138" s="30">
        <v>45314.506724537037</v>
      </c>
      <c r="E138" s="31">
        <v>85969588.474717513</v>
      </c>
    </row>
    <row r="139" spans="2:5" x14ac:dyDescent="0.2">
      <c r="B139" s="29">
        <f t="shared" si="11"/>
        <v>137</v>
      </c>
      <c r="C139" s="30" t="s">
        <v>98</v>
      </c>
      <c r="D139" s="30">
        <v>45314.50675925926</v>
      </c>
      <c r="E139" s="31">
        <v>85969588.474717513</v>
      </c>
    </row>
    <row r="140" spans="2:5" x14ac:dyDescent="0.2">
      <c r="B140" s="29">
        <f t="shared" si="11"/>
        <v>138</v>
      </c>
      <c r="C140" s="30" t="s">
        <v>98</v>
      </c>
      <c r="D140" s="30">
        <v>45314.50675925926</v>
      </c>
      <c r="E140" s="31">
        <v>85969588.474717513</v>
      </c>
    </row>
    <row r="141" spans="2:5" x14ac:dyDescent="0.2">
      <c r="B141" s="29">
        <f t="shared" si="11"/>
        <v>139</v>
      </c>
      <c r="C141" s="30" t="s">
        <v>98</v>
      </c>
      <c r="D141" s="30">
        <v>45314.507800925923</v>
      </c>
      <c r="E141" s="31">
        <v>85969588.474717513</v>
      </c>
    </row>
    <row r="142" spans="2:5" x14ac:dyDescent="0.2">
      <c r="B142" s="29">
        <f t="shared" si="11"/>
        <v>140</v>
      </c>
      <c r="C142" s="30" t="s">
        <v>98</v>
      </c>
      <c r="D142" s="30">
        <v>45314.508229166669</v>
      </c>
      <c r="E142" s="31">
        <v>85969588.474717513</v>
      </c>
    </row>
    <row r="143" spans="2:5" x14ac:dyDescent="0.2">
      <c r="B143" s="29">
        <f t="shared" ref="B143:B157" si="12">ROW()-ROW($B$2)</f>
        <v>141</v>
      </c>
      <c r="C143" s="30" t="s">
        <v>98</v>
      </c>
      <c r="D143" s="30">
        <v>45317.387824074074</v>
      </c>
      <c r="E143" s="31">
        <v>86269588.474717513</v>
      </c>
    </row>
    <row r="144" spans="2:5" x14ac:dyDescent="0.2">
      <c r="B144" s="29">
        <f t="shared" si="12"/>
        <v>142</v>
      </c>
      <c r="C144" s="30" t="s">
        <v>98</v>
      </c>
      <c r="D144" s="30">
        <v>45317.390532407408</v>
      </c>
      <c r="E144" s="31">
        <v>86284588.474717498</v>
      </c>
    </row>
    <row r="145" spans="2:5" x14ac:dyDescent="0.2">
      <c r="B145" s="29">
        <f t="shared" si="12"/>
        <v>143</v>
      </c>
      <c r="C145" s="30" t="s">
        <v>98</v>
      </c>
      <c r="D145" s="30">
        <v>45317.399085648147</v>
      </c>
      <c r="E145" s="31">
        <v>86284588.474717498</v>
      </c>
    </row>
    <row r="146" spans="2:5" x14ac:dyDescent="0.2">
      <c r="B146" s="29">
        <f t="shared" si="12"/>
        <v>144</v>
      </c>
      <c r="C146" s="30" t="s">
        <v>98</v>
      </c>
      <c r="D146" s="30">
        <v>45317.417094907411</v>
      </c>
      <c r="E146" s="31">
        <v>86394838.474717528</v>
      </c>
    </row>
    <row r="147" spans="2:5" x14ac:dyDescent="0.2">
      <c r="B147" s="29">
        <f t="shared" si="12"/>
        <v>145</v>
      </c>
      <c r="C147" s="30" t="s">
        <v>98</v>
      </c>
      <c r="D147" s="30">
        <v>45317.41815972222</v>
      </c>
      <c r="E147" s="31">
        <v>86394838.474717528</v>
      </c>
    </row>
    <row r="148" spans="2:5" x14ac:dyDescent="0.2">
      <c r="B148" s="29">
        <f t="shared" si="12"/>
        <v>146</v>
      </c>
      <c r="C148" s="30" t="s">
        <v>98</v>
      </c>
      <c r="D148" s="30">
        <v>45317.418252314812</v>
      </c>
      <c r="E148" s="31">
        <v>86394838.474717528</v>
      </c>
    </row>
    <row r="149" spans="2:5" x14ac:dyDescent="0.2">
      <c r="B149" s="29">
        <f t="shared" si="12"/>
        <v>147</v>
      </c>
      <c r="C149" s="30" t="s">
        <v>98</v>
      </c>
      <c r="D149" s="30">
        <v>45317.418333333335</v>
      </c>
      <c r="E149" s="31">
        <v>86394838.474717528</v>
      </c>
    </row>
    <row r="150" spans="2:5" x14ac:dyDescent="0.2">
      <c r="B150" s="29">
        <f t="shared" si="12"/>
        <v>148</v>
      </c>
      <c r="C150" s="30" t="s">
        <v>98</v>
      </c>
      <c r="D150" s="30">
        <v>45317.41846064815</v>
      </c>
      <c r="E150" s="31">
        <v>86394838.474717528</v>
      </c>
    </row>
    <row r="151" spans="2:5" x14ac:dyDescent="0.2">
      <c r="B151" s="29">
        <f t="shared" si="12"/>
        <v>149</v>
      </c>
      <c r="C151" s="30" t="s">
        <v>98</v>
      </c>
      <c r="D151" s="30">
        <v>45317.457187499997</v>
      </c>
      <c r="E151" s="31">
        <v>86394838.474717528</v>
      </c>
    </row>
    <row r="152" spans="2:5" x14ac:dyDescent="0.2">
      <c r="B152" s="29">
        <f t="shared" si="12"/>
        <v>150</v>
      </c>
      <c r="C152" s="30" t="s">
        <v>98</v>
      </c>
      <c r="D152" s="30">
        <v>45317.459710648145</v>
      </c>
      <c r="E152" s="31">
        <v>86394838.474717528</v>
      </c>
    </row>
    <row r="153" spans="2:5" x14ac:dyDescent="0.2">
      <c r="B153" s="29">
        <f t="shared" si="12"/>
        <v>151</v>
      </c>
      <c r="C153" s="30" t="s">
        <v>98</v>
      </c>
      <c r="D153" s="30">
        <v>45317.459768518522</v>
      </c>
      <c r="E153" s="31">
        <v>86394838.474717528</v>
      </c>
    </row>
    <row r="154" spans="2:5" x14ac:dyDescent="0.2">
      <c r="B154" s="29">
        <f t="shared" si="12"/>
        <v>152</v>
      </c>
      <c r="C154" s="30" t="s">
        <v>98</v>
      </c>
      <c r="D154" s="30">
        <v>45317.460289351853</v>
      </c>
      <c r="E154" s="31">
        <v>86394838.474717528</v>
      </c>
    </row>
    <row r="155" spans="2:5" x14ac:dyDescent="0.2">
      <c r="B155" s="29">
        <f t="shared" si="12"/>
        <v>153</v>
      </c>
      <c r="C155" s="30" t="s">
        <v>98</v>
      </c>
      <c r="D155" s="30">
        <v>45317.460532407407</v>
      </c>
      <c r="E155" s="31">
        <v>86394838.474717528</v>
      </c>
    </row>
    <row r="156" spans="2:5" x14ac:dyDescent="0.2">
      <c r="B156" s="29">
        <f t="shared" si="12"/>
        <v>154</v>
      </c>
      <c r="C156" s="30" t="s">
        <v>98</v>
      </c>
      <c r="D156" s="30">
        <v>45317.460659722223</v>
      </c>
      <c r="E156" s="31">
        <v>86394838.474717528</v>
      </c>
    </row>
    <row r="157" spans="2:5" x14ac:dyDescent="0.2">
      <c r="B157" s="29">
        <f t="shared" si="12"/>
        <v>155</v>
      </c>
      <c r="C157" s="30" t="s">
        <v>98</v>
      </c>
      <c r="D157" s="30">
        <v>45317.460740740738</v>
      </c>
      <c r="E157" s="31">
        <v>86394838.474717528</v>
      </c>
    </row>
    <row r="158" spans="2:5" x14ac:dyDescent="0.2">
      <c r="B158" s="29">
        <f t="shared" ref="B158:B163" si="13">ROW()-ROW($B$2)</f>
        <v>156</v>
      </c>
      <c r="C158" s="30" t="s">
        <v>98</v>
      </c>
      <c r="D158" s="30">
        <v>45317.462060185186</v>
      </c>
      <c r="E158" s="31">
        <v>86394838.474717528</v>
      </c>
    </row>
    <row r="159" spans="2:5" x14ac:dyDescent="0.2">
      <c r="B159" s="29">
        <f t="shared" si="13"/>
        <v>157</v>
      </c>
      <c r="C159" s="30" t="s">
        <v>98</v>
      </c>
      <c r="D159" s="30">
        <v>45317.462141203701</v>
      </c>
      <c r="E159" s="31">
        <v>86394838.474717528</v>
      </c>
    </row>
    <row r="160" spans="2:5" x14ac:dyDescent="0.2">
      <c r="B160" s="29">
        <f t="shared" si="13"/>
        <v>158</v>
      </c>
      <c r="C160" s="30" t="s">
        <v>98</v>
      </c>
      <c r="D160" s="30">
        <v>45317.462199074071</v>
      </c>
      <c r="E160" s="31">
        <v>86394838.474717528</v>
      </c>
    </row>
    <row r="161" spans="2:5" x14ac:dyDescent="0.2">
      <c r="B161" s="29">
        <f t="shared" si="13"/>
        <v>159</v>
      </c>
      <c r="C161" s="30" t="s">
        <v>98</v>
      </c>
      <c r="D161" s="30">
        <v>45317.465590277781</v>
      </c>
      <c r="E161" s="31">
        <v>86394838.474717528</v>
      </c>
    </row>
    <row r="162" spans="2:5" x14ac:dyDescent="0.2">
      <c r="B162" s="29">
        <f t="shared" si="13"/>
        <v>160</v>
      </c>
      <c r="C162" s="30" t="s">
        <v>98</v>
      </c>
      <c r="D162" s="30">
        <v>45350.748206018521</v>
      </c>
      <c r="E162" s="31">
        <v>86394838.474717528</v>
      </c>
    </row>
    <row r="163" spans="2:5" x14ac:dyDescent="0.2">
      <c r="B163" s="29">
        <f t="shared" si="13"/>
        <v>161</v>
      </c>
      <c r="C163" s="30" t="s">
        <v>98</v>
      </c>
      <c r="D163" s="30">
        <v>45350.748622685183</v>
      </c>
      <c r="E163" s="31">
        <v>86394838.474717528</v>
      </c>
    </row>
    <row r="164" spans="2:5" x14ac:dyDescent="0.2">
      <c r="B164" s="29">
        <f t="shared" ref="B164:B170" si="14">ROW()-ROW($B$2)</f>
        <v>162</v>
      </c>
      <c r="C164" s="30" t="s">
        <v>98</v>
      </c>
      <c r="D164" s="30">
        <v>45352.632291666669</v>
      </c>
      <c r="E164" s="31">
        <v>86394838.474717528</v>
      </c>
    </row>
    <row r="165" spans="2:5" x14ac:dyDescent="0.2">
      <c r="B165" s="29">
        <f t="shared" si="14"/>
        <v>163</v>
      </c>
      <c r="C165" s="30" t="s">
        <v>98</v>
      </c>
      <c r="D165" s="30">
        <v>45371.481574074074</v>
      </c>
      <c r="E165" s="31">
        <v>86394838.474717528</v>
      </c>
    </row>
    <row r="166" spans="2:5" x14ac:dyDescent="0.2">
      <c r="B166" s="29">
        <f t="shared" si="14"/>
        <v>164</v>
      </c>
      <c r="C166" s="30" t="s">
        <v>98</v>
      </c>
      <c r="D166" s="30">
        <v>45376.403356481482</v>
      </c>
      <c r="E166" s="31">
        <v>86394838.474717528</v>
      </c>
    </row>
    <row r="167" spans="2:5" x14ac:dyDescent="0.2">
      <c r="B167" s="29">
        <f t="shared" si="14"/>
        <v>165</v>
      </c>
      <c r="C167" s="30" t="s">
        <v>98</v>
      </c>
      <c r="D167" s="30">
        <v>45376.549305555556</v>
      </c>
      <c r="E167" s="31">
        <v>86394838.474717528</v>
      </c>
    </row>
    <row r="168" spans="2:5" x14ac:dyDescent="0.2">
      <c r="B168" s="29">
        <f t="shared" si="14"/>
        <v>166</v>
      </c>
      <c r="C168" s="30" t="s">
        <v>98</v>
      </c>
      <c r="D168" s="30">
        <v>45376.549513888887</v>
      </c>
      <c r="E168" s="31">
        <v>86394838.474717528</v>
      </c>
    </row>
    <row r="169" spans="2:5" x14ac:dyDescent="0.2">
      <c r="B169" s="29">
        <f t="shared" si="14"/>
        <v>167</v>
      </c>
      <c r="C169" s="30" t="s">
        <v>98</v>
      </c>
      <c r="D169" s="30">
        <v>45376.563148148147</v>
      </c>
      <c r="E169" s="31">
        <v>86394838.474717528</v>
      </c>
    </row>
    <row r="170" spans="2:5" x14ac:dyDescent="0.2">
      <c r="B170" s="29">
        <f t="shared" si="14"/>
        <v>168</v>
      </c>
      <c r="C170" s="30" t="s">
        <v>98</v>
      </c>
      <c r="D170" s="30">
        <v>45376.575474537036</v>
      </c>
      <c r="E170" s="31">
        <v>86394838.474717528</v>
      </c>
    </row>
    <row r="171" spans="2:5" x14ac:dyDescent="0.2">
      <c r="B171" s="29">
        <f t="shared" ref="B171:B177" si="15">ROW()-ROW($B$2)</f>
        <v>169</v>
      </c>
      <c r="C171" s="30" t="s">
        <v>98</v>
      </c>
      <c r="D171" s="30">
        <v>45376.667083333334</v>
      </c>
      <c r="E171" s="31">
        <v>86394838.474717528</v>
      </c>
    </row>
    <row r="172" spans="2:5" x14ac:dyDescent="0.2">
      <c r="B172" s="29">
        <f t="shared" si="15"/>
        <v>170</v>
      </c>
      <c r="C172" s="30" t="s">
        <v>98</v>
      </c>
      <c r="D172" s="30">
        <v>45376.685104166667</v>
      </c>
      <c r="E172" s="31">
        <v>86394838.474717528</v>
      </c>
    </row>
    <row r="173" spans="2:5" x14ac:dyDescent="0.2">
      <c r="B173" s="29">
        <f t="shared" si="15"/>
        <v>171</v>
      </c>
      <c r="C173" s="30" t="s">
        <v>98</v>
      </c>
      <c r="D173" s="30">
        <v>45376.691817129627</v>
      </c>
      <c r="E173" s="31">
        <v>86394838.474717528</v>
      </c>
    </row>
    <row r="174" spans="2:5" x14ac:dyDescent="0.2">
      <c r="B174" s="29">
        <f t="shared" si="15"/>
        <v>172</v>
      </c>
      <c r="C174" s="30" t="s">
        <v>98</v>
      </c>
      <c r="D174" s="30">
        <v>45376.692430555559</v>
      </c>
      <c r="E174" s="31">
        <v>86394838.474717528</v>
      </c>
    </row>
    <row r="175" spans="2:5" x14ac:dyDescent="0.2">
      <c r="B175" s="29">
        <f t="shared" si="15"/>
        <v>173</v>
      </c>
      <c r="C175" s="30" t="s">
        <v>98</v>
      </c>
      <c r="D175" s="30">
        <v>45376.785312499997</v>
      </c>
      <c r="E175" s="31">
        <v>86394838.474717528</v>
      </c>
    </row>
    <row r="176" spans="2:5" x14ac:dyDescent="0.2">
      <c r="B176" s="29">
        <f t="shared" si="15"/>
        <v>174</v>
      </c>
      <c r="C176" s="30" t="s">
        <v>97</v>
      </c>
      <c r="D176" s="30">
        <v>45385.577604166669</v>
      </c>
      <c r="E176" s="31">
        <v>86394838.474717528</v>
      </c>
    </row>
    <row r="177" spans="2:5" x14ac:dyDescent="0.2">
      <c r="B177" s="29">
        <f t="shared" si="15"/>
        <v>175</v>
      </c>
      <c r="C177" s="30" t="s">
        <v>97</v>
      </c>
      <c r="D177" s="30">
        <v>45385.694907407407</v>
      </c>
      <c r="E177" s="31">
        <v>86394838.474717528</v>
      </c>
    </row>
    <row r="178" spans="2:5" x14ac:dyDescent="0.2">
      <c r="B178" s="29">
        <f t="shared" ref="B178:B186" si="16">ROW()-ROW($B$2)</f>
        <v>176</v>
      </c>
      <c r="C178" s="30" t="s">
        <v>98</v>
      </c>
      <c r="D178" s="30">
        <v>45407.530833333331</v>
      </c>
      <c r="E178" s="31">
        <v>86394838.474717528</v>
      </c>
    </row>
    <row r="179" spans="2:5" x14ac:dyDescent="0.2">
      <c r="B179" s="29">
        <f t="shared" si="16"/>
        <v>177</v>
      </c>
      <c r="C179" s="30" t="s">
        <v>97</v>
      </c>
      <c r="D179" s="30">
        <v>45408.634918981479</v>
      </c>
      <c r="E179" s="31">
        <v>86394838.474717528</v>
      </c>
    </row>
    <row r="180" spans="2:5" x14ac:dyDescent="0.2">
      <c r="B180" s="29">
        <f t="shared" si="16"/>
        <v>178</v>
      </c>
      <c r="C180" s="30" t="s">
        <v>97</v>
      </c>
      <c r="D180" s="30">
        <v>45408.765659722223</v>
      </c>
      <c r="E180" s="31">
        <v>86394838.474717528</v>
      </c>
    </row>
    <row r="181" spans="2:5" x14ac:dyDescent="0.2">
      <c r="B181" s="29">
        <f t="shared" si="16"/>
        <v>179</v>
      </c>
      <c r="C181" s="30" t="s">
        <v>99</v>
      </c>
      <c r="D181" s="30">
        <v>45409.574629629627</v>
      </c>
      <c r="E181" s="31">
        <v>86394838.474717528</v>
      </c>
    </row>
    <row r="182" spans="2:5" x14ac:dyDescent="0.2">
      <c r="B182" s="29">
        <f t="shared" si="16"/>
        <v>180</v>
      </c>
      <c r="C182" s="30" t="s">
        <v>99</v>
      </c>
      <c r="D182" s="30">
        <v>45418.546516203707</v>
      </c>
      <c r="E182" s="31">
        <v>86394838.474717528</v>
      </c>
    </row>
    <row r="183" spans="2:5" x14ac:dyDescent="0.2">
      <c r="B183" s="29">
        <f t="shared" si="16"/>
        <v>181</v>
      </c>
      <c r="C183" s="30" t="s">
        <v>99</v>
      </c>
      <c r="D183" s="30">
        <v>45425.552835648145</v>
      </c>
      <c r="E183" s="31">
        <v>86394838.474717528</v>
      </c>
    </row>
    <row r="184" spans="2:5" x14ac:dyDescent="0.2">
      <c r="B184" s="29">
        <f t="shared" si="16"/>
        <v>182</v>
      </c>
      <c r="C184" s="30" t="s">
        <v>99</v>
      </c>
      <c r="D184" s="30">
        <v>45425.552847222221</v>
      </c>
      <c r="E184" s="31">
        <v>86394838.474717528</v>
      </c>
    </row>
    <row r="185" spans="2:5" x14ac:dyDescent="0.2">
      <c r="B185" s="29">
        <f t="shared" si="16"/>
        <v>183</v>
      </c>
      <c r="C185" s="30" t="s">
        <v>99</v>
      </c>
      <c r="D185" s="30">
        <v>45425.552847222221</v>
      </c>
      <c r="E185" s="31">
        <v>86394838.474717528</v>
      </c>
    </row>
    <row r="186" spans="2:5" x14ac:dyDescent="0.2">
      <c r="B186" s="29">
        <f t="shared" si="16"/>
        <v>184</v>
      </c>
      <c r="C186" s="30" t="s">
        <v>99</v>
      </c>
      <c r="D186" s="30">
        <v>45425.552858796298</v>
      </c>
      <c r="E186" s="31">
        <v>86394838.474717528</v>
      </c>
    </row>
    <row r="187" spans="2:5" x14ac:dyDescent="0.2">
      <c r="B187" s="29">
        <f t="shared" ref="B187:B204" si="17">ROW()-ROW($B$2)</f>
        <v>185</v>
      </c>
      <c r="C187" s="30" t="s">
        <v>100</v>
      </c>
      <c r="D187" s="30">
        <v>45427.722870370373</v>
      </c>
      <c r="E187" s="31">
        <v>86394838.474717528</v>
      </c>
    </row>
    <row r="188" spans="2:5" x14ac:dyDescent="0.2">
      <c r="B188" s="29">
        <f t="shared" si="17"/>
        <v>186</v>
      </c>
      <c r="C188" s="30" t="s">
        <v>98</v>
      </c>
      <c r="D188" s="30">
        <v>45463.483078703706</v>
      </c>
      <c r="E188" s="31">
        <v>86394838.474717528</v>
      </c>
    </row>
    <row r="189" spans="2:5" x14ac:dyDescent="0.2">
      <c r="B189" s="29">
        <f t="shared" si="17"/>
        <v>187</v>
      </c>
      <c r="C189" s="30" t="s">
        <v>98</v>
      </c>
      <c r="D189" s="30">
        <v>45463.554780092592</v>
      </c>
      <c r="E189" s="31">
        <v>86324141.134717509</v>
      </c>
    </row>
    <row r="190" spans="2:5" x14ac:dyDescent="0.2">
      <c r="B190" s="29">
        <f t="shared" si="17"/>
        <v>188</v>
      </c>
      <c r="C190" s="30" t="s">
        <v>98</v>
      </c>
      <c r="D190" s="30">
        <v>45463.61074074074</v>
      </c>
      <c r="E190" s="31">
        <v>80351398.409999996</v>
      </c>
    </row>
    <row r="191" spans="2:5" x14ac:dyDescent="0.2">
      <c r="B191" s="29">
        <f t="shared" si="17"/>
        <v>189</v>
      </c>
      <c r="C191" s="30" t="s">
        <v>98</v>
      </c>
      <c r="D191" s="30">
        <v>45463.611620370371</v>
      </c>
      <c r="E191" s="31">
        <v>80154388.409999996</v>
      </c>
    </row>
    <row r="192" spans="2:5" x14ac:dyDescent="0.2">
      <c r="B192" s="29">
        <f t="shared" si="17"/>
        <v>190</v>
      </c>
      <c r="C192" s="30" t="s">
        <v>98</v>
      </c>
      <c r="D192" s="30">
        <v>45463.612372685187</v>
      </c>
      <c r="E192" s="31">
        <v>83792017.000000015</v>
      </c>
    </row>
    <row r="193" spans="2:5" x14ac:dyDescent="0.2">
      <c r="B193" s="29">
        <f t="shared" si="17"/>
        <v>191</v>
      </c>
      <c r="C193" s="30" t="s">
        <v>98</v>
      </c>
      <c r="D193" s="30">
        <v>45463.615127314813</v>
      </c>
      <c r="E193" s="31">
        <v>83792017.000000015</v>
      </c>
    </row>
    <row r="194" spans="2:5" x14ac:dyDescent="0.2">
      <c r="B194" s="29">
        <f t="shared" si="17"/>
        <v>192</v>
      </c>
      <c r="C194" s="30" t="s">
        <v>98</v>
      </c>
      <c r="D194" s="30">
        <v>45463.617731481485</v>
      </c>
      <c r="E194" s="31">
        <v>83792017.000000015</v>
      </c>
    </row>
    <row r="195" spans="2:5" x14ac:dyDescent="0.2">
      <c r="B195" s="29">
        <f t="shared" si="17"/>
        <v>193</v>
      </c>
      <c r="C195" s="30" t="s">
        <v>98</v>
      </c>
      <c r="D195" s="30">
        <v>45463.623043981483</v>
      </c>
      <c r="E195" s="31">
        <v>83792017.000000015</v>
      </c>
    </row>
    <row r="196" spans="2:5" x14ac:dyDescent="0.2">
      <c r="B196" s="29">
        <f t="shared" si="17"/>
        <v>194</v>
      </c>
      <c r="C196" s="30" t="s">
        <v>98</v>
      </c>
      <c r="D196" s="30">
        <v>45463.623356481483</v>
      </c>
      <c r="E196" s="31">
        <v>83792017.000000015</v>
      </c>
    </row>
    <row r="197" spans="2:5" x14ac:dyDescent="0.2">
      <c r="B197" s="29">
        <f t="shared" si="17"/>
        <v>195</v>
      </c>
      <c r="C197" s="30" t="s">
        <v>98</v>
      </c>
      <c r="D197" s="30">
        <v>45463.623726851853</v>
      </c>
      <c r="E197" s="31">
        <v>83792017.000000015</v>
      </c>
    </row>
    <row r="198" spans="2:5" x14ac:dyDescent="0.2">
      <c r="B198" s="29">
        <f t="shared" si="17"/>
        <v>196</v>
      </c>
      <c r="C198" s="30" t="s">
        <v>98</v>
      </c>
      <c r="D198" s="30">
        <v>45463.623912037037</v>
      </c>
      <c r="E198" s="31">
        <v>83792017.000000015</v>
      </c>
    </row>
    <row r="199" spans="2:5" x14ac:dyDescent="0.2">
      <c r="B199" s="29">
        <f t="shared" si="17"/>
        <v>197</v>
      </c>
      <c r="C199" s="30" t="s">
        <v>98</v>
      </c>
      <c r="D199" s="30">
        <v>45463.624722222223</v>
      </c>
      <c r="E199" s="31">
        <v>83792017.000000015</v>
      </c>
    </row>
    <row r="200" spans="2:5" x14ac:dyDescent="0.2">
      <c r="B200" s="29">
        <f t="shared" si="17"/>
        <v>198</v>
      </c>
      <c r="C200" s="30" t="s">
        <v>98</v>
      </c>
      <c r="D200" s="30">
        <v>45463.631712962961</v>
      </c>
      <c r="E200" s="31">
        <v>83792017.000000015</v>
      </c>
    </row>
    <row r="201" spans="2:5" x14ac:dyDescent="0.2">
      <c r="B201" s="29">
        <f t="shared" si="17"/>
        <v>199</v>
      </c>
      <c r="C201" s="30" t="s">
        <v>98</v>
      </c>
      <c r="D201" s="30">
        <v>45463.632141203707</v>
      </c>
      <c r="E201" s="31">
        <v>83792017.000000015</v>
      </c>
    </row>
    <row r="202" spans="2:5" x14ac:dyDescent="0.2">
      <c r="B202" s="29">
        <f t="shared" si="17"/>
        <v>200</v>
      </c>
      <c r="C202" s="30" t="s">
        <v>98</v>
      </c>
      <c r="D202" s="30">
        <v>45463.632152777776</v>
      </c>
      <c r="E202" s="31">
        <v>83792017.000000015</v>
      </c>
    </row>
    <row r="203" spans="2:5" x14ac:dyDescent="0.2">
      <c r="B203" s="29">
        <f t="shared" si="17"/>
        <v>201</v>
      </c>
      <c r="C203" s="30" t="s">
        <v>98</v>
      </c>
      <c r="D203" s="30">
        <v>45463.633298611108</v>
      </c>
      <c r="E203" s="31">
        <v>83792017.000000015</v>
      </c>
    </row>
    <row r="204" spans="2:5" x14ac:dyDescent="0.2">
      <c r="B204" s="29">
        <f t="shared" si="17"/>
        <v>202</v>
      </c>
      <c r="C204" s="30" t="s">
        <v>98</v>
      </c>
      <c r="D204" s="30">
        <v>45463.633773148147</v>
      </c>
      <c r="E204" s="31">
        <v>83792017.000000015</v>
      </c>
    </row>
    <row r="205" spans="2:5" x14ac:dyDescent="0.2">
      <c r="B205" s="29">
        <f t="shared" ref="B205:B216" si="18">ROW()-ROW($B$2)</f>
        <v>203</v>
      </c>
      <c r="C205" s="30" t="s">
        <v>98</v>
      </c>
      <c r="D205" s="30">
        <v>45463.645243055558</v>
      </c>
      <c r="E205" s="31">
        <v>83792017</v>
      </c>
    </row>
    <row r="206" spans="2:5" x14ac:dyDescent="0.2">
      <c r="B206" s="29">
        <f t="shared" si="18"/>
        <v>204</v>
      </c>
      <c r="C206" s="30" t="s">
        <v>98</v>
      </c>
      <c r="D206" s="30">
        <v>45463.645740740743</v>
      </c>
      <c r="E206" s="31">
        <v>83792017</v>
      </c>
    </row>
    <row r="207" spans="2:5" x14ac:dyDescent="0.2">
      <c r="B207" s="29">
        <f t="shared" si="18"/>
        <v>205</v>
      </c>
      <c r="C207" s="30" t="s">
        <v>98</v>
      </c>
      <c r="D207" s="30">
        <v>45463.647627314815</v>
      </c>
      <c r="E207" s="31">
        <v>83792017</v>
      </c>
    </row>
    <row r="208" spans="2:5" x14ac:dyDescent="0.2">
      <c r="B208" s="29">
        <f t="shared" si="18"/>
        <v>206</v>
      </c>
      <c r="C208" s="30" t="s">
        <v>98</v>
      </c>
      <c r="D208" s="30">
        <v>45463.647673611114</v>
      </c>
      <c r="E208" s="31">
        <v>83792017</v>
      </c>
    </row>
    <row r="209" spans="2:5" x14ac:dyDescent="0.2">
      <c r="B209" s="29">
        <f t="shared" si="18"/>
        <v>207</v>
      </c>
      <c r="C209" s="30" t="s">
        <v>98</v>
      </c>
      <c r="D209" s="30">
        <v>45463.648784722223</v>
      </c>
      <c r="E209" s="31">
        <v>83792017</v>
      </c>
    </row>
    <row r="210" spans="2:5" x14ac:dyDescent="0.2">
      <c r="B210" s="29">
        <f t="shared" si="18"/>
        <v>208</v>
      </c>
      <c r="C210" s="30" t="s">
        <v>98</v>
      </c>
      <c r="D210" s="30">
        <v>45463.650381944448</v>
      </c>
      <c r="E210" s="31">
        <v>83792017</v>
      </c>
    </row>
    <row r="211" spans="2:5" x14ac:dyDescent="0.2">
      <c r="B211" s="29">
        <f t="shared" si="18"/>
        <v>209</v>
      </c>
      <c r="C211" s="30" t="s">
        <v>98</v>
      </c>
      <c r="D211" s="30">
        <v>45463.65053240741</v>
      </c>
      <c r="E211" s="31">
        <v>83792017</v>
      </c>
    </row>
    <row r="212" spans="2:5" x14ac:dyDescent="0.2">
      <c r="B212" s="29">
        <f t="shared" si="18"/>
        <v>210</v>
      </c>
      <c r="C212" s="30" t="s">
        <v>98</v>
      </c>
      <c r="D212" s="30">
        <v>45463.652546296296</v>
      </c>
      <c r="E212" s="31">
        <v>83792017</v>
      </c>
    </row>
    <row r="213" spans="2:5" x14ac:dyDescent="0.2">
      <c r="B213" s="29">
        <f t="shared" si="18"/>
        <v>211</v>
      </c>
      <c r="C213" s="30" t="s">
        <v>98</v>
      </c>
      <c r="D213" s="30">
        <v>45463.653182870374</v>
      </c>
      <c r="E213" s="31">
        <v>83792017</v>
      </c>
    </row>
    <row r="214" spans="2:5" x14ac:dyDescent="0.2">
      <c r="B214" s="29">
        <f t="shared" si="18"/>
        <v>212</v>
      </c>
      <c r="C214" s="30" t="s">
        <v>98</v>
      </c>
      <c r="D214" s="30">
        <v>45463.653935185182</v>
      </c>
      <c r="E214" s="31">
        <v>83792017</v>
      </c>
    </row>
    <row r="215" spans="2:5" x14ac:dyDescent="0.2">
      <c r="B215" s="29">
        <f t="shared" si="18"/>
        <v>213</v>
      </c>
      <c r="C215" s="30" t="s">
        <v>98</v>
      </c>
      <c r="D215" s="30">
        <v>45463.654386574075</v>
      </c>
      <c r="E215" s="31">
        <v>83792017</v>
      </c>
    </row>
    <row r="216" spans="2:5" x14ac:dyDescent="0.2">
      <c r="B216" s="29">
        <f t="shared" si="18"/>
        <v>214</v>
      </c>
      <c r="C216" s="30" t="s">
        <v>98</v>
      </c>
      <c r="D216" s="30">
        <v>45463.654664351852</v>
      </c>
      <c r="E216" s="31">
        <v>83792017</v>
      </c>
    </row>
    <row r="217" spans="2:5" x14ac:dyDescent="0.2">
      <c r="B217" s="29">
        <f t="shared" ref="B217:B226" si="19">ROW()-ROW($B$2)</f>
        <v>215</v>
      </c>
      <c r="C217" s="30" t="s">
        <v>101</v>
      </c>
      <c r="D217" s="30">
        <v>45464.528148148151</v>
      </c>
      <c r="E217" s="31">
        <v>83792017</v>
      </c>
    </row>
    <row r="218" spans="2:5" x14ac:dyDescent="0.2">
      <c r="B218" s="29">
        <f t="shared" si="19"/>
        <v>216</v>
      </c>
      <c r="C218" s="30" t="s">
        <v>101</v>
      </c>
      <c r="D218" s="30">
        <v>45464.537476851852</v>
      </c>
      <c r="E218" s="31">
        <v>84244024</v>
      </c>
    </row>
    <row r="219" spans="2:5" x14ac:dyDescent="0.2">
      <c r="B219" s="29">
        <f t="shared" si="19"/>
        <v>217</v>
      </c>
      <c r="C219" s="30" t="s">
        <v>101</v>
      </c>
      <c r="D219" s="30">
        <v>45464.538310185184</v>
      </c>
      <c r="E219" s="31">
        <v>84244024</v>
      </c>
    </row>
    <row r="220" spans="2:5" x14ac:dyDescent="0.2">
      <c r="B220" s="29">
        <f t="shared" si="19"/>
        <v>218</v>
      </c>
      <c r="C220" s="30" t="s">
        <v>98</v>
      </c>
      <c r="D220" s="30">
        <v>45464.633680555555</v>
      </c>
      <c r="E220" s="31">
        <v>79169976.409999996</v>
      </c>
    </row>
    <row r="221" spans="2:5" x14ac:dyDescent="0.2">
      <c r="B221" s="29">
        <f t="shared" si="19"/>
        <v>219</v>
      </c>
      <c r="C221" s="30" t="s">
        <v>98</v>
      </c>
      <c r="D221" s="30">
        <v>45464.633842592593</v>
      </c>
      <c r="E221" s="31">
        <v>83792017.000000015</v>
      </c>
    </row>
    <row r="222" spans="2:5" x14ac:dyDescent="0.2">
      <c r="B222" s="29">
        <f t="shared" si="19"/>
        <v>220</v>
      </c>
      <c r="C222" s="30" t="s">
        <v>98</v>
      </c>
      <c r="D222" s="30">
        <v>45464.633877314816</v>
      </c>
      <c r="E222" s="31">
        <v>83792017.000000015</v>
      </c>
    </row>
    <row r="223" spans="2:5" x14ac:dyDescent="0.2">
      <c r="B223" s="29">
        <f t="shared" si="19"/>
        <v>221</v>
      </c>
      <c r="C223" s="30" t="s">
        <v>98</v>
      </c>
      <c r="D223" s="30">
        <v>45464.634594907409</v>
      </c>
      <c r="E223" s="31">
        <v>83792017.000000015</v>
      </c>
    </row>
    <row r="224" spans="2:5" x14ac:dyDescent="0.2">
      <c r="B224" s="29">
        <f t="shared" si="19"/>
        <v>222</v>
      </c>
      <c r="C224" s="30" t="s">
        <v>98</v>
      </c>
      <c r="D224" s="30">
        <v>45464.634745370371</v>
      </c>
      <c r="E224" s="31">
        <v>83792017.000000015</v>
      </c>
    </row>
    <row r="225" spans="2:5" x14ac:dyDescent="0.2">
      <c r="B225" s="29">
        <f t="shared" si="19"/>
        <v>223</v>
      </c>
      <c r="C225" s="30" t="s">
        <v>98</v>
      </c>
      <c r="D225" s="30">
        <v>45464.635729166665</v>
      </c>
      <c r="E225" s="31">
        <v>83792017.000000015</v>
      </c>
    </row>
    <row r="226" spans="2:5" x14ac:dyDescent="0.2">
      <c r="B226" s="29">
        <f t="shared" si="19"/>
        <v>224</v>
      </c>
      <c r="C226" s="30" t="s">
        <v>98</v>
      </c>
      <c r="D226" s="30">
        <v>45464.63622685185</v>
      </c>
      <c r="E226" s="31">
        <v>83792017.000000015</v>
      </c>
    </row>
    <row r="227" spans="2:5" x14ac:dyDescent="0.2">
      <c r="B227" s="29">
        <f t="shared" ref="B227:B233" si="20">ROW()-ROW($B$2)</f>
        <v>225</v>
      </c>
      <c r="C227" s="30" t="s">
        <v>98</v>
      </c>
      <c r="D227" s="30">
        <v>45464.64130787037</v>
      </c>
      <c r="E227" s="31">
        <v>83792017.000000015</v>
      </c>
    </row>
    <row r="228" spans="2:5" x14ac:dyDescent="0.2">
      <c r="B228" s="29">
        <f t="shared" si="20"/>
        <v>226</v>
      </c>
      <c r="C228" s="30" t="s">
        <v>98</v>
      </c>
      <c r="D228" s="30">
        <v>45464.681631944448</v>
      </c>
      <c r="E228" s="31">
        <v>83792017</v>
      </c>
    </row>
    <row r="229" spans="2:5" x14ac:dyDescent="0.2">
      <c r="B229" s="29">
        <f t="shared" si="20"/>
        <v>227</v>
      </c>
      <c r="C229" s="30" t="s">
        <v>98</v>
      </c>
      <c r="D229" s="30">
        <v>45464.683576388888</v>
      </c>
      <c r="E229" s="31">
        <v>83792017</v>
      </c>
    </row>
    <row r="230" spans="2:5" x14ac:dyDescent="0.2">
      <c r="B230" s="29">
        <f t="shared" si="20"/>
        <v>228</v>
      </c>
      <c r="C230" s="30" t="s">
        <v>98</v>
      </c>
      <c r="D230" s="30">
        <v>45464.684999999998</v>
      </c>
      <c r="E230" s="31">
        <v>83792017</v>
      </c>
    </row>
    <row r="231" spans="2:5" x14ac:dyDescent="0.2">
      <c r="B231" s="29">
        <f t="shared" si="20"/>
        <v>229</v>
      </c>
      <c r="C231" s="30" t="s">
        <v>97</v>
      </c>
      <c r="D231" s="30">
        <v>45483.407002314816</v>
      </c>
      <c r="E231" s="31">
        <v>83792017</v>
      </c>
    </row>
    <row r="232" spans="2:5" x14ac:dyDescent="0.2">
      <c r="B232" s="29">
        <f t="shared" si="20"/>
        <v>230</v>
      </c>
      <c r="C232" s="30" t="s">
        <v>101</v>
      </c>
      <c r="D232" s="30">
        <v>45483.461736111109</v>
      </c>
      <c r="E232" s="31">
        <v>83792017</v>
      </c>
    </row>
    <row r="233" spans="2:5" x14ac:dyDescent="0.2">
      <c r="B233" s="29">
        <f t="shared" si="20"/>
        <v>231</v>
      </c>
      <c r="C233" s="30" t="s">
        <v>101</v>
      </c>
      <c r="D233" s="30">
        <v>45489.666689814818</v>
      </c>
      <c r="E233" s="31">
        <v>84705200.799999997</v>
      </c>
    </row>
    <row r="234" spans="2:5" x14ac:dyDescent="0.2">
      <c r="B234" s="29">
        <f t="shared" ref="B234:B240" si="21">ROW()-ROW($B$2)</f>
        <v>232</v>
      </c>
      <c r="C234" s="30" t="s">
        <v>101</v>
      </c>
      <c r="D234" s="30">
        <v>45489.716817129629</v>
      </c>
      <c r="E234" s="31">
        <v>86413278.5</v>
      </c>
    </row>
    <row r="235" spans="2:5" x14ac:dyDescent="0.2">
      <c r="B235" s="29">
        <f t="shared" si="21"/>
        <v>233</v>
      </c>
      <c r="C235" s="30" t="s">
        <v>101</v>
      </c>
      <c r="D235" s="30">
        <v>45489.724895833337</v>
      </c>
      <c r="E235" s="31">
        <v>86413278.5</v>
      </c>
    </row>
    <row r="236" spans="2:5" x14ac:dyDescent="0.2">
      <c r="B236" s="29">
        <f t="shared" si="21"/>
        <v>234</v>
      </c>
      <c r="C236" s="30" t="s">
        <v>97</v>
      </c>
      <c r="D236" s="30">
        <v>45489.728055555555</v>
      </c>
      <c r="E236" s="31">
        <v>86802738.5</v>
      </c>
    </row>
    <row r="237" spans="2:5" x14ac:dyDescent="0.2">
      <c r="B237" s="29">
        <f t="shared" si="21"/>
        <v>235</v>
      </c>
      <c r="C237" s="30" t="s">
        <v>97</v>
      </c>
      <c r="D237" s="30">
        <v>45489.729085648149</v>
      </c>
      <c r="E237" s="31">
        <v>86802738.5</v>
      </c>
    </row>
    <row r="238" spans="2:5" x14ac:dyDescent="0.2">
      <c r="B238" s="29">
        <f t="shared" si="21"/>
        <v>236</v>
      </c>
      <c r="C238" s="30" t="s">
        <v>97</v>
      </c>
      <c r="D238" s="30">
        <v>45489.731712962966</v>
      </c>
      <c r="E238" s="31">
        <v>86921538.5</v>
      </c>
    </row>
    <row r="239" spans="2:5" x14ac:dyDescent="0.2">
      <c r="B239" s="29">
        <f t="shared" si="21"/>
        <v>237</v>
      </c>
      <c r="C239" s="30" t="s">
        <v>97</v>
      </c>
      <c r="D239" s="30">
        <v>45489.731886574074</v>
      </c>
      <c r="E239" s="31">
        <v>86921538.5</v>
      </c>
    </row>
    <row r="240" spans="2:5" x14ac:dyDescent="0.2">
      <c r="B240" s="29">
        <f t="shared" si="21"/>
        <v>238</v>
      </c>
      <c r="C240" s="30" t="s">
        <v>97</v>
      </c>
      <c r="D240" s="30">
        <v>45489.731921296298</v>
      </c>
      <c r="E240" s="31">
        <v>86921538.5</v>
      </c>
    </row>
    <row r="241" spans="2:5" x14ac:dyDescent="0.2">
      <c r="B241" s="29">
        <f t="shared" ref="B241:B251" si="22">ROW()-ROW($B$2)</f>
        <v>239</v>
      </c>
      <c r="C241" s="30" t="s">
        <v>101</v>
      </c>
      <c r="D241" s="30">
        <v>45489.733368055553</v>
      </c>
      <c r="E241" s="31">
        <v>86921538.5</v>
      </c>
    </row>
    <row r="242" spans="2:5" x14ac:dyDescent="0.2">
      <c r="B242" s="29">
        <f t="shared" si="22"/>
        <v>240</v>
      </c>
      <c r="C242" s="30" t="s">
        <v>101</v>
      </c>
      <c r="D242" s="30">
        <v>45489.739212962966</v>
      </c>
      <c r="E242" s="31">
        <v>86921538.5</v>
      </c>
    </row>
    <row r="243" spans="2:5" x14ac:dyDescent="0.2">
      <c r="B243" s="29">
        <f t="shared" si="22"/>
        <v>241</v>
      </c>
      <c r="C243" s="30" t="s">
        <v>98</v>
      </c>
      <c r="D243" s="30">
        <v>45490.419224537036</v>
      </c>
      <c r="E243" s="31">
        <v>91687747.701000005</v>
      </c>
    </row>
    <row r="244" spans="2:5" x14ac:dyDescent="0.2">
      <c r="B244" s="29">
        <f t="shared" si="22"/>
        <v>242</v>
      </c>
      <c r="C244" s="30" t="s">
        <v>98</v>
      </c>
      <c r="D244" s="30">
        <v>45490.477418981478</v>
      </c>
      <c r="E244" s="31">
        <v>91804617.20099999</v>
      </c>
    </row>
    <row r="245" spans="2:5" x14ac:dyDescent="0.2">
      <c r="B245" s="29">
        <f t="shared" si="22"/>
        <v>243</v>
      </c>
      <c r="C245" s="30" t="s">
        <v>98</v>
      </c>
      <c r="D245" s="30">
        <v>45490.492361111108</v>
      </c>
      <c r="E245" s="31">
        <v>91804617.20099999</v>
      </c>
    </row>
    <row r="246" spans="2:5" x14ac:dyDescent="0.2">
      <c r="B246" s="29">
        <f t="shared" si="22"/>
        <v>244</v>
      </c>
      <c r="C246" s="30" t="s">
        <v>98</v>
      </c>
      <c r="D246" s="30">
        <v>45490.493483796294</v>
      </c>
      <c r="E246" s="31">
        <v>91804617.20099999</v>
      </c>
    </row>
    <row r="247" spans="2:5" x14ac:dyDescent="0.2">
      <c r="B247" s="29">
        <f t="shared" si="22"/>
        <v>245</v>
      </c>
      <c r="C247" s="30" t="s">
        <v>98</v>
      </c>
      <c r="D247" s="30">
        <v>45490.494733796295</v>
      </c>
      <c r="E247" s="31">
        <v>83792016.909999996</v>
      </c>
    </row>
    <row r="248" spans="2:5" x14ac:dyDescent="0.2">
      <c r="B248" s="29">
        <f t="shared" si="22"/>
        <v>246</v>
      </c>
      <c r="C248" s="30" t="s">
        <v>98</v>
      </c>
      <c r="D248" s="30">
        <v>45490.496261574073</v>
      </c>
      <c r="E248" s="31">
        <v>91804617.20099999</v>
      </c>
    </row>
    <row r="249" spans="2:5" x14ac:dyDescent="0.2">
      <c r="B249" s="29">
        <f t="shared" si="22"/>
        <v>247</v>
      </c>
      <c r="C249" s="30" t="s">
        <v>98</v>
      </c>
      <c r="D249" s="30">
        <v>45490.500856481478</v>
      </c>
      <c r="E249" s="31">
        <v>92219605.909999996</v>
      </c>
    </row>
    <row r="250" spans="2:5" x14ac:dyDescent="0.2">
      <c r="B250" s="29">
        <f t="shared" si="22"/>
        <v>248</v>
      </c>
      <c r="C250" s="30" t="s">
        <v>98</v>
      </c>
      <c r="D250" s="30">
        <v>45490.501620370371</v>
      </c>
      <c r="E250" s="31">
        <v>92219605.909999996</v>
      </c>
    </row>
    <row r="251" spans="2:5" x14ac:dyDescent="0.2">
      <c r="B251" s="29">
        <f t="shared" si="22"/>
        <v>249</v>
      </c>
      <c r="C251" s="30" t="s">
        <v>98</v>
      </c>
      <c r="D251" s="30">
        <v>45490.567037037035</v>
      </c>
      <c r="E251" s="31">
        <v>88722235.910000011</v>
      </c>
    </row>
    <row r="252" spans="2:5" x14ac:dyDescent="0.2">
      <c r="B252" s="29">
        <f t="shared" ref="B252:B258" si="23">ROW()-ROW($B$2)</f>
        <v>250</v>
      </c>
      <c r="C252" s="30" t="s">
        <v>98</v>
      </c>
      <c r="D252" s="30">
        <v>45490.568287037036</v>
      </c>
      <c r="E252" s="31">
        <v>91482355.909999996</v>
      </c>
    </row>
    <row r="253" spans="2:5" x14ac:dyDescent="0.2">
      <c r="B253" s="29">
        <f t="shared" si="23"/>
        <v>251</v>
      </c>
      <c r="C253" s="30" t="s">
        <v>98</v>
      </c>
      <c r="D253" s="30">
        <v>45490.575624999998</v>
      </c>
      <c r="E253" s="31">
        <v>91482355.909999996</v>
      </c>
    </row>
    <row r="254" spans="2:5" x14ac:dyDescent="0.2">
      <c r="B254" s="29">
        <f t="shared" si="23"/>
        <v>252</v>
      </c>
      <c r="C254" s="30" t="s">
        <v>98</v>
      </c>
      <c r="D254" s="30">
        <v>45490.576145833336</v>
      </c>
      <c r="E254" s="31">
        <v>91482355.909999996</v>
      </c>
    </row>
    <row r="255" spans="2:5" x14ac:dyDescent="0.2">
      <c r="B255" s="29">
        <f t="shared" si="23"/>
        <v>253</v>
      </c>
      <c r="C255" s="30" t="s">
        <v>98</v>
      </c>
      <c r="D255" s="30">
        <v>45490.576342592591</v>
      </c>
      <c r="E255" s="31">
        <v>91482355.909999996</v>
      </c>
    </row>
    <row r="256" spans="2:5" x14ac:dyDescent="0.2">
      <c r="B256" s="29">
        <f t="shared" si="23"/>
        <v>254</v>
      </c>
      <c r="C256" s="30" t="s">
        <v>98</v>
      </c>
      <c r="D256" s="30">
        <v>45490.576643518521</v>
      </c>
      <c r="E256" s="31">
        <v>91482355.909999996</v>
      </c>
    </row>
    <row r="257" spans="2:5" x14ac:dyDescent="0.2">
      <c r="B257" s="29">
        <f t="shared" si="23"/>
        <v>255</v>
      </c>
      <c r="C257" s="30" t="s">
        <v>98</v>
      </c>
      <c r="D257" s="30">
        <v>45490.588599537034</v>
      </c>
      <c r="E257" s="31">
        <v>91482355.909999996</v>
      </c>
    </row>
    <row r="258" spans="2:5" x14ac:dyDescent="0.2">
      <c r="B258" s="29">
        <f t="shared" si="23"/>
        <v>256</v>
      </c>
      <c r="C258" s="30" t="s">
        <v>98</v>
      </c>
      <c r="D258" s="30">
        <v>45490.589016203703</v>
      </c>
      <c r="E258" s="31">
        <v>91482355.909999996</v>
      </c>
    </row>
    <row r="259" spans="2:5" x14ac:dyDescent="0.2">
      <c r="B259" s="29">
        <f t="shared" ref="B259:B264" si="24">ROW()-ROW($B$2)</f>
        <v>257</v>
      </c>
      <c r="C259" s="30" t="s">
        <v>98</v>
      </c>
      <c r="D259" s="30">
        <v>45490.612488425926</v>
      </c>
      <c r="E259" s="31">
        <v>91772091.909999982</v>
      </c>
    </row>
    <row r="260" spans="2:5" x14ac:dyDescent="0.2">
      <c r="B260" s="29">
        <f t="shared" si="24"/>
        <v>258</v>
      </c>
      <c r="C260" s="30" t="s">
        <v>101</v>
      </c>
      <c r="D260" s="30">
        <v>45490.642430555556</v>
      </c>
      <c r="E260" s="31">
        <v>92852091.909999996</v>
      </c>
    </row>
    <row r="261" spans="2:5" x14ac:dyDescent="0.2">
      <c r="B261" s="29">
        <f t="shared" si="24"/>
        <v>259</v>
      </c>
      <c r="C261" s="30" t="s">
        <v>98</v>
      </c>
      <c r="D261" s="30">
        <v>45490.667268518519</v>
      </c>
      <c r="E261" s="31">
        <v>92965461.909999996</v>
      </c>
    </row>
    <row r="262" spans="2:5" x14ac:dyDescent="0.2">
      <c r="B262" s="29">
        <f t="shared" si="24"/>
        <v>260</v>
      </c>
      <c r="C262" s="30" t="s">
        <v>98</v>
      </c>
      <c r="D262" s="30">
        <v>45490.66815972222</v>
      </c>
      <c r="E262" s="31">
        <v>92965461.909999996</v>
      </c>
    </row>
    <row r="263" spans="2:5" x14ac:dyDescent="0.2">
      <c r="B263" s="29">
        <f t="shared" si="24"/>
        <v>261</v>
      </c>
      <c r="C263" s="30" t="s">
        <v>98</v>
      </c>
      <c r="D263" s="30">
        <v>45492.610949074071</v>
      </c>
      <c r="E263" s="31">
        <v>92965461.909999996</v>
      </c>
    </row>
    <row r="264" spans="2:5" x14ac:dyDescent="0.2">
      <c r="B264" s="29">
        <f t="shared" si="24"/>
        <v>262</v>
      </c>
      <c r="C264" s="30" t="s">
        <v>98</v>
      </c>
      <c r="D264" s="30">
        <v>45492.617164351854</v>
      </c>
      <c r="E264" s="31">
        <v>93938742.909999996</v>
      </c>
    </row>
    <row r="265" spans="2:5" x14ac:dyDescent="0.2">
      <c r="B265" s="29">
        <f t="shared" ref="B265:B271" si="25">ROW()-ROW($B$2)</f>
        <v>263</v>
      </c>
      <c r="C265" s="30" t="s">
        <v>98</v>
      </c>
      <c r="D265" s="30">
        <v>45492.637013888889</v>
      </c>
      <c r="E265" s="31">
        <v>93938742.909999996</v>
      </c>
    </row>
    <row r="266" spans="2:5" x14ac:dyDescent="0.2">
      <c r="B266" s="29">
        <f t="shared" si="25"/>
        <v>264</v>
      </c>
      <c r="C266" s="30" t="s">
        <v>98</v>
      </c>
      <c r="D266" s="30">
        <v>45497.437175925923</v>
      </c>
      <c r="E266" s="31">
        <v>83792017.210000008</v>
      </c>
    </row>
    <row r="267" spans="2:5" x14ac:dyDescent="0.2">
      <c r="B267" s="29">
        <f t="shared" si="25"/>
        <v>265</v>
      </c>
      <c r="C267" s="30" t="s">
        <v>98</v>
      </c>
      <c r="D267" s="30">
        <v>45497.437465277777</v>
      </c>
      <c r="E267" s="31">
        <v>83792017.210000008</v>
      </c>
    </row>
    <row r="268" spans="2:5" x14ac:dyDescent="0.2">
      <c r="B268" s="29">
        <f t="shared" si="25"/>
        <v>266</v>
      </c>
      <c r="C268" s="30" t="s">
        <v>98</v>
      </c>
      <c r="D268" s="30">
        <v>45497.455613425926</v>
      </c>
      <c r="E268" s="31">
        <v>83792016.810000002</v>
      </c>
    </row>
    <row r="269" spans="2:5" x14ac:dyDescent="0.2">
      <c r="B269" s="29">
        <f t="shared" si="25"/>
        <v>267</v>
      </c>
      <c r="C269" s="30" t="s">
        <v>98</v>
      </c>
      <c r="D269" s="30">
        <v>45498.699247685188</v>
      </c>
      <c r="E269" s="31">
        <v>83792016.810000002</v>
      </c>
    </row>
    <row r="270" spans="2:5" x14ac:dyDescent="0.2">
      <c r="B270" s="29">
        <f t="shared" si="25"/>
        <v>268</v>
      </c>
      <c r="C270" s="30" t="s">
        <v>98</v>
      </c>
      <c r="D270" s="30">
        <v>45498.699490740742</v>
      </c>
      <c r="E270" s="31">
        <v>83792016.810000002</v>
      </c>
    </row>
    <row r="271" spans="2:5" x14ac:dyDescent="0.2">
      <c r="B271" s="29">
        <f t="shared" si="25"/>
        <v>269</v>
      </c>
      <c r="C271" s="30" t="s">
        <v>98</v>
      </c>
      <c r="D271" s="30">
        <v>45498.741087962961</v>
      </c>
      <c r="E271" s="31">
        <v>83792016.810000002</v>
      </c>
    </row>
    <row r="272" spans="2:5" x14ac:dyDescent="0.2">
      <c r="B272" s="29">
        <f t="shared" ref="B272:B277" si="26">ROW()-ROW($B$2)</f>
        <v>270</v>
      </c>
      <c r="C272" s="30" t="s">
        <v>98</v>
      </c>
      <c r="D272" s="30">
        <v>45499.449965277781</v>
      </c>
      <c r="E272" s="31">
        <v>83792016.810000002</v>
      </c>
    </row>
    <row r="273" spans="2:5" x14ac:dyDescent="0.2">
      <c r="B273" s="29">
        <f t="shared" si="26"/>
        <v>271</v>
      </c>
      <c r="C273" s="30" t="s">
        <v>98</v>
      </c>
      <c r="D273" s="30">
        <v>45502.4453587963</v>
      </c>
      <c r="E273" s="31">
        <v>83792016.810000002</v>
      </c>
    </row>
    <row r="274" spans="2:5" x14ac:dyDescent="0.2">
      <c r="B274" s="29">
        <f t="shared" si="26"/>
        <v>272</v>
      </c>
      <c r="C274" s="30" t="s">
        <v>97</v>
      </c>
      <c r="D274" s="30">
        <v>45504.618252314816</v>
      </c>
      <c r="E274" s="31">
        <v>83792016.810000002</v>
      </c>
    </row>
    <row r="275" spans="2:5" x14ac:dyDescent="0.2">
      <c r="B275" s="29">
        <f t="shared" si="26"/>
        <v>273</v>
      </c>
      <c r="C275" s="30" t="s">
        <v>97</v>
      </c>
      <c r="D275" s="30">
        <v>45510.455462962964</v>
      </c>
      <c r="E275" s="31">
        <v>83792016.810000002</v>
      </c>
    </row>
    <row r="276" spans="2:5" x14ac:dyDescent="0.2">
      <c r="B276" s="29">
        <f t="shared" si="26"/>
        <v>274</v>
      </c>
      <c r="C276" s="30" t="s">
        <v>97</v>
      </c>
      <c r="D276" s="30">
        <v>45510.459467592591</v>
      </c>
      <c r="E276" s="31">
        <v>83468974.710000008</v>
      </c>
    </row>
    <row r="277" spans="2:5" x14ac:dyDescent="0.2">
      <c r="B277" s="29">
        <f t="shared" si="26"/>
        <v>275</v>
      </c>
      <c r="C277" s="30" t="s">
        <v>97</v>
      </c>
      <c r="D277" s="30">
        <v>45510.460231481484</v>
      </c>
      <c r="E277" s="31">
        <v>83738974.710000008</v>
      </c>
    </row>
    <row r="278" spans="2:5" x14ac:dyDescent="0.2">
      <c r="B278" s="29">
        <f t="shared" ref="B278:B284" si="27">ROW()-ROW($B$2)</f>
        <v>276</v>
      </c>
      <c r="C278" s="30" t="s">
        <v>98</v>
      </c>
      <c r="D278" s="30">
        <v>45510.464398148149</v>
      </c>
      <c r="E278" s="31">
        <v>83792016.99000001</v>
      </c>
    </row>
    <row r="279" spans="2:5" x14ac:dyDescent="0.2">
      <c r="B279" s="29">
        <f t="shared" si="27"/>
        <v>277</v>
      </c>
      <c r="C279" s="30" t="s">
        <v>98</v>
      </c>
      <c r="D279" s="30">
        <v>45510.481747685182</v>
      </c>
      <c r="E279" s="31">
        <v>83792017</v>
      </c>
    </row>
    <row r="280" spans="2:5" x14ac:dyDescent="0.2">
      <c r="B280" s="29">
        <f t="shared" si="27"/>
        <v>278</v>
      </c>
      <c r="C280" s="30" t="s">
        <v>98</v>
      </c>
      <c r="D280" s="30">
        <v>45510.481817129628</v>
      </c>
      <c r="E280" s="31">
        <v>83792017</v>
      </c>
    </row>
    <row r="281" spans="2:5" x14ac:dyDescent="0.2">
      <c r="B281" s="29">
        <f t="shared" si="27"/>
        <v>279</v>
      </c>
      <c r="C281" s="30" t="s">
        <v>98</v>
      </c>
      <c r="D281" s="30">
        <v>45510.489641203705</v>
      </c>
      <c r="E281" s="31">
        <v>83792016.999999985</v>
      </c>
    </row>
    <row r="282" spans="2:5" x14ac:dyDescent="0.2">
      <c r="B282" s="29">
        <f t="shared" si="27"/>
        <v>280</v>
      </c>
      <c r="C282" s="30" t="s">
        <v>98</v>
      </c>
      <c r="D282" s="30">
        <v>45510.490162037036</v>
      </c>
      <c r="E282" s="31">
        <v>83792016.999999985</v>
      </c>
    </row>
    <row r="283" spans="2:5" x14ac:dyDescent="0.2">
      <c r="B283" s="29">
        <f t="shared" si="27"/>
        <v>281</v>
      </c>
      <c r="C283" s="30" t="s">
        <v>98</v>
      </c>
      <c r="D283" s="30">
        <v>45510.490416666667</v>
      </c>
      <c r="E283" s="31">
        <v>83792016.999999985</v>
      </c>
    </row>
    <row r="284" spans="2:5" x14ac:dyDescent="0.2">
      <c r="B284" s="29">
        <f t="shared" si="27"/>
        <v>282</v>
      </c>
      <c r="C284" s="30" t="s">
        <v>98</v>
      </c>
      <c r="D284" s="30">
        <v>45510.578935185185</v>
      </c>
      <c r="E284" s="31">
        <v>83792016.999999985</v>
      </c>
    </row>
    <row r="285" spans="2:5" x14ac:dyDescent="0.2">
      <c r="B285" s="29">
        <f t="shared" ref="B285:B298" si="28">ROW()-ROW($B$2)</f>
        <v>283</v>
      </c>
      <c r="C285" s="30" t="s">
        <v>98</v>
      </c>
      <c r="D285" s="30">
        <v>45520.485856481479</v>
      </c>
      <c r="E285" s="31">
        <v>83792016.999999985</v>
      </c>
    </row>
    <row r="286" spans="2:5" x14ac:dyDescent="0.2">
      <c r="B286" s="29">
        <f t="shared" si="28"/>
        <v>284</v>
      </c>
      <c r="C286" s="30" t="s">
        <v>98</v>
      </c>
      <c r="D286" s="30">
        <v>45520.485868055555</v>
      </c>
      <c r="E286" s="31">
        <v>83792016.999999985</v>
      </c>
    </row>
    <row r="287" spans="2:5" x14ac:dyDescent="0.2">
      <c r="B287" s="29">
        <f t="shared" si="28"/>
        <v>285</v>
      </c>
      <c r="C287" s="30" t="s">
        <v>98</v>
      </c>
      <c r="D287" s="30">
        <v>45520.486875000002</v>
      </c>
      <c r="E287" s="31">
        <v>83792016.999999985</v>
      </c>
    </row>
    <row r="288" spans="2:5" x14ac:dyDescent="0.2">
      <c r="B288" s="29">
        <f t="shared" si="28"/>
        <v>286</v>
      </c>
      <c r="C288" s="30" t="s">
        <v>98</v>
      </c>
      <c r="D288" s="30">
        <v>45520.487025462964</v>
      </c>
      <c r="E288" s="31">
        <v>83792016.999999985</v>
      </c>
    </row>
    <row r="289" spans="2:5" x14ac:dyDescent="0.2">
      <c r="B289" s="29">
        <f t="shared" si="28"/>
        <v>287</v>
      </c>
      <c r="C289" s="30" t="s">
        <v>98</v>
      </c>
      <c r="D289" s="30">
        <v>45520.489293981482</v>
      </c>
      <c r="E289" s="31">
        <v>83792016.999999985</v>
      </c>
    </row>
    <row r="290" spans="2:5" x14ac:dyDescent="0.2">
      <c r="B290" s="29">
        <f t="shared" si="28"/>
        <v>288</v>
      </c>
      <c r="C290" s="30" t="s">
        <v>98</v>
      </c>
      <c r="D290" s="30">
        <v>45520.48978009259</v>
      </c>
      <c r="E290" s="31">
        <v>83792016.999999985</v>
      </c>
    </row>
    <row r="291" spans="2:5" x14ac:dyDescent="0.2">
      <c r="B291" s="29">
        <f t="shared" si="28"/>
        <v>289</v>
      </c>
      <c r="C291" s="30" t="s">
        <v>98</v>
      </c>
      <c r="D291" s="30">
        <v>45520.49858796296</v>
      </c>
      <c r="E291" s="31">
        <v>83792016.999999985</v>
      </c>
    </row>
    <row r="292" spans="2:5" x14ac:dyDescent="0.2">
      <c r="B292" s="29">
        <f t="shared" si="28"/>
        <v>290</v>
      </c>
      <c r="C292" s="30" t="s">
        <v>98</v>
      </c>
      <c r="D292" s="30">
        <v>45520.498784722222</v>
      </c>
      <c r="E292" s="31">
        <v>83792016.999999985</v>
      </c>
    </row>
    <row r="293" spans="2:5" x14ac:dyDescent="0.2">
      <c r="B293" s="29">
        <f t="shared" si="28"/>
        <v>291</v>
      </c>
      <c r="C293" s="30" t="s">
        <v>98</v>
      </c>
      <c r="D293" s="30">
        <v>45520.509560185186</v>
      </c>
      <c r="E293" s="31">
        <v>83792016.999999985</v>
      </c>
    </row>
    <row r="294" spans="2:5" x14ac:dyDescent="0.2">
      <c r="B294" s="29">
        <f t="shared" si="28"/>
        <v>292</v>
      </c>
      <c r="C294" s="30" t="s">
        <v>98</v>
      </c>
      <c r="D294" s="30">
        <v>45520.512337962966</v>
      </c>
      <c r="E294" s="31">
        <v>83792016.999999985</v>
      </c>
    </row>
    <row r="295" spans="2:5" x14ac:dyDescent="0.2">
      <c r="B295" s="29">
        <f t="shared" si="28"/>
        <v>293</v>
      </c>
      <c r="C295" s="30" t="s">
        <v>98</v>
      </c>
      <c r="D295" s="30">
        <v>45520.512418981481</v>
      </c>
      <c r="E295" s="31">
        <v>83792016.999999985</v>
      </c>
    </row>
    <row r="296" spans="2:5" x14ac:dyDescent="0.2">
      <c r="B296" s="29">
        <f t="shared" si="28"/>
        <v>294</v>
      </c>
      <c r="C296" s="30" t="s">
        <v>98</v>
      </c>
      <c r="D296" s="30">
        <v>45520.514108796298</v>
      </c>
      <c r="E296" s="31">
        <v>83792016.999999985</v>
      </c>
    </row>
    <row r="297" spans="2:5" x14ac:dyDescent="0.2">
      <c r="B297" s="29">
        <f t="shared" si="28"/>
        <v>295</v>
      </c>
      <c r="C297" s="30" t="s">
        <v>98</v>
      </c>
      <c r="D297" s="30">
        <v>45520.514421296299</v>
      </c>
      <c r="E297" s="31">
        <v>83792016.999999985</v>
      </c>
    </row>
    <row r="298" spans="2:5" x14ac:dyDescent="0.2">
      <c r="B298" s="29">
        <f t="shared" si="28"/>
        <v>296</v>
      </c>
      <c r="C298" s="30" t="s">
        <v>98</v>
      </c>
      <c r="D298" s="30">
        <v>45520.514432870368</v>
      </c>
      <c r="E298" s="31">
        <v>83792016.999999985</v>
      </c>
    </row>
    <row r="299" spans="2:5" x14ac:dyDescent="0.2">
      <c r="B299" s="29">
        <f t="shared" ref="B299:B307" si="29">ROW()-ROW($B$2)</f>
        <v>297</v>
      </c>
      <c r="C299" s="30" t="s">
        <v>98</v>
      </c>
      <c r="D299" s="30">
        <v>45525.650300925925</v>
      </c>
      <c r="E299" s="31">
        <v>83792017</v>
      </c>
    </row>
    <row r="300" spans="2:5" x14ac:dyDescent="0.2">
      <c r="B300" s="29">
        <f t="shared" si="29"/>
        <v>298</v>
      </c>
      <c r="C300" s="30" t="s">
        <v>98</v>
      </c>
      <c r="D300" s="30">
        <v>45526.489039351851</v>
      </c>
      <c r="E300" s="31">
        <v>83792017</v>
      </c>
    </row>
    <row r="301" spans="2:5" x14ac:dyDescent="0.2">
      <c r="B301" s="29">
        <f t="shared" si="29"/>
        <v>299</v>
      </c>
      <c r="C301" s="30" t="s">
        <v>98</v>
      </c>
      <c r="D301" s="30">
        <v>45526.493611111109</v>
      </c>
      <c r="E301" s="31">
        <v>0</v>
      </c>
    </row>
    <row r="302" spans="2:5" x14ac:dyDescent="0.2">
      <c r="B302" s="29">
        <f t="shared" si="29"/>
        <v>300</v>
      </c>
      <c r="C302" s="30" t="s">
        <v>98</v>
      </c>
      <c r="D302" s="30">
        <v>45526.496006944442</v>
      </c>
      <c r="E302" s="31">
        <v>0</v>
      </c>
    </row>
    <row r="303" spans="2:5" x14ac:dyDescent="0.2">
      <c r="B303" s="29">
        <f t="shared" si="29"/>
        <v>301</v>
      </c>
      <c r="C303" s="30" t="s">
        <v>98</v>
      </c>
      <c r="D303" s="30">
        <v>45526.501284722224</v>
      </c>
      <c r="E303" s="31">
        <v>1872663.5</v>
      </c>
    </row>
    <row r="304" spans="2:5" x14ac:dyDescent="0.2">
      <c r="B304" s="29">
        <f t="shared" si="29"/>
        <v>302</v>
      </c>
      <c r="C304" s="30" t="s">
        <v>98</v>
      </c>
      <c r="D304" s="30">
        <v>45526.509027777778</v>
      </c>
      <c r="E304" s="31">
        <v>2894853.3</v>
      </c>
    </row>
    <row r="305" spans="2:5" x14ac:dyDescent="0.2">
      <c r="B305" s="29">
        <f t="shared" si="29"/>
        <v>303</v>
      </c>
      <c r="C305" s="30" t="s">
        <v>98</v>
      </c>
      <c r="D305" s="30">
        <v>45526.520243055558</v>
      </c>
      <c r="E305" s="31">
        <v>3038510.13735</v>
      </c>
    </row>
    <row r="306" spans="2:5" x14ac:dyDescent="0.2">
      <c r="B306" s="29">
        <f t="shared" si="29"/>
        <v>304</v>
      </c>
      <c r="C306" s="30" t="s">
        <v>98</v>
      </c>
      <c r="D306" s="30">
        <v>45526.523668981485</v>
      </c>
      <c r="E306" s="31">
        <v>3038510.13735</v>
      </c>
    </row>
    <row r="307" spans="2:5" x14ac:dyDescent="0.2">
      <c r="B307" s="29">
        <f t="shared" si="29"/>
        <v>305</v>
      </c>
      <c r="C307" s="30" t="s">
        <v>98</v>
      </c>
      <c r="D307" s="30">
        <v>45526.529710648145</v>
      </c>
      <c r="E307" s="31">
        <v>3843994.8173500001</v>
      </c>
    </row>
    <row r="308" spans="2:5" x14ac:dyDescent="0.2">
      <c r="B308" s="29">
        <f t="shared" ref="B308:B351" si="30">ROW()-ROW($B$2)</f>
        <v>306</v>
      </c>
      <c r="C308" s="30" t="s">
        <v>98</v>
      </c>
      <c r="D308" s="30">
        <v>45526.532997685186</v>
      </c>
      <c r="E308" s="31">
        <v>3843994.8173500001</v>
      </c>
    </row>
    <row r="309" spans="2:5" x14ac:dyDescent="0.2">
      <c r="B309" s="29">
        <f t="shared" si="30"/>
        <v>307</v>
      </c>
      <c r="C309" s="30" t="s">
        <v>98</v>
      </c>
      <c r="D309" s="30">
        <v>45526.536226851851</v>
      </c>
      <c r="E309" s="31">
        <v>3843994.8173500001</v>
      </c>
    </row>
    <row r="310" spans="2:5" x14ac:dyDescent="0.2">
      <c r="B310" s="29">
        <f t="shared" si="30"/>
        <v>308</v>
      </c>
      <c r="C310" s="30" t="s">
        <v>98</v>
      </c>
      <c r="D310" s="30">
        <v>45526.53979166667</v>
      </c>
      <c r="E310" s="31">
        <v>3843994.8173500001</v>
      </c>
    </row>
    <row r="311" spans="2:5" x14ac:dyDescent="0.2">
      <c r="B311" s="29">
        <f t="shared" si="30"/>
        <v>309</v>
      </c>
      <c r="C311" s="30" t="s">
        <v>98</v>
      </c>
      <c r="D311" s="30">
        <v>45526.543124999997</v>
      </c>
      <c r="E311" s="31">
        <v>3843994.8173500001</v>
      </c>
    </row>
    <row r="312" spans="2:5" x14ac:dyDescent="0.2">
      <c r="B312" s="29">
        <f t="shared" si="30"/>
        <v>310</v>
      </c>
      <c r="C312" s="30" t="s">
        <v>98</v>
      </c>
      <c r="D312" s="30">
        <v>45526.545358796298</v>
      </c>
      <c r="E312" s="31">
        <v>3843994.8173500001</v>
      </c>
    </row>
    <row r="313" spans="2:5" x14ac:dyDescent="0.2">
      <c r="B313" s="29">
        <f t="shared" si="30"/>
        <v>311</v>
      </c>
      <c r="C313" s="30" t="s">
        <v>98</v>
      </c>
      <c r="D313" s="30">
        <v>45526.550057870372</v>
      </c>
      <c r="E313" s="31">
        <v>3843994.8173500001</v>
      </c>
    </row>
    <row r="314" spans="2:5" x14ac:dyDescent="0.2">
      <c r="B314" s="29">
        <f t="shared" si="30"/>
        <v>312</v>
      </c>
      <c r="C314" s="30" t="s">
        <v>98</v>
      </c>
      <c r="D314" s="30">
        <v>45526.552268518521</v>
      </c>
      <c r="E314" s="31">
        <v>3843994.8173500001</v>
      </c>
    </row>
    <row r="315" spans="2:5" x14ac:dyDescent="0.2">
      <c r="B315" s="29">
        <f t="shared" si="30"/>
        <v>313</v>
      </c>
      <c r="C315" s="30" t="s">
        <v>98</v>
      </c>
      <c r="D315" s="30">
        <v>45526.564467592594</v>
      </c>
      <c r="E315" s="31">
        <v>3843994.8173500001</v>
      </c>
    </row>
    <row r="316" spans="2:5" x14ac:dyDescent="0.2">
      <c r="B316" s="29">
        <f t="shared" si="30"/>
        <v>314</v>
      </c>
      <c r="C316" s="30" t="s">
        <v>98</v>
      </c>
      <c r="D316" s="30">
        <v>45526.575555555559</v>
      </c>
      <c r="E316" s="31">
        <v>5454964.1773499995</v>
      </c>
    </row>
    <row r="317" spans="2:5" x14ac:dyDescent="0.2">
      <c r="B317" s="29">
        <f t="shared" si="30"/>
        <v>315</v>
      </c>
      <c r="C317" s="30" t="s">
        <v>98</v>
      </c>
      <c r="D317" s="30">
        <v>45526.5780787037</v>
      </c>
      <c r="E317" s="31">
        <v>5454964.1773499995</v>
      </c>
    </row>
    <row r="318" spans="2:5" x14ac:dyDescent="0.2">
      <c r="B318" s="29">
        <f t="shared" si="30"/>
        <v>316</v>
      </c>
      <c r="C318" s="30" t="s">
        <v>98</v>
      </c>
      <c r="D318" s="30">
        <v>45526.581655092596</v>
      </c>
      <c r="E318" s="31">
        <v>5455413.7273499994</v>
      </c>
    </row>
    <row r="319" spans="2:5" x14ac:dyDescent="0.2">
      <c r="B319" s="29">
        <f t="shared" si="30"/>
        <v>317</v>
      </c>
      <c r="C319" s="30" t="s">
        <v>98</v>
      </c>
      <c r="D319" s="30">
        <v>45526.58284722222</v>
      </c>
      <c r="E319" s="31">
        <v>5454964.1773499995</v>
      </c>
    </row>
    <row r="320" spans="2:5" x14ac:dyDescent="0.2">
      <c r="B320" s="29">
        <f t="shared" si="30"/>
        <v>318</v>
      </c>
      <c r="C320" s="30" t="s">
        <v>98</v>
      </c>
      <c r="D320" s="30">
        <v>45526.59171296296</v>
      </c>
      <c r="E320" s="31">
        <v>3843994.8173500001</v>
      </c>
    </row>
    <row r="321" spans="2:5" x14ac:dyDescent="0.2">
      <c r="B321" s="29">
        <f t="shared" si="30"/>
        <v>319</v>
      </c>
      <c r="C321" s="30" t="s">
        <v>98</v>
      </c>
      <c r="D321" s="30">
        <v>45526.59202546296</v>
      </c>
      <c r="E321" s="31">
        <v>3843994.8173500001</v>
      </c>
    </row>
    <row r="322" spans="2:5" x14ac:dyDescent="0.2">
      <c r="B322" s="29">
        <f t="shared" si="30"/>
        <v>320</v>
      </c>
      <c r="C322" s="30" t="s">
        <v>98</v>
      </c>
      <c r="D322" s="30">
        <v>45526.592233796298</v>
      </c>
      <c r="E322" s="31">
        <v>3843994.8173500001</v>
      </c>
    </row>
    <row r="323" spans="2:5" x14ac:dyDescent="0.2">
      <c r="B323" s="29">
        <f t="shared" si="30"/>
        <v>321</v>
      </c>
      <c r="C323" s="30" t="s">
        <v>98</v>
      </c>
      <c r="D323" s="30">
        <v>45526.603506944448</v>
      </c>
      <c r="E323" s="31">
        <v>4739993.5573500004</v>
      </c>
    </row>
    <row r="324" spans="2:5" x14ac:dyDescent="0.2">
      <c r="B324" s="29">
        <f t="shared" si="30"/>
        <v>322</v>
      </c>
      <c r="C324" s="30" t="s">
        <v>98</v>
      </c>
      <c r="D324" s="30">
        <v>45526.604375000003</v>
      </c>
      <c r="E324" s="31">
        <v>4739993.5573500004</v>
      </c>
    </row>
    <row r="325" spans="2:5" x14ac:dyDescent="0.2">
      <c r="B325" s="29">
        <f t="shared" si="30"/>
        <v>323</v>
      </c>
      <c r="C325" s="30" t="s">
        <v>98</v>
      </c>
      <c r="D325" s="30">
        <v>45526.612372685187</v>
      </c>
      <c r="E325" s="31">
        <v>5729891.5573500004</v>
      </c>
    </row>
    <row r="326" spans="2:5" x14ac:dyDescent="0.2">
      <c r="B326" s="29">
        <f t="shared" si="30"/>
        <v>324</v>
      </c>
      <c r="C326" s="30" t="s">
        <v>98</v>
      </c>
      <c r="D326" s="30">
        <v>45526.613611111112</v>
      </c>
      <c r="E326" s="31">
        <v>5729891.5573500004</v>
      </c>
    </row>
    <row r="327" spans="2:5" x14ac:dyDescent="0.2">
      <c r="B327" s="29">
        <f t="shared" si="30"/>
        <v>325</v>
      </c>
      <c r="C327" s="30" t="s">
        <v>98</v>
      </c>
      <c r="D327" s="30">
        <v>45526.618078703701</v>
      </c>
      <c r="E327" s="31">
        <v>5729891.5573500004</v>
      </c>
    </row>
    <row r="328" spans="2:5" x14ac:dyDescent="0.2">
      <c r="B328" s="29">
        <f t="shared" si="30"/>
        <v>326</v>
      </c>
      <c r="C328" s="30" t="s">
        <v>98</v>
      </c>
      <c r="D328" s="30">
        <v>45526.619212962964</v>
      </c>
      <c r="E328" s="31">
        <v>5729891.5573500004</v>
      </c>
    </row>
    <row r="329" spans="2:5" x14ac:dyDescent="0.2">
      <c r="B329" s="29">
        <f t="shared" si="30"/>
        <v>327</v>
      </c>
      <c r="C329" s="30" t="s">
        <v>98</v>
      </c>
      <c r="D329" s="30">
        <v>45526.623726851853</v>
      </c>
      <c r="E329" s="31">
        <v>5729891.5573500004</v>
      </c>
    </row>
    <row r="330" spans="2:5" x14ac:dyDescent="0.2">
      <c r="B330" s="29">
        <f t="shared" si="30"/>
        <v>328</v>
      </c>
      <c r="C330" s="30" t="s">
        <v>98</v>
      </c>
      <c r="D330" s="30">
        <v>45526.623923611114</v>
      </c>
      <c r="E330" s="31">
        <v>5729891.5573500004</v>
      </c>
    </row>
    <row r="331" spans="2:5" x14ac:dyDescent="0.2">
      <c r="B331" s="29">
        <f t="shared" si="30"/>
        <v>329</v>
      </c>
      <c r="C331" s="30" t="s">
        <v>98</v>
      </c>
      <c r="D331" s="30">
        <v>45526.624351851853</v>
      </c>
      <c r="E331" s="31">
        <v>5729891.5573500004</v>
      </c>
    </row>
    <row r="332" spans="2:5" x14ac:dyDescent="0.2">
      <c r="B332" s="29">
        <f t="shared" si="30"/>
        <v>330</v>
      </c>
      <c r="C332" s="30" t="s">
        <v>98</v>
      </c>
      <c r="D332" s="30">
        <v>45526.624479166669</v>
      </c>
      <c r="E332" s="31">
        <v>5729891.5573500004</v>
      </c>
    </row>
    <row r="333" spans="2:5" x14ac:dyDescent="0.2">
      <c r="B333" s="29">
        <f t="shared" si="30"/>
        <v>331</v>
      </c>
      <c r="C333" s="30" t="s">
        <v>98</v>
      </c>
      <c r="D333" s="30">
        <v>45526.627638888887</v>
      </c>
      <c r="E333" s="31">
        <v>5729891.5573500004</v>
      </c>
    </row>
    <row r="334" spans="2:5" x14ac:dyDescent="0.2">
      <c r="B334" s="29">
        <f t="shared" si="30"/>
        <v>332</v>
      </c>
      <c r="C334" s="30" t="s">
        <v>98</v>
      </c>
      <c r="D334" s="30">
        <v>45526.630254629628</v>
      </c>
      <c r="E334" s="31">
        <v>5729891.5573500004</v>
      </c>
    </row>
    <row r="335" spans="2:5" x14ac:dyDescent="0.2">
      <c r="B335" s="29">
        <f t="shared" si="30"/>
        <v>333</v>
      </c>
      <c r="C335" s="30" t="s">
        <v>98</v>
      </c>
      <c r="D335" s="30">
        <v>45526.630416666667</v>
      </c>
      <c r="E335" s="31">
        <v>5729891.5573500004</v>
      </c>
    </row>
    <row r="336" spans="2:5" x14ac:dyDescent="0.2">
      <c r="B336" s="29">
        <f t="shared" si="30"/>
        <v>334</v>
      </c>
      <c r="C336" s="30" t="s">
        <v>98</v>
      </c>
      <c r="D336" s="30">
        <v>45526.630543981482</v>
      </c>
      <c r="E336" s="31">
        <v>5729891.5573500004</v>
      </c>
    </row>
    <row r="337" spans="2:5" x14ac:dyDescent="0.2">
      <c r="B337" s="29">
        <f t="shared" si="30"/>
        <v>335</v>
      </c>
      <c r="C337" s="30" t="s">
        <v>98</v>
      </c>
      <c r="D337" s="30">
        <v>45526.632094907407</v>
      </c>
      <c r="E337" s="31">
        <v>5729891.5573500004</v>
      </c>
    </row>
    <row r="338" spans="2:5" x14ac:dyDescent="0.2">
      <c r="B338" s="29">
        <f t="shared" si="30"/>
        <v>336</v>
      </c>
      <c r="C338" s="30" t="s">
        <v>98</v>
      </c>
      <c r="D338" s="30">
        <v>45526.632743055554</v>
      </c>
      <c r="E338" s="31">
        <v>5729891.5573500004</v>
      </c>
    </row>
    <row r="339" spans="2:5" x14ac:dyDescent="0.2">
      <c r="B339" s="29">
        <f t="shared" si="30"/>
        <v>337</v>
      </c>
      <c r="C339" s="30" t="s">
        <v>98</v>
      </c>
      <c r="D339" s="30">
        <v>45526.632916666669</v>
      </c>
      <c r="E339" s="31">
        <v>5729891.5573500004</v>
      </c>
    </row>
    <row r="340" spans="2:5" x14ac:dyDescent="0.2">
      <c r="B340" s="29">
        <f t="shared" si="30"/>
        <v>338</v>
      </c>
      <c r="C340" s="30" t="s">
        <v>98</v>
      </c>
      <c r="D340" s="30">
        <v>45526.634525462963</v>
      </c>
      <c r="E340" s="31">
        <v>5729892.90735</v>
      </c>
    </row>
    <row r="341" spans="2:5" x14ac:dyDescent="0.2">
      <c r="B341" s="29">
        <f t="shared" si="30"/>
        <v>339</v>
      </c>
      <c r="C341" s="30" t="s">
        <v>98</v>
      </c>
      <c r="D341" s="30">
        <v>45526.635821759257</v>
      </c>
      <c r="E341" s="31">
        <v>5729892.90735</v>
      </c>
    </row>
    <row r="342" spans="2:5" x14ac:dyDescent="0.2">
      <c r="B342" s="29">
        <f t="shared" si="30"/>
        <v>340</v>
      </c>
      <c r="C342" s="30" t="s">
        <v>98</v>
      </c>
      <c r="D342" s="30">
        <v>45526.635983796295</v>
      </c>
      <c r="E342" s="31">
        <v>5729892.90735</v>
      </c>
    </row>
    <row r="343" spans="2:5" x14ac:dyDescent="0.2">
      <c r="B343" s="29">
        <f t="shared" si="30"/>
        <v>341</v>
      </c>
      <c r="C343" s="30" t="s">
        <v>98</v>
      </c>
      <c r="D343" s="30">
        <v>45526.638819444444</v>
      </c>
      <c r="E343" s="31">
        <v>5868670.2073499998</v>
      </c>
    </row>
    <row r="344" spans="2:5" x14ac:dyDescent="0.2">
      <c r="B344" s="29">
        <f t="shared" si="30"/>
        <v>342</v>
      </c>
      <c r="C344" s="30" t="s">
        <v>98</v>
      </c>
      <c r="D344" s="30">
        <v>45526.64634259259</v>
      </c>
      <c r="E344" s="31">
        <v>6318572.8273499999</v>
      </c>
    </row>
    <row r="345" spans="2:5" x14ac:dyDescent="0.2">
      <c r="B345" s="29">
        <f t="shared" si="30"/>
        <v>343</v>
      </c>
      <c r="C345" s="30" t="s">
        <v>98</v>
      </c>
      <c r="D345" s="30">
        <v>45526.653645833336</v>
      </c>
      <c r="E345" s="31">
        <v>7770956.8273499999</v>
      </c>
    </row>
    <row r="346" spans="2:5" x14ac:dyDescent="0.2">
      <c r="B346" s="29">
        <f t="shared" si="30"/>
        <v>344</v>
      </c>
      <c r="C346" s="30" t="s">
        <v>98</v>
      </c>
      <c r="D346" s="30">
        <v>45526.656111111108</v>
      </c>
      <c r="E346" s="31">
        <v>7795256.8273499999</v>
      </c>
    </row>
    <row r="347" spans="2:5" x14ac:dyDescent="0.2">
      <c r="B347" s="29">
        <f t="shared" si="30"/>
        <v>345</v>
      </c>
      <c r="C347" s="30" t="s">
        <v>98</v>
      </c>
      <c r="D347" s="30">
        <v>45526.656481481485</v>
      </c>
      <c r="E347" s="31">
        <v>7795256.8273499999</v>
      </c>
    </row>
    <row r="348" spans="2:5" x14ac:dyDescent="0.2">
      <c r="B348" s="29">
        <f t="shared" si="30"/>
        <v>346</v>
      </c>
      <c r="C348" s="30" t="s">
        <v>98</v>
      </c>
      <c r="D348" s="30">
        <v>45526.657384259262</v>
      </c>
      <c r="E348" s="31">
        <v>7795256.8273499999</v>
      </c>
    </row>
    <row r="349" spans="2:5" x14ac:dyDescent="0.2">
      <c r="B349" s="29">
        <f t="shared" si="30"/>
        <v>347</v>
      </c>
      <c r="C349" s="30" t="s">
        <v>98</v>
      </c>
      <c r="D349" s="30">
        <v>45526.658020833333</v>
      </c>
      <c r="E349" s="31">
        <v>7795256.8273499999</v>
      </c>
    </row>
    <row r="350" spans="2:5" x14ac:dyDescent="0.2">
      <c r="B350" s="29">
        <f t="shared" si="30"/>
        <v>348</v>
      </c>
      <c r="C350" s="30" t="s">
        <v>98</v>
      </c>
      <c r="D350" s="30">
        <v>45526.658125000002</v>
      </c>
      <c r="E350" s="31">
        <v>7795256.8273499999</v>
      </c>
    </row>
    <row r="351" spans="2:5" x14ac:dyDescent="0.2">
      <c r="B351" s="29">
        <f t="shared" si="30"/>
        <v>349</v>
      </c>
      <c r="C351" s="30" t="s">
        <v>98</v>
      </c>
      <c r="D351" s="30">
        <v>45526.66646990741</v>
      </c>
      <c r="E351" s="31">
        <v>7795256.8273499999</v>
      </c>
    </row>
    <row r="352" spans="2:5" x14ac:dyDescent="0.2">
      <c r="B352" s="29">
        <f t="shared" ref="B352:B358" si="31">ROW()-ROW($B$2)</f>
        <v>350</v>
      </c>
      <c r="C352" s="30" t="s">
        <v>98</v>
      </c>
      <c r="D352" s="30">
        <v>45530.391851851855</v>
      </c>
      <c r="E352" s="31">
        <v>19945256.827349998</v>
      </c>
    </row>
    <row r="353" spans="2:5" x14ac:dyDescent="0.2">
      <c r="B353" s="29">
        <f t="shared" si="31"/>
        <v>351</v>
      </c>
      <c r="C353" s="30" t="s">
        <v>98</v>
      </c>
      <c r="D353" s="30">
        <v>45530.392581018517</v>
      </c>
      <c r="E353" s="31">
        <v>21970256.827349998</v>
      </c>
    </row>
    <row r="354" spans="2:5" x14ac:dyDescent="0.2">
      <c r="B354" s="29">
        <f t="shared" si="31"/>
        <v>352</v>
      </c>
      <c r="C354" s="30" t="s">
        <v>98</v>
      </c>
      <c r="D354" s="30">
        <v>45530.394490740742</v>
      </c>
      <c r="E354" s="31">
        <v>21970256.827349998</v>
      </c>
    </row>
    <row r="355" spans="2:5" x14ac:dyDescent="0.2">
      <c r="B355" s="29">
        <f t="shared" si="31"/>
        <v>353</v>
      </c>
      <c r="C355" s="30" t="s">
        <v>98</v>
      </c>
      <c r="D355" s="30">
        <v>45530.401365740741</v>
      </c>
      <c r="E355" s="31">
        <v>22004006.827349998</v>
      </c>
    </row>
    <row r="356" spans="2:5" x14ac:dyDescent="0.2">
      <c r="B356" s="29">
        <f t="shared" si="31"/>
        <v>354</v>
      </c>
      <c r="C356" s="30" t="s">
        <v>98</v>
      </c>
      <c r="D356" s="30">
        <v>45530.402245370373</v>
      </c>
      <c r="E356" s="31">
        <v>22004006.827349998</v>
      </c>
    </row>
    <row r="357" spans="2:5" x14ac:dyDescent="0.2">
      <c r="B357" s="29">
        <f t="shared" si="31"/>
        <v>355</v>
      </c>
      <c r="C357" s="30" t="s">
        <v>98</v>
      </c>
      <c r="D357" s="30">
        <v>45530.403541666667</v>
      </c>
      <c r="E357" s="31">
        <v>22016156.827349998</v>
      </c>
    </row>
    <row r="358" spans="2:5" x14ac:dyDescent="0.2">
      <c r="B358" s="29">
        <f t="shared" si="31"/>
        <v>356</v>
      </c>
      <c r="C358" s="30" t="s">
        <v>98</v>
      </c>
      <c r="D358" s="30">
        <v>45530.408101851855</v>
      </c>
      <c r="E358" s="31">
        <v>22018991.827349998</v>
      </c>
    </row>
    <row r="359" spans="2:5" x14ac:dyDescent="0.2">
      <c r="B359" s="29">
        <f t="shared" ref="B359:B367" si="32">ROW()-ROW($B$2)</f>
        <v>357</v>
      </c>
      <c r="C359" s="30" t="s">
        <v>98</v>
      </c>
      <c r="D359" s="30">
        <v>45530.411134259259</v>
      </c>
      <c r="E359" s="31">
        <v>22018991.827349998</v>
      </c>
    </row>
    <row r="360" spans="2:5" x14ac:dyDescent="0.2">
      <c r="B360" s="29">
        <f t="shared" si="32"/>
        <v>358</v>
      </c>
      <c r="C360" s="30" t="s">
        <v>98</v>
      </c>
      <c r="D360" s="30">
        <v>45530.413159722222</v>
      </c>
      <c r="E360" s="31">
        <v>22125182.527349997</v>
      </c>
    </row>
    <row r="361" spans="2:5" x14ac:dyDescent="0.2">
      <c r="B361" s="29">
        <f t="shared" si="32"/>
        <v>359</v>
      </c>
      <c r="C361" s="30" t="s">
        <v>98</v>
      </c>
      <c r="D361" s="30">
        <v>45530.415081018517</v>
      </c>
      <c r="E361" s="31">
        <v>22125182.527349997</v>
      </c>
    </row>
    <row r="362" spans="2:5" x14ac:dyDescent="0.2">
      <c r="B362" s="29">
        <f t="shared" si="32"/>
        <v>360</v>
      </c>
      <c r="C362" s="30" t="s">
        <v>98</v>
      </c>
      <c r="D362" s="30">
        <v>45530.416585648149</v>
      </c>
      <c r="E362" s="31">
        <v>22356526.527349997</v>
      </c>
    </row>
    <row r="363" spans="2:5" x14ac:dyDescent="0.2">
      <c r="B363" s="29">
        <f t="shared" si="32"/>
        <v>361</v>
      </c>
      <c r="C363" s="30" t="s">
        <v>98</v>
      </c>
      <c r="D363" s="30">
        <v>45530.416979166665</v>
      </c>
      <c r="E363" s="31">
        <v>22240854.527349997</v>
      </c>
    </row>
    <row r="364" spans="2:5" x14ac:dyDescent="0.2">
      <c r="B364" s="29">
        <f t="shared" si="32"/>
        <v>362</v>
      </c>
      <c r="C364" s="30" t="s">
        <v>98</v>
      </c>
      <c r="D364" s="30">
        <v>45530.422384259262</v>
      </c>
      <c r="E364" s="31">
        <v>43131354.527349994</v>
      </c>
    </row>
    <row r="365" spans="2:5" x14ac:dyDescent="0.2">
      <c r="B365" s="29">
        <f t="shared" si="32"/>
        <v>363</v>
      </c>
      <c r="C365" s="30" t="s">
        <v>98</v>
      </c>
      <c r="D365" s="30">
        <v>45530.424629629626</v>
      </c>
      <c r="E365" s="31">
        <v>43181354.527349994</v>
      </c>
    </row>
    <row r="366" spans="2:5" x14ac:dyDescent="0.2">
      <c r="B366" s="29">
        <f t="shared" si="32"/>
        <v>364</v>
      </c>
      <c r="C366" s="30" t="s">
        <v>98</v>
      </c>
      <c r="D366" s="30">
        <v>45530.447638888887</v>
      </c>
      <c r="E366" s="31">
        <v>43181354.527349994</v>
      </c>
    </row>
    <row r="367" spans="2:5" x14ac:dyDescent="0.2">
      <c r="B367" s="29">
        <f t="shared" si="32"/>
        <v>365</v>
      </c>
      <c r="C367" s="30" t="s">
        <v>98</v>
      </c>
      <c r="D367" s="30">
        <v>45530.447939814818</v>
      </c>
      <c r="E367" s="31">
        <v>43181354.527349994</v>
      </c>
    </row>
    <row r="368" spans="2:5" x14ac:dyDescent="0.2">
      <c r="B368" s="29">
        <f t="shared" ref="B368:B387" si="33">ROW()-ROW($B$2)</f>
        <v>366</v>
      </c>
      <c r="C368" s="30" t="s">
        <v>104</v>
      </c>
      <c r="D368" s="30">
        <v>45530.691550925927</v>
      </c>
      <c r="E368" s="31">
        <v>50020071.147349998</v>
      </c>
    </row>
    <row r="369" spans="2:5" x14ac:dyDescent="0.2">
      <c r="B369" s="29">
        <f t="shared" si="33"/>
        <v>367</v>
      </c>
      <c r="C369" s="30" t="s">
        <v>104</v>
      </c>
      <c r="D369" s="30">
        <v>45530.698055555556</v>
      </c>
      <c r="E369" s="31">
        <v>56275571.147349998</v>
      </c>
    </row>
    <row r="370" spans="2:5" x14ac:dyDescent="0.2">
      <c r="B370" s="29">
        <f t="shared" si="33"/>
        <v>368</v>
      </c>
      <c r="C370" s="30" t="s">
        <v>104</v>
      </c>
      <c r="D370" s="30">
        <v>45530.698923611111</v>
      </c>
      <c r="E370" s="31">
        <v>56275571.147349998</v>
      </c>
    </row>
    <row r="371" spans="2:5" x14ac:dyDescent="0.2">
      <c r="B371" s="29">
        <f t="shared" si="33"/>
        <v>369</v>
      </c>
      <c r="C371" s="30" t="s">
        <v>98</v>
      </c>
      <c r="D371" s="30">
        <v>45531.389756944445</v>
      </c>
      <c r="E371" s="31">
        <v>56275571.147349998</v>
      </c>
    </row>
    <row r="372" spans="2:5" x14ac:dyDescent="0.2">
      <c r="B372" s="29">
        <f t="shared" si="33"/>
        <v>370</v>
      </c>
      <c r="C372" s="30" t="s">
        <v>98</v>
      </c>
      <c r="D372" s="30">
        <v>45531.389837962961</v>
      </c>
      <c r="E372" s="31">
        <v>56275570.147349998</v>
      </c>
    </row>
    <row r="373" spans="2:5" x14ac:dyDescent="0.2">
      <c r="B373" s="29">
        <f t="shared" si="33"/>
        <v>371</v>
      </c>
      <c r="C373" s="30" t="s">
        <v>98</v>
      </c>
      <c r="D373" s="30">
        <v>45531.390231481484</v>
      </c>
      <c r="E373" s="31">
        <v>58955570.147349998</v>
      </c>
    </row>
    <row r="374" spans="2:5" x14ac:dyDescent="0.2">
      <c r="B374" s="29">
        <f t="shared" si="33"/>
        <v>372</v>
      </c>
      <c r="C374" s="30" t="s">
        <v>98</v>
      </c>
      <c r="D374" s="30">
        <v>45531.390277777777</v>
      </c>
      <c r="E374" s="31">
        <v>58955570.147349998</v>
      </c>
    </row>
    <row r="375" spans="2:5" x14ac:dyDescent="0.2">
      <c r="B375" s="29">
        <f t="shared" si="33"/>
        <v>373</v>
      </c>
      <c r="C375" s="30" t="s">
        <v>98</v>
      </c>
      <c r="D375" s="30">
        <v>45531.390925925924</v>
      </c>
      <c r="E375" s="31">
        <v>58955570.147349998</v>
      </c>
    </row>
    <row r="376" spans="2:5" x14ac:dyDescent="0.2">
      <c r="B376" s="29">
        <f t="shared" si="33"/>
        <v>374</v>
      </c>
      <c r="C376" s="30" t="s">
        <v>98</v>
      </c>
      <c r="D376" s="30">
        <v>45531.392731481479</v>
      </c>
      <c r="E376" s="31">
        <v>59683849.347350001</v>
      </c>
    </row>
    <row r="377" spans="2:5" x14ac:dyDescent="0.2">
      <c r="B377" s="29">
        <f t="shared" si="33"/>
        <v>375</v>
      </c>
      <c r="C377" s="30" t="s">
        <v>98</v>
      </c>
      <c r="D377" s="30">
        <v>45531.393206018518</v>
      </c>
      <c r="E377" s="31">
        <v>59683849.347350001</v>
      </c>
    </row>
    <row r="378" spans="2:5" x14ac:dyDescent="0.2">
      <c r="B378" s="29">
        <f t="shared" si="33"/>
        <v>376</v>
      </c>
      <c r="C378" s="30" t="s">
        <v>98</v>
      </c>
      <c r="D378" s="30">
        <v>45531.40111111111</v>
      </c>
      <c r="E378" s="31">
        <v>59683849.347350001</v>
      </c>
    </row>
    <row r="379" spans="2:5" x14ac:dyDescent="0.2">
      <c r="B379" s="29">
        <f t="shared" si="33"/>
        <v>377</v>
      </c>
      <c r="C379" s="30" t="s">
        <v>98</v>
      </c>
      <c r="D379" s="30">
        <v>45531.521458333336</v>
      </c>
      <c r="E379" s="31">
        <v>59683849.347350001</v>
      </c>
    </row>
    <row r="380" spans="2:5" x14ac:dyDescent="0.2">
      <c r="B380" s="29">
        <f t="shared" si="33"/>
        <v>378</v>
      </c>
      <c r="C380" s="30" t="s">
        <v>98</v>
      </c>
      <c r="D380" s="30">
        <v>45531.521643518521</v>
      </c>
      <c r="E380" s="31">
        <v>59683849.347350001</v>
      </c>
    </row>
    <row r="381" spans="2:5" x14ac:dyDescent="0.2">
      <c r="B381" s="29">
        <f t="shared" si="33"/>
        <v>379</v>
      </c>
      <c r="C381" s="30" t="s">
        <v>98</v>
      </c>
      <c r="D381" s="30">
        <v>45531.525740740741</v>
      </c>
      <c r="E381" s="31">
        <v>65415427.033882879</v>
      </c>
    </row>
    <row r="382" spans="2:5" x14ac:dyDescent="0.2">
      <c r="B382" s="29">
        <f t="shared" si="33"/>
        <v>380</v>
      </c>
      <c r="C382" s="30" t="s">
        <v>98</v>
      </c>
      <c r="D382" s="30">
        <v>45531.526863425926</v>
      </c>
      <c r="E382" s="31">
        <v>65415427.033882879</v>
      </c>
    </row>
    <row r="383" spans="2:5" x14ac:dyDescent="0.2">
      <c r="B383" s="29">
        <f t="shared" si="33"/>
        <v>381</v>
      </c>
      <c r="C383" s="30" t="s">
        <v>98</v>
      </c>
      <c r="D383" s="30">
        <v>45531.527499999997</v>
      </c>
      <c r="E383" s="31">
        <v>65415427.033882879</v>
      </c>
    </row>
    <row r="384" spans="2:5" x14ac:dyDescent="0.2">
      <c r="B384" s="29">
        <f t="shared" si="33"/>
        <v>382</v>
      </c>
      <c r="C384" s="30" t="s">
        <v>98</v>
      </c>
      <c r="D384" s="30">
        <v>45531.528738425928</v>
      </c>
      <c r="E384" s="31">
        <v>65415427.033882879</v>
      </c>
    </row>
    <row r="385" spans="2:5" x14ac:dyDescent="0.2">
      <c r="B385" s="29">
        <f t="shared" si="33"/>
        <v>383</v>
      </c>
      <c r="C385" s="30" t="s">
        <v>98</v>
      </c>
      <c r="D385" s="30">
        <v>45531.528831018521</v>
      </c>
      <c r="E385" s="31">
        <v>65415427.033882879</v>
      </c>
    </row>
    <row r="386" spans="2:5" x14ac:dyDescent="0.2">
      <c r="B386" s="29">
        <f t="shared" si="33"/>
        <v>384</v>
      </c>
      <c r="C386" s="30" t="s">
        <v>98</v>
      </c>
      <c r="D386" s="30">
        <v>45531.529861111114</v>
      </c>
      <c r="E386" s="31">
        <v>65415427.033882879</v>
      </c>
    </row>
    <row r="387" spans="2:5" x14ac:dyDescent="0.2">
      <c r="B387" s="29">
        <f t="shared" si="33"/>
        <v>385</v>
      </c>
      <c r="C387" s="30" t="s">
        <v>98</v>
      </c>
      <c r="D387" s="30">
        <v>45531.53</v>
      </c>
      <c r="E387" s="31">
        <v>65415427.033882879</v>
      </c>
    </row>
    <row r="388" spans="2:5" x14ac:dyDescent="0.2">
      <c r="B388" s="29">
        <f t="shared" ref="B388:B401" si="34">ROW()-ROW($B$2)</f>
        <v>386</v>
      </c>
      <c r="C388" s="30" t="s">
        <v>105</v>
      </c>
      <c r="D388" s="30">
        <v>45531.55978009259</v>
      </c>
      <c r="E388" s="31">
        <v>65309359.413882881</v>
      </c>
    </row>
    <row r="389" spans="2:5" x14ac:dyDescent="0.2">
      <c r="B389" s="29">
        <f t="shared" si="34"/>
        <v>387</v>
      </c>
      <c r="C389" s="30" t="s">
        <v>105</v>
      </c>
      <c r="D389" s="30">
        <v>45531.617199074077</v>
      </c>
      <c r="E389" s="31">
        <v>63177860.673882887</v>
      </c>
    </row>
    <row r="390" spans="2:5" x14ac:dyDescent="0.2">
      <c r="B390" s="29">
        <f t="shared" si="34"/>
        <v>388</v>
      </c>
      <c r="C390" s="30" t="s">
        <v>98</v>
      </c>
      <c r="D390" s="30">
        <v>45531.630729166667</v>
      </c>
      <c r="E390" s="31">
        <v>63177860.673882887</v>
      </c>
    </row>
    <row r="391" spans="2:5" x14ac:dyDescent="0.2">
      <c r="B391" s="29">
        <f t="shared" si="34"/>
        <v>389</v>
      </c>
      <c r="C391" s="30" t="s">
        <v>98</v>
      </c>
      <c r="D391" s="30">
        <v>45531.631122685183</v>
      </c>
      <c r="E391" s="31">
        <v>62948599.504794881</v>
      </c>
    </row>
    <row r="392" spans="2:5" x14ac:dyDescent="0.2">
      <c r="B392" s="29">
        <f t="shared" si="34"/>
        <v>390</v>
      </c>
      <c r="C392" s="30" t="s">
        <v>105</v>
      </c>
      <c r="D392" s="30">
        <v>45531.640601851854</v>
      </c>
      <c r="E392" s="31">
        <v>63248599.504794881</v>
      </c>
    </row>
    <row r="393" spans="2:5" x14ac:dyDescent="0.2">
      <c r="B393" s="29">
        <f t="shared" si="34"/>
        <v>391</v>
      </c>
      <c r="C393" s="30" t="s">
        <v>98</v>
      </c>
      <c r="D393" s="30">
        <v>45531.647060185183</v>
      </c>
      <c r="E393" s="31">
        <v>63278839.504794896</v>
      </c>
    </row>
    <row r="394" spans="2:5" x14ac:dyDescent="0.2">
      <c r="B394" s="29">
        <f t="shared" si="34"/>
        <v>392</v>
      </c>
      <c r="C394" s="30" t="s">
        <v>98</v>
      </c>
      <c r="D394" s="30">
        <v>45531.647372685184</v>
      </c>
      <c r="E394" s="31">
        <v>63278839.504794896</v>
      </c>
    </row>
    <row r="395" spans="2:5" x14ac:dyDescent="0.2">
      <c r="B395" s="29">
        <f t="shared" si="34"/>
        <v>393</v>
      </c>
      <c r="C395" s="30" t="s">
        <v>98</v>
      </c>
      <c r="D395" s="30">
        <v>45531.649004629631</v>
      </c>
      <c r="E395" s="31">
        <v>63278839.504794896</v>
      </c>
    </row>
    <row r="396" spans="2:5" x14ac:dyDescent="0.2">
      <c r="B396" s="29">
        <f t="shared" si="34"/>
        <v>394</v>
      </c>
      <c r="C396" s="30" t="s">
        <v>98</v>
      </c>
      <c r="D396" s="30">
        <v>45531.649513888886</v>
      </c>
      <c r="E396" s="31">
        <v>63278839.504794896</v>
      </c>
    </row>
    <row r="397" spans="2:5" x14ac:dyDescent="0.2">
      <c r="B397" s="29">
        <f t="shared" si="34"/>
        <v>395</v>
      </c>
      <c r="C397" s="30" t="s">
        <v>98</v>
      </c>
      <c r="D397" s="30">
        <v>45531.649988425925</v>
      </c>
      <c r="E397" s="31">
        <v>63278839.504794896</v>
      </c>
    </row>
    <row r="398" spans="2:5" x14ac:dyDescent="0.2">
      <c r="B398" s="29">
        <f t="shared" si="34"/>
        <v>396</v>
      </c>
      <c r="C398" s="30" t="s">
        <v>98</v>
      </c>
      <c r="D398" s="30">
        <v>45531.650601851848</v>
      </c>
      <c r="E398" s="31">
        <v>63278839.504794896</v>
      </c>
    </row>
    <row r="399" spans="2:5" x14ac:dyDescent="0.2">
      <c r="B399" s="29">
        <f t="shared" si="34"/>
        <v>397</v>
      </c>
      <c r="C399" s="30" t="s">
        <v>98</v>
      </c>
      <c r="D399" s="30">
        <v>45531.651678240742</v>
      </c>
      <c r="E399" s="31">
        <v>63278839.504794896</v>
      </c>
    </row>
    <row r="400" spans="2:5" x14ac:dyDescent="0.2">
      <c r="B400" s="29">
        <f t="shared" si="34"/>
        <v>398</v>
      </c>
      <c r="C400" s="30" t="s">
        <v>98</v>
      </c>
      <c r="D400" s="30">
        <v>45531.652812499997</v>
      </c>
      <c r="E400" s="31">
        <v>63318879.504794896</v>
      </c>
    </row>
    <row r="401" spans="2:5" x14ac:dyDescent="0.2">
      <c r="B401" s="29">
        <f t="shared" si="34"/>
        <v>399</v>
      </c>
      <c r="C401" s="30" t="s">
        <v>98</v>
      </c>
      <c r="D401" s="30">
        <v>45531.653090277781</v>
      </c>
      <c r="E401" s="31">
        <v>63322915.536794886</v>
      </c>
    </row>
    <row r="402" spans="2:5" x14ac:dyDescent="0.2">
      <c r="B402" s="29">
        <f t="shared" ref="B402:B412" si="35">ROW()-ROW($B$2)</f>
        <v>400</v>
      </c>
      <c r="C402" s="30" t="s">
        <v>98</v>
      </c>
      <c r="D402" s="30">
        <v>45531.654270833336</v>
      </c>
      <c r="E402" s="31">
        <v>63322915.536794886</v>
      </c>
    </row>
    <row r="403" spans="2:5" x14ac:dyDescent="0.2">
      <c r="B403" s="29">
        <f t="shared" si="35"/>
        <v>401</v>
      </c>
      <c r="C403" s="30" t="s">
        <v>98</v>
      </c>
      <c r="D403" s="30">
        <v>45531.6559837963</v>
      </c>
      <c r="E403" s="31">
        <v>63322915.536794886</v>
      </c>
    </row>
    <row r="404" spans="2:5" x14ac:dyDescent="0.2">
      <c r="B404" s="29">
        <f t="shared" si="35"/>
        <v>402</v>
      </c>
      <c r="C404" s="30" t="s">
        <v>98</v>
      </c>
      <c r="D404" s="30">
        <v>45531.656018518515</v>
      </c>
      <c r="E404" s="31">
        <v>63322915.536794886</v>
      </c>
    </row>
    <row r="405" spans="2:5" x14ac:dyDescent="0.2">
      <c r="B405" s="29">
        <f t="shared" si="35"/>
        <v>403</v>
      </c>
      <c r="C405" s="30" t="s">
        <v>98</v>
      </c>
      <c r="D405" s="30">
        <v>45531.693020833336</v>
      </c>
      <c r="E405" s="31">
        <v>63322915.536794886</v>
      </c>
    </row>
    <row r="406" spans="2:5" x14ac:dyDescent="0.2">
      <c r="B406" s="29">
        <f t="shared" si="35"/>
        <v>404</v>
      </c>
      <c r="C406" s="30" t="s">
        <v>97</v>
      </c>
      <c r="D406" s="30">
        <v>45531.724027777775</v>
      </c>
      <c r="E406" s="31">
        <v>63322915.536794886</v>
      </c>
    </row>
    <row r="407" spans="2:5" x14ac:dyDescent="0.2">
      <c r="B407" s="29">
        <f t="shared" si="35"/>
        <v>405</v>
      </c>
      <c r="C407" s="30" t="s">
        <v>97</v>
      </c>
      <c r="D407" s="30">
        <v>45531.724108796298</v>
      </c>
      <c r="E407" s="31">
        <v>63322915.536794886</v>
      </c>
    </row>
    <row r="408" spans="2:5" x14ac:dyDescent="0.2">
      <c r="B408" s="29">
        <f t="shared" si="35"/>
        <v>406</v>
      </c>
      <c r="C408" s="30" t="s">
        <v>97</v>
      </c>
      <c r="D408" s="30">
        <v>45531.724965277775</v>
      </c>
      <c r="E408" s="31">
        <v>63351605.736794882</v>
      </c>
    </row>
    <row r="409" spans="2:5" x14ac:dyDescent="0.2">
      <c r="B409" s="29">
        <f t="shared" si="35"/>
        <v>407</v>
      </c>
      <c r="C409" s="30" t="s">
        <v>97</v>
      </c>
      <c r="D409" s="30">
        <v>45531.725115740737</v>
      </c>
      <c r="E409" s="31">
        <v>63351605.736794882</v>
      </c>
    </row>
    <row r="410" spans="2:5" x14ac:dyDescent="0.2">
      <c r="B410" s="29">
        <f t="shared" si="35"/>
        <v>408</v>
      </c>
      <c r="C410" s="30" t="s">
        <v>97</v>
      </c>
      <c r="D410" s="30">
        <v>45531.730983796297</v>
      </c>
      <c r="E410" s="31">
        <v>62863865.736794882</v>
      </c>
    </row>
    <row r="411" spans="2:5" x14ac:dyDescent="0.2">
      <c r="B411" s="29">
        <f t="shared" si="35"/>
        <v>409</v>
      </c>
      <c r="C411" s="30" t="s">
        <v>97</v>
      </c>
      <c r="D411" s="30">
        <v>45531.73300925926</v>
      </c>
      <c r="E411" s="31">
        <v>62358305.736794882</v>
      </c>
    </row>
    <row r="412" spans="2:5" x14ac:dyDescent="0.2">
      <c r="B412" s="29">
        <f t="shared" si="35"/>
        <v>410</v>
      </c>
      <c r="C412" s="30" t="s">
        <v>97</v>
      </c>
      <c r="D412" s="30">
        <v>45531.741678240738</v>
      </c>
      <c r="E412" s="31">
        <v>64163705.736794889</v>
      </c>
    </row>
    <row r="413" spans="2:5" x14ac:dyDescent="0.2">
      <c r="B413" s="29">
        <f t="shared" ref="B413:B425" si="36">ROW()-ROW($B$2)</f>
        <v>411</v>
      </c>
      <c r="C413" s="30" t="s">
        <v>98</v>
      </c>
      <c r="D413" s="30">
        <v>45531.752453703702</v>
      </c>
      <c r="E413" s="31">
        <v>64248457.388954885</v>
      </c>
    </row>
    <row r="414" spans="2:5" x14ac:dyDescent="0.2">
      <c r="B414" s="29">
        <f t="shared" si="36"/>
        <v>412</v>
      </c>
      <c r="C414" s="30" t="s">
        <v>98</v>
      </c>
      <c r="D414" s="30">
        <v>45531.752465277779</v>
      </c>
      <c r="E414" s="31">
        <v>64248457.388954885</v>
      </c>
    </row>
    <row r="415" spans="2:5" x14ac:dyDescent="0.2">
      <c r="B415" s="29">
        <f t="shared" si="36"/>
        <v>413</v>
      </c>
      <c r="C415" s="30" t="s">
        <v>98</v>
      </c>
      <c r="D415" s="30">
        <v>45531.75267361111</v>
      </c>
      <c r="E415" s="31">
        <v>64248457.388954885</v>
      </c>
    </row>
    <row r="416" spans="2:5" x14ac:dyDescent="0.2">
      <c r="B416" s="29">
        <f t="shared" si="36"/>
        <v>414</v>
      </c>
      <c r="C416" s="30" t="s">
        <v>98</v>
      </c>
      <c r="D416" s="30">
        <v>45533.37872685185</v>
      </c>
      <c r="E416" s="31">
        <v>63906658.988954864</v>
      </c>
    </row>
    <row r="417" spans="2:5" x14ac:dyDescent="0.2">
      <c r="B417" s="29">
        <f t="shared" si="36"/>
        <v>415</v>
      </c>
      <c r="C417" s="30" t="s">
        <v>98</v>
      </c>
      <c r="D417" s="30">
        <v>45533.378761574073</v>
      </c>
      <c r="E417" s="31">
        <v>63906658.988954864</v>
      </c>
    </row>
    <row r="418" spans="2:5" x14ac:dyDescent="0.2">
      <c r="B418" s="29">
        <f t="shared" si="36"/>
        <v>416</v>
      </c>
      <c r="C418" s="30" t="s">
        <v>98</v>
      </c>
      <c r="D418" s="30">
        <v>45533.380949074075</v>
      </c>
      <c r="E418" s="31">
        <v>63906658.988954864</v>
      </c>
    </row>
    <row r="419" spans="2:5" x14ac:dyDescent="0.2">
      <c r="B419" s="29">
        <f t="shared" si="36"/>
        <v>417</v>
      </c>
      <c r="C419" s="30" t="s">
        <v>98</v>
      </c>
      <c r="D419" s="30">
        <v>45533.382002314815</v>
      </c>
      <c r="E419" s="31">
        <v>49049393.187350005</v>
      </c>
    </row>
    <row r="420" spans="2:5" x14ac:dyDescent="0.2">
      <c r="B420" s="29">
        <f t="shared" si="36"/>
        <v>418</v>
      </c>
      <c r="C420" s="30" t="s">
        <v>98</v>
      </c>
      <c r="D420" s="30">
        <v>45533.397870370369</v>
      </c>
      <c r="E420" s="31">
        <v>28996542.283</v>
      </c>
    </row>
    <row r="421" spans="2:5" x14ac:dyDescent="0.2">
      <c r="B421" s="29">
        <f t="shared" si="36"/>
        <v>419</v>
      </c>
      <c r="C421" s="30" t="s">
        <v>98</v>
      </c>
      <c r="D421" s="30">
        <v>45533.400601851848</v>
      </c>
      <c r="E421" s="31">
        <v>11141149.283</v>
      </c>
    </row>
    <row r="422" spans="2:5" x14ac:dyDescent="0.2">
      <c r="B422" s="29">
        <f t="shared" si="36"/>
        <v>420</v>
      </c>
      <c r="C422" s="30" t="s">
        <v>98</v>
      </c>
      <c r="D422" s="30">
        <v>45533.400914351849</v>
      </c>
      <c r="E422" s="31">
        <v>11141149.283</v>
      </c>
    </row>
    <row r="423" spans="2:5" x14ac:dyDescent="0.2">
      <c r="B423" s="29">
        <f t="shared" si="36"/>
        <v>421</v>
      </c>
      <c r="C423" s="30" t="s">
        <v>98</v>
      </c>
      <c r="D423" s="30">
        <v>45533.40152777778</v>
      </c>
      <c r="E423" s="31">
        <v>13052970.499962799</v>
      </c>
    </row>
    <row r="424" spans="2:5" x14ac:dyDescent="0.2">
      <c r="B424" s="29">
        <f t="shared" si="36"/>
        <v>422</v>
      </c>
      <c r="C424" s="30" t="s">
        <v>98</v>
      </c>
      <c r="D424" s="30">
        <v>45533.448611111111</v>
      </c>
      <c r="E424" s="31">
        <v>13545770.499962799</v>
      </c>
    </row>
    <row r="425" spans="2:5" x14ac:dyDescent="0.2">
      <c r="B425" s="29">
        <f t="shared" si="36"/>
        <v>423</v>
      </c>
      <c r="C425" s="30" t="s">
        <v>98</v>
      </c>
      <c r="D425" s="30">
        <v>45533.449942129628</v>
      </c>
      <c r="E425" s="31">
        <v>13545770.499962799</v>
      </c>
    </row>
    <row r="426" spans="2:5" x14ac:dyDescent="0.2">
      <c r="B426" s="29">
        <f t="shared" ref="B426:B436" si="37">ROW()-ROW($B$2)</f>
        <v>424</v>
      </c>
      <c r="C426" s="30" t="s">
        <v>106</v>
      </c>
      <c r="D426" s="30">
        <v>45533.48609953704</v>
      </c>
      <c r="E426" s="31">
        <v>12710320.499962799</v>
      </c>
    </row>
    <row r="427" spans="2:5" x14ac:dyDescent="0.2">
      <c r="B427" s="29">
        <f t="shared" si="37"/>
        <v>425</v>
      </c>
      <c r="C427" s="30" t="s">
        <v>106</v>
      </c>
      <c r="D427" s="30">
        <v>45533.491435185184</v>
      </c>
      <c r="E427" s="31">
        <v>13093120.499962799</v>
      </c>
    </row>
    <row r="428" spans="2:5" x14ac:dyDescent="0.2">
      <c r="B428" s="29">
        <f t="shared" si="37"/>
        <v>426</v>
      </c>
      <c r="C428" s="30" t="s">
        <v>106</v>
      </c>
      <c r="D428" s="30">
        <v>45533.494641203702</v>
      </c>
      <c r="E428" s="31">
        <v>12797440.499962799</v>
      </c>
    </row>
    <row r="429" spans="2:5" x14ac:dyDescent="0.2">
      <c r="B429" s="29">
        <f t="shared" si="37"/>
        <v>427</v>
      </c>
      <c r="C429" s="30" t="s">
        <v>106</v>
      </c>
      <c r="D429" s="30">
        <v>45533.49490740741</v>
      </c>
      <c r="E429" s="31">
        <v>12797440.499962799</v>
      </c>
    </row>
    <row r="430" spans="2:5" x14ac:dyDescent="0.2">
      <c r="B430" s="29">
        <f t="shared" si="37"/>
        <v>428</v>
      </c>
      <c r="C430" s="30" t="s">
        <v>106</v>
      </c>
      <c r="D430" s="30">
        <v>45533.494988425926</v>
      </c>
      <c r="E430" s="31">
        <v>12797440.499962799</v>
      </c>
    </row>
    <row r="431" spans="2:5" x14ac:dyDescent="0.2">
      <c r="B431" s="29">
        <f t="shared" si="37"/>
        <v>429</v>
      </c>
      <c r="C431" s="30" t="s">
        <v>97</v>
      </c>
      <c r="D431" s="30">
        <v>45533.50203703704</v>
      </c>
      <c r="E431" s="31">
        <v>11048754.0788328</v>
      </c>
    </row>
    <row r="432" spans="2:5" x14ac:dyDescent="0.2">
      <c r="B432" s="29">
        <f t="shared" si="37"/>
        <v>430</v>
      </c>
      <c r="C432" s="30" t="s">
        <v>97</v>
      </c>
      <c r="D432" s="30">
        <v>45533.502534722225</v>
      </c>
      <c r="E432" s="31">
        <v>11061954.0788328</v>
      </c>
    </row>
    <row r="433" spans="2:5" x14ac:dyDescent="0.2">
      <c r="B433" s="29">
        <f t="shared" si="37"/>
        <v>431</v>
      </c>
      <c r="C433" s="30" t="s">
        <v>97</v>
      </c>
      <c r="D433" s="30">
        <v>45533.503796296296</v>
      </c>
      <c r="E433" s="31">
        <v>10333314.0788328</v>
      </c>
    </row>
    <row r="434" spans="2:5" x14ac:dyDescent="0.2">
      <c r="B434" s="29">
        <f t="shared" si="37"/>
        <v>432</v>
      </c>
      <c r="C434" s="30" t="s">
        <v>97</v>
      </c>
      <c r="D434" s="30">
        <v>45533.506562499999</v>
      </c>
      <c r="E434" s="31">
        <v>10716994.0788328</v>
      </c>
    </row>
    <row r="435" spans="2:5" x14ac:dyDescent="0.2">
      <c r="B435" s="29">
        <f t="shared" si="37"/>
        <v>433</v>
      </c>
      <c r="C435" s="30" t="s">
        <v>97</v>
      </c>
      <c r="D435" s="30">
        <v>45533.507025462961</v>
      </c>
      <c r="E435" s="31">
        <v>10320994.0788328</v>
      </c>
    </row>
    <row r="436" spans="2:5" x14ac:dyDescent="0.2">
      <c r="B436" s="29">
        <f t="shared" si="37"/>
        <v>434</v>
      </c>
      <c r="C436" s="30" t="s">
        <v>97</v>
      </c>
      <c r="D436" s="30">
        <v>45533.507847222223</v>
      </c>
      <c r="E436" s="31">
        <v>10320994.0788328</v>
      </c>
    </row>
    <row r="437" spans="2:5" x14ac:dyDescent="0.2">
      <c r="B437" s="29">
        <f t="shared" ref="B437:B442" si="38">ROW()-ROW($B$2)</f>
        <v>435</v>
      </c>
      <c r="C437" s="30" t="s">
        <v>98</v>
      </c>
      <c r="D437" s="30">
        <v>45537.708981481483</v>
      </c>
      <c r="E437" s="31">
        <v>10174242.442848001</v>
      </c>
    </row>
    <row r="438" spans="2:5" x14ac:dyDescent="0.2">
      <c r="B438" s="29">
        <f t="shared" si="38"/>
        <v>436</v>
      </c>
      <c r="C438" s="30" t="s">
        <v>98</v>
      </c>
      <c r="D438" s="30">
        <v>45537.709861111114</v>
      </c>
      <c r="E438" s="31">
        <v>10174242.442848001</v>
      </c>
    </row>
    <row r="439" spans="2:5" x14ac:dyDescent="0.2">
      <c r="B439" s="29">
        <f t="shared" si="38"/>
        <v>437</v>
      </c>
      <c r="C439" s="30" t="s">
        <v>98</v>
      </c>
      <c r="D439" s="30">
        <v>45537.753969907404</v>
      </c>
      <c r="E439" s="31">
        <v>9634699.2829999998</v>
      </c>
    </row>
    <row r="440" spans="2:5" x14ac:dyDescent="0.2">
      <c r="B440" s="29">
        <f t="shared" si="38"/>
        <v>438</v>
      </c>
      <c r="C440" s="30" t="s">
        <v>98</v>
      </c>
      <c r="D440" s="30">
        <v>45537.754652777781</v>
      </c>
      <c r="E440" s="31">
        <v>10174242.442848001</v>
      </c>
    </row>
    <row r="441" spans="2:5" x14ac:dyDescent="0.2">
      <c r="B441" s="29">
        <f t="shared" si="38"/>
        <v>439</v>
      </c>
      <c r="C441" s="30" t="s">
        <v>98</v>
      </c>
      <c r="D441" s="30">
        <v>45537.75582175926</v>
      </c>
      <c r="E441" s="31">
        <v>10174242.442848001</v>
      </c>
    </row>
    <row r="442" spans="2:5" x14ac:dyDescent="0.2">
      <c r="B442" s="29">
        <f t="shared" si="38"/>
        <v>440</v>
      </c>
      <c r="C442" s="30" t="s">
        <v>98</v>
      </c>
      <c r="D442" s="30">
        <v>45537.756249999999</v>
      </c>
      <c r="E442" s="31">
        <v>10174242.442848001</v>
      </c>
    </row>
    <row r="443" spans="2:5" x14ac:dyDescent="0.2">
      <c r="B443" s="29">
        <f t="shared" ref="B443:B450" si="39">ROW()-ROW($B$2)</f>
        <v>441</v>
      </c>
      <c r="C443" s="30" t="s">
        <v>98</v>
      </c>
      <c r="D443" s="30">
        <v>45539.67287037037</v>
      </c>
      <c r="E443" s="31">
        <v>10174242.442848001</v>
      </c>
    </row>
    <row r="444" spans="2:5" x14ac:dyDescent="0.2">
      <c r="B444" s="29">
        <f t="shared" si="39"/>
        <v>442</v>
      </c>
      <c r="C444" s="30" t="s">
        <v>98</v>
      </c>
      <c r="D444" s="30">
        <v>45540.615162037036</v>
      </c>
      <c r="E444" s="31">
        <v>10174242.442848001</v>
      </c>
    </row>
    <row r="445" spans="2:5" x14ac:dyDescent="0.2">
      <c r="B445" s="29">
        <f t="shared" si="39"/>
        <v>443</v>
      </c>
      <c r="C445" s="30" t="s">
        <v>98</v>
      </c>
      <c r="D445" s="30">
        <v>45540.707662037035</v>
      </c>
      <c r="E445" s="31">
        <v>4324348.2428480005</v>
      </c>
    </row>
    <row r="446" spans="2:5" x14ac:dyDescent="0.2">
      <c r="B446" s="29">
        <f t="shared" si="39"/>
        <v>444</v>
      </c>
      <c r="C446" s="30" t="s">
        <v>98</v>
      </c>
      <c r="D446" s="30">
        <v>45540.709791666668</v>
      </c>
      <c r="E446" s="31">
        <v>3996754.1676480006</v>
      </c>
    </row>
    <row r="447" spans="2:5" x14ac:dyDescent="0.2">
      <c r="B447" s="29">
        <f t="shared" si="39"/>
        <v>445</v>
      </c>
      <c r="C447" s="30" t="s">
        <v>98</v>
      </c>
      <c r="D447" s="30">
        <v>45540.712175925924</v>
      </c>
      <c r="E447" s="31">
        <v>3996754.1676480006</v>
      </c>
    </row>
    <row r="448" spans="2:5" x14ac:dyDescent="0.2">
      <c r="B448" s="29">
        <f t="shared" si="39"/>
        <v>446</v>
      </c>
      <c r="C448" s="30" t="s">
        <v>98</v>
      </c>
      <c r="D448" s="30">
        <v>45540.71497685185</v>
      </c>
      <c r="E448" s="31">
        <v>3950114.1676480006</v>
      </c>
    </row>
    <row r="449" spans="2:5" x14ac:dyDescent="0.2">
      <c r="B449" s="29">
        <f t="shared" si="39"/>
        <v>447</v>
      </c>
      <c r="C449" s="30" t="s">
        <v>98</v>
      </c>
      <c r="D449" s="30">
        <v>45540.715081018519</v>
      </c>
      <c r="E449" s="31">
        <v>3950114.1676480006</v>
      </c>
    </row>
    <row r="450" spans="2:5" x14ac:dyDescent="0.2">
      <c r="B450" s="29">
        <f t="shared" si="39"/>
        <v>448</v>
      </c>
      <c r="C450" s="30" t="s">
        <v>98</v>
      </c>
      <c r="D450" s="30">
        <v>45540.715115740742</v>
      </c>
      <c r="E450" s="31">
        <v>3947502.3276480008</v>
      </c>
    </row>
    <row r="451" spans="2:5" x14ac:dyDescent="0.2">
      <c r="B451" s="29">
        <f t="shared" ref="B451:B457" si="40">ROW()-ROW($B$2)</f>
        <v>449</v>
      </c>
      <c r="C451" s="30" t="s">
        <v>98</v>
      </c>
      <c r="D451" s="30">
        <v>45541.654444444444</v>
      </c>
      <c r="E451" s="31">
        <v>3947502.3276480008</v>
      </c>
    </row>
    <row r="452" spans="2:5" x14ac:dyDescent="0.2">
      <c r="B452" s="29">
        <f t="shared" si="40"/>
        <v>450</v>
      </c>
      <c r="C452" s="30" t="s">
        <v>98</v>
      </c>
      <c r="D452" s="30">
        <v>45541.654618055552</v>
      </c>
      <c r="E452" s="31">
        <v>3947502.3276480008</v>
      </c>
    </row>
    <row r="453" spans="2:5" x14ac:dyDescent="0.2">
      <c r="B453" s="29">
        <f t="shared" si="40"/>
        <v>451</v>
      </c>
      <c r="C453" s="30" t="s">
        <v>98</v>
      </c>
      <c r="D453" s="30">
        <v>45541.654745370368</v>
      </c>
      <c r="E453" s="31">
        <v>3947502.3276480008</v>
      </c>
    </row>
    <row r="454" spans="2:5" x14ac:dyDescent="0.2">
      <c r="B454" s="29">
        <f t="shared" si="40"/>
        <v>452</v>
      </c>
      <c r="C454" s="30" t="s">
        <v>98</v>
      </c>
      <c r="D454" s="30">
        <v>45541.665833333333</v>
      </c>
      <c r="E454" s="31">
        <v>3947502.3276480008</v>
      </c>
    </row>
    <row r="455" spans="2:5" x14ac:dyDescent="0.2">
      <c r="B455" s="29">
        <f t="shared" si="40"/>
        <v>453</v>
      </c>
      <c r="C455" s="30" t="s">
        <v>98</v>
      </c>
      <c r="D455" s="30">
        <v>45541.665925925925</v>
      </c>
      <c r="E455" s="31">
        <v>3947502.3276480008</v>
      </c>
    </row>
    <row r="456" spans="2:5" x14ac:dyDescent="0.2">
      <c r="B456" s="29">
        <f t="shared" si="40"/>
        <v>454</v>
      </c>
      <c r="C456" s="30" t="s">
        <v>98</v>
      </c>
      <c r="D456" s="30">
        <v>45544.462233796294</v>
      </c>
      <c r="E456" s="31">
        <v>3947502.3276480008</v>
      </c>
    </row>
    <row r="457" spans="2:5" x14ac:dyDescent="0.2">
      <c r="B457" s="29">
        <f t="shared" si="40"/>
        <v>455</v>
      </c>
      <c r="C457" s="30" t="s">
        <v>98</v>
      </c>
      <c r="D457" s="30">
        <v>45544.467118055552</v>
      </c>
      <c r="E457" s="31">
        <v>3947502.3276480008</v>
      </c>
    </row>
    <row r="458" spans="2:5" x14ac:dyDescent="0.2">
      <c r="B458" s="29">
        <f t="shared" ref="B458:B463" si="41">ROW()-ROW($B$2)</f>
        <v>456</v>
      </c>
      <c r="C458" s="30" t="s">
        <v>98</v>
      </c>
      <c r="D458" s="30">
        <v>45544.474965277775</v>
      </c>
      <c r="E458" s="31">
        <v>3947502.3276480008</v>
      </c>
    </row>
    <row r="459" spans="2:5" x14ac:dyDescent="0.2">
      <c r="B459" s="29">
        <f t="shared" si="41"/>
        <v>457</v>
      </c>
      <c r="C459" s="30" t="s">
        <v>98</v>
      </c>
      <c r="D459" s="30">
        <v>45544.478541666664</v>
      </c>
      <c r="E459" s="31">
        <v>3947502.3276480008</v>
      </c>
    </row>
    <row r="460" spans="2:5" x14ac:dyDescent="0.2">
      <c r="B460" s="29">
        <f t="shared" si="41"/>
        <v>458</v>
      </c>
      <c r="C460" s="30" t="s">
        <v>98</v>
      </c>
      <c r="D460" s="30">
        <v>45544.479097222225</v>
      </c>
      <c r="E460" s="31">
        <v>3947502.3276480008</v>
      </c>
    </row>
    <row r="461" spans="2:5" x14ac:dyDescent="0.2">
      <c r="B461" s="29">
        <f t="shared" si="41"/>
        <v>459</v>
      </c>
      <c r="C461" s="30" t="s">
        <v>98</v>
      </c>
      <c r="D461" s="30">
        <v>45544.482187499998</v>
      </c>
      <c r="E461" s="31">
        <v>3947502.3276480008</v>
      </c>
    </row>
    <row r="462" spans="2:5" x14ac:dyDescent="0.2">
      <c r="B462" s="29">
        <f t="shared" si="41"/>
        <v>460</v>
      </c>
      <c r="C462" s="30" t="s">
        <v>98</v>
      </c>
      <c r="D462" s="30">
        <v>45544.597141203703</v>
      </c>
      <c r="E462" s="31">
        <v>3947502.3276480008</v>
      </c>
    </row>
    <row r="463" spans="2:5" x14ac:dyDescent="0.2">
      <c r="B463" s="29">
        <f t="shared" si="41"/>
        <v>461</v>
      </c>
      <c r="C463" s="30" t="s">
        <v>98</v>
      </c>
      <c r="D463" s="30">
        <v>45544.610949074071</v>
      </c>
      <c r="E463" s="31">
        <v>3947502.3276480008</v>
      </c>
    </row>
    <row r="464" spans="2:5" x14ac:dyDescent="0.2">
      <c r="B464" s="29">
        <f t="shared" ref="B464:B469" si="42">ROW()-ROW($B$2)</f>
        <v>462</v>
      </c>
      <c r="C464" s="30" t="s">
        <v>98</v>
      </c>
      <c r="D464" s="30">
        <v>45544.64984953704</v>
      </c>
      <c r="E464" s="31">
        <v>1661900.6446479999</v>
      </c>
    </row>
    <row r="465" spans="2:5" x14ac:dyDescent="0.2">
      <c r="B465" s="29">
        <f t="shared" si="42"/>
        <v>463</v>
      </c>
      <c r="C465" s="30" t="s">
        <v>98</v>
      </c>
      <c r="D465" s="30">
        <v>45544.649907407409</v>
      </c>
      <c r="E465" s="31">
        <v>1661900.6446479999</v>
      </c>
    </row>
    <row r="466" spans="2:5" x14ac:dyDescent="0.2">
      <c r="B466" s="29">
        <f t="shared" si="42"/>
        <v>464</v>
      </c>
      <c r="C466" s="30" t="s">
        <v>98</v>
      </c>
      <c r="D466" s="30">
        <v>45544.651041666664</v>
      </c>
      <c r="E466" s="31">
        <v>1661900.6446479999</v>
      </c>
    </row>
    <row r="467" spans="2:5" x14ac:dyDescent="0.2">
      <c r="B467" s="29">
        <f t="shared" si="42"/>
        <v>465</v>
      </c>
      <c r="C467" s="30" t="s">
        <v>98</v>
      </c>
      <c r="D467" s="30">
        <v>45544.651145833333</v>
      </c>
      <c r="E467" s="31">
        <v>1661900.6446479999</v>
      </c>
    </row>
    <row r="468" spans="2:5" x14ac:dyDescent="0.2">
      <c r="B468" s="29">
        <f t="shared" si="42"/>
        <v>466</v>
      </c>
      <c r="C468" s="30" t="s">
        <v>98</v>
      </c>
      <c r="D468" s="30">
        <v>45544.651342592595</v>
      </c>
      <c r="E468" s="31">
        <v>1533906.9504</v>
      </c>
    </row>
    <row r="469" spans="2:5" x14ac:dyDescent="0.2">
      <c r="B469" s="29">
        <f t="shared" si="42"/>
        <v>467</v>
      </c>
      <c r="C469" s="30" t="s">
        <v>98</v>
      </c>
      <c r="D469" s="30">
        <v>45544.700798611113</v>
      </c>
      <c r="E469" s="31">
        <v>1533906.9504</v>
      </c>
    </row>
    <row r="470" spans="2:5" x14ac:dyDescent="0.2">
      <c r="B470" s="29">
        <f t="shared" ref="B470:B479" si="43">ROW()-ROW($B$2)</f>
        <v>468</v>
      </c>
      <c r="C470" s="30" t="s">
        <v>98</v>
      </c>
      <c r="D470" s="30">
        <v>45544.707928240743</v>
      </c>
      <c r="E470" s="31">
        <v>1533906.9504</v>
      </c>
    </row>
    <row r="471" spans="2:5" x14ac:dyDescent="0.2">
      <c r="B471" s="29">
        <f t="shared" si="43"/>
        <v>469</v>
      </c>
      <c r="C471" s="30" t="s">
        <v>98</v>
      </c>
      <c r="D471" s="30">
        <v>45544.707962962966</v>
      </c>
      <c r="E471" s="31">
        <v>1533906.9504</v>
      </c>
    </row>
    <row r="472" spans="2:5" x14ac:dyDescent="0.2">
      <c r="B472" s="29">
        <f t="shared" si="43"/>
        <v>470</v>
      </c>
      <c r="C472" s="30" t="s">
        <v>98</v>
      </c>
      <c r="D472" s="30">
        <v>45545.698310185187</v>
      </c>
      <c r="E472" s="31">
        <v>1722402.9504</v>
      </c>
    </row>
    <row r="473" spans="2:5" x14ac:dyDescent="0.2">
      <c r="B473" s="29">
        <f t="shared" si="43"/>
        <v>471</v>
      </c>
      <c r="C473" s="30" t="s">
        <v>98</v>
      </c>
      <c r="D473" s="30">
        <v>45545.702650462961</v>
      </c>
      <c r="E473" s="31">
        <v>1722402.9504</v>
      </c>
    </row>
    <row r="474" spans="2:5" x14ac:dyDescent="0.2">
      <c r="B474" s="29">
        <f t="shared" si="43"/>
        <v>472</v>
      </c>
      <c r="C474" s="30" t="s">
        <v>98</v>
      </c>
      <c r="D474" s="30">
        <v>45545.703483796293</v>
      </c>
      <c r="E474" s="31">
        <v>1722402.9504</v>
      </c>
    </row>
    <row r="475" spans="2:5" x14ac:dyDescent="0.2">
      <c r="B475" s="29">
        <f t="shared" si="43"/>
        <v>473</v>
      </c>
      <c r="C475" s="30" t="s">
        <v>98</v>
      </c>
      <c r="D475" s="30">
        <v>45553.573252314818</v>
      </c>
      <c r="E475" s="31">
        <v>1722402.9504</v>
      </c>
    </row>
    <row r="476" spans="2:5" x14ac:dyDescent="0.2">
      <c r="B476" s="29">
        <f t="shared" si="43"/>
        <v>474</v>
      </c>
      <c r="C476" s="30" t="s">
        <v>98</v>
      </c>
      <c r="D476" s="30">
        <v>45554.420335648145</v>
      </c>
      <c r="E476" s="31">
        <v>2466142.9504</v>
      </c>
    </row>
    <row r="477" spans="2:5" x14ac:dyDescent="0.2">
      <c r="B477" s="29">
        <f t="shared" si="43"/>
        <v>475</v>
      </c>
      <c r="C477" s="30" t="s">
        <v>98</v>
      </c>
      <c r="D477" s="30">
        <v>45554.483159722222</v>
      </c>
      <c r="E477" s="31">
        <v>2466142.9504</v>
      </c>
    </row>
    <row r="478" spans="2:5" x14ac:dyDescent="0.2">
      <c r="B478" s="29">
        <f t="shared" si="43"/>
        <v>476</v>
      </c>
      <c r="C478" s="30" t="s">
        <v>98</v>
      </c>
      <c r="D478" s="30">
        <v>45554.483923611115</v>
      </c>
      <c r="E478" s="31">
        <v>2466142.9504</v>
      </c>
    </row>
    <row r="479" spans="2:5" x14ac:dyDescent="0.2">
      <c r="B479" s="29">
        <f t="shared" si="43"/>
        <v>477</v>
      </c>
      <c r="C479" s="30" t="s">
        <v>98</v>
      </c>
      <c r="D479" s="30">
        <v>45554.554710648146</v>
      </c>
      <c r="E479" s="31">
        <v>2466142.9504</v>
      </c>
    </row>
    <row r="480" spans="2:5" x14ac:dyDescent="0.2">
      <c r="B480" s="29">
        <f t="shared" ref="B480:B491" si="44">ROW()-ROW($B$2)</f>
        <v>478</v>
      </c>
      <c r="C480" s="30" t="s">
        <v>98</v>
      </c>
      <c r="D480" s="30">
        <v>45554.604745370372</v>
      </c>
      <c r="E480" s="31">
        <v>2932142.3903999999</v>
      </c>
    </row>
    <row r="481" spans="2:5" x14ac:dyDescent="0.2">
      <c r="B481" s="29">
        <f t="shared" si="44"/>
        <v>479</v>
      </c>
      <c r="C481" s="30" t="s">
        <v>98</v>
      </c>
      <c r="D481" s="30">
        <v>45554.60633101852</v>
      </c>
      <c r="E481" s="31">
        <v>2762024.3903999999</v>
      </c>
    </row>
    <row r="482" spans="2:5" x14ac:dyDescent="0.2">
      <c r="B482" s="29">
        <f t="shared" si="44"/>
        <v>480</v>
      </c>
      <c r="C482" s="30" t="s">
        <v>98</v>
      </c>
      <c r="D482" s="30">
        <v>45554.606944444444</v>
      </c>
      <c r="E482" s="31">
        <v>2762024.3903999999</v>
      </c>
    </row>
    <row r="483" spans="2:5" x14ac:dyDescent="0.2">
      <c r="B483" s="29">
        <f t="shared" si="44"/>
        <v>481</v>
      </c>
      <c r="C483" s="30" t="s">
        <v>98</v>
      </c>
      <c r="D483" s="30">
        <v>45554.611527777779</v>
      </c>
      <c r="E483" s="31">
        <v>3123598.7903999998</v>
      </c>
    </row>
    <row r="484" spans="2:5" x14ac:dyDescent="0.2">
      <c r="B484" s="29">
        <f t="shared" si="44"/>
        <v>482</v>
      </c>
      <c r="C484" s="30" t="s">
        <v>98</v>
      </c>
      <c r="D484" s="30">
        <v>45554.612337962964</v>
      </c>
      <c r="E484" s="31">
        <v>3123598.7903999998</v>
      </c>
    </row>
    <row r="485" spans="2:5" x14ac:dyDescent="0.2">
      <c r="B485" s="29">
        <f t="shared" si="44"/>
        <v>483</v>
      </c>
      <c r="C485" s="30" t="s">
        <v>98</v>
      </c>
      <c r="D485" s="30">
        <v>45554.618900462963</v>
      </c>
      <c r="E485" s="31">
        <v>3759719.7903999998</v>
      </c>
    </row>
    <row r="486" spans="2:5" x14ac:dyDescent="0.2">
      <c r="B486" s="29">
        <f t="shared" si="44"/>
        <v>484</v>
      </c>
      <c r="C486" s="30" t="s">
        <v>98</v>
      </c>
      <c r="D486" s="30">
        <v>45554.619756944441</v>
      </c>
      <c r="E486" s="31">
        <v>3759719.7903999998</v>
      </c>
    </row>
    <row r="487" spans="2:5" x14ac:dyDescent="0.2">
      <c r="B487" s="29">
        <f t="shared" si="44"/>
        <v>485</v>
      </c>
      <c r="C487" s="30" t="s">
        <v>98</v>
      </c>
      <c r="D487" s="30">
        <v>45554.620648148149</v>
      </c>
      <c r="E487" s="31">
        <v>3759719.7903999998</v>
      </c>
    </row>
    <row r="488" spans="2:5" x14ac:dyDescent="0.2">
      <c r="B488" s="29">
        <f t="shared" si="44"/>
        <v>486</v>
      </c>
      <c r="C488" s="30" t="s">
        <v>98</v>
      </c>
      <c r="D488" s="30">
        <v>45554.620775462965</v>
      </c>
      <c r="E488" s="31">
        <v>3795342.5663999999</v>
      </c>
    </row>
    <row r="489" spans="2:5" x14ac:dyDescent="0.2">
      <c r="B489" s="29">
        <f t="shared" si="44"/>
        <v>487</v>
      </c>
      <c r="C489" s="30" t="s">
        <v>98</v>
      </c>
      <c r="D489" s="30">
        <v>45554.623506944445</v>
      </c>
      <c r="E489" s="31">
        <v>3795342.5663999999</v>
      </c>
    </row>
    <row r="490" spans="2:5" x14ac:dyDescent="0.2">
      <c r="B490" s="29">
        <f t="shared" si="44"/>
        <v>488</v>
      </c>
      <c r="C490" s="30" t="s">
        <v>98</v>
      </c>
      <c r="D490" s="30">
        <v>45554.646956018521</v>
      </c>
      <c r="E490" s="31">
        <v>3795342.5663999999</v>
      </c>
    </row>
    <row r="491" spans="2:5" x14ac:dyDescent="0.2">
      <c r="B491" s="29">
        <f t="shared" si="44"/>
        <v>489</v>
      </c>
      <c r="C491" s="30" t="s">
        <v>98</v>
      </c>
      <c r="D491" s="30">
        <v>45554.648078703707</v>
      </c>
      <c r="E491" s="31">
        <v>3795342.5663999999</v>
      </c>
    </row>
    <row r="492" spans="2:5" x14ac:dyDescent="0.2">
      <c r="B492" s="29">
        <f t="shared" ref="B492:B499" si="45">ROW()-ROW($B$2)</f>
        <v>490</v>
      </c>
      <c r="C492" s="30" t="s">
        <v>98</v>
      </c>
      <c r="D492" s="30">
        <v>45554.711585648147</v>
      </c>
      <c r="E492" s="31">
        <v>3795342.5663999999</v>
      </c>
    </row>
    <row r="493" spans="2:5" x14ac:dyDescent="0.2">
      <c r="B493" s="29">
        <f t="shared" si="45"/>
        <v>491</v>
      </c>
      <c r="C493" s="30" t="s">
        <v>98</v>
      </c>
      <c r="D493" s="30">
        <v>45555.378506944442</v>
      </c>
      <c r="E493" s="31">
        <v>4074126.5663999999</v>
      </c>
    </row>
    <row r="494" spans="2:5" x14ac:dyDescent="0.2">
      <c r="B494" s="29">
        <f t="shared" si="45"/>
        <v>492</v>
      </c>
      <c r="C494" s="30" t="s">
        <v>98</v>
      </c>
      <c r="D494" s="30">
        <v>45555.378587962965</v>
      </c>
      <c r="E494" s="31">
        <v>4074126.5663999999</v>
      </c>
    </row>
    <row r="495" spans="2:5" x14ac:dyDescent="0.2">
      <c r="B495" s="29">
        <f t="shared" si="45"/>
        <v>493</v>
      </c>
      <c r="C495" s="30" t="s">
        <v>98</v>
      </c>
      <c r="D495" s="30">
        <v>45558.456284722219</v>
      </c>
      <c r="E495" s="31">
        <v>5660294.5344000002</v>
      </c>
    </row>
    <row r="496" spans="2:5" x14ac:dyDescent="0.2">
      <c r="B496" s="29">
        <f t="shared" si="45"/>
        <v>494</v>
      </c>
      <c r="C496" s="30" t="s">
        <v>98</v>
      </c>
      <c r="D496" s="30">
        <v>45558.460648148146</v>
      </c>
      <c r="E496" s="31">
        <v>5660294.5344000002</v>
      </c>
    </row>
    <row r="497" spans="2:5" x14ac:dyDescent="0.2">
      <c r="B497" s="29">
        <f t="shared" si="45"/>
        <v>495</v>
      </c>
      <c r="C497" s="30" t="s">
        <v>98</v>
      </c>
      <c r="D497" s="30">
        <v>45558.530381944445</v>
      </c>
      <c r="E497" s="31">
        <v>5386887.5344000002</v>
      </c>
    </row>
    <row r="498" spans="2:5" x14ac:dyDescent="0.2">
      <c r="B498" s="29">
        <f t="shared" si="45"/>
        <v>496</v>
      </c>
      <c r="C498" s="30" t="s">
        <v>98</v>
      </c>
      <c r="D498" s="30">
        <v>45558.530428240738</v>
      </c>
      <c r="E498" s="31">
        <v>5371576.7423999999</v>
      </c>
    </row>
    <row r="499" spans="2:5" x14ac:dyDescent="0.2">
      <c r="B499" s="29">
        <f t="shared" si="45"/>
        <v>497</v>
      </c>
      <c r="C499" s="30" t="s">
        <v>98</v>
      </c>
      <c r="D499" s="30">
        <v>45558.614247685182</v>
      </c>
      <c r="E499" s="31">
        <v>5371576.7423999999</v>
      </c>
    </row>
    <row r="500" spans="2:5" x14ac:dyDescent="0.2">
      <c r="B500" s="29">
        <f t="shared" ref="B500:B505" si="46">ROW()-ROW($B$2)</f>
        <v>498</v>
      </c>
      <c r="C500" s="30" t="s">
        <v>98</v>
      </c>
      <c r="D500" s="30">
        <v>45559.468032407407</v>
      </c>
      <c r="E500" s="31">
        <v>5421576.7423999999</v>
      </c>
    </row>
    <row r="501" spans="2:5" x14ac:dyDescent="0.2">
      <c r="B501" s="29">
        <f t="shared" si="46"/>
        <v>499</v>
      </c>
      <c r="C501" s="30" t="s">
        <v>98</v>
      </c>
      <c r="D501" s="30">
        <v>45559.469166666669</v>
      </c>
      <c r="E501" s="31">
        <v>5421576.7423999999</v>
      </c>
    </row>
    <row r="502" spans="2:5" x14ac:dyDescent="0.2">
      <c r="B502" s="29">
        <f t="shared" si="46"/>
        <v>500</v>
      </c>
      <c r="C502" s="30" t="s">
        <v>98</v>
      </c>
      <c r="D502" s="30">
        <v>45559.484768518516</v>
      </c>
      <c r="E502" s="31">
        <v>5634175.4304000009</v>
      </c>
    </row>
    <row r="503" spans="2:5" x14ac:dyDescent="0.2">
      <c r="B503" s="29">
        <f t="shared" si="46"/>
        <v>501</v>
      </c>
      <c r="C503" s="30" t="s">
        <v>98</v>
      </c>
      <c r="D503" s="30">
        <v>45560.508842592593</v>
      </c>
      <c r="E503" s="31">
        <v>5624440.4304000009</v>
      </c>
    </row>
    <row r="504" spans="2:5" x14ac:dyDescent="0.2">
      <c r="B504" s="29">
        <f t="shared" si="46"/>
        <v>502</v>
      </c>
      <c r="C504" s="30" t="s">
        <v>98</v>
      </c>
      <c r="D504" s="30">
        <v>45560.531585648147</v>
      </c>
      <c r="E504" s="31">
        <v>5829815.2704000007</v>
      </c>
    </row>
    <row r="505" spans="2:5" x14ac:dyDescent="0.2">
      <c r="B505" s="29">
        <f t="shared" si="46"/>
        <v>503</v>
      </c>
      <c r="C505" s="30" t="s">
        <v>98</v>
      </c>
      <c r="D505" s="30">
        <v>45560.553206018521</v>
      </c>
      <c r="E505" s="31">
        <v>5620016.5824000007</v>
      </c>
    </row>
    <row r="506" spans="2:5" x14ac:dyDescent="0.2">
      <c r="B506" s="29">
        <f t="shared" ref="B506:B523" si="47">ROW()-ROW($B$2)</f>
        <v>504</v>
      </c>
      <c r="C506" s="30" t="s">
        <v>98</v>
      </c>
      <c r="D506" s="30">
        <v>45560.679652777777</v>
      </c>
      <c r="E506" s="31">
        <v>5609641.3824000005</v>
      </c>
    </row>
    <row r="507" spans="2:5" x14ac:dyDescent="0.2">
      <c r="B507" s="29">
        <f t="shared" si="47"/>
        <v>505</v>
      </c>
      <c r="C507" s="30" t="s">
        <v>98</v>
      </c>
      <c r="D507" s="30">
        <v>45561.3675</v>
      </c>
      <c r="E507" s="31">
        <v>5609641.3824000005</v>
      </c>
    </row>
    <row r="508" spans="2:5" x14ac:dyDescent="0.2">
      <c r="B508" s="29">
        <f t="shared" si="47"/>
        <v>506</v>
      </c>
      <c r="C508" s="30" t="s">
        <v>98</v>
      </c>
      <c r="D508" s="30">
        <v>45561.37059027778</v>
      </c>
      <c r="E508" s="31">
        <v>5250758.4000000004</v>
      </c>
    </row>
    <row r="509" spans="2:5" x14ac:dyDescent="0.2">
      <c r="B509" s="29">
        <f t="shared" si="47"/>
        <v>507</v>
      </c>
      <c r="C509" s="30" t="s">
        <v>98</v>
      </c>
      <c r="D509" s="30">
        <v>45561.372581018521</v>
      </c>
      <c r="E509" s="31">
        <v>4739503.4000000004</v>
      </c>
    </row>
    <row r="510" spans="2:5" x14ac:dyDescent="0.2">
      <c r="B510" s="29">
        <f t="shared" si="47"/>
        <v>508</v>
      </c>
      <c r="C510" s="30" t="s">
        <v>98</v>
      </c>
      <c r="D510" s="30">
        <v>45561.373865740738</v>
      </c>
      <c r="E510" s="31">
        <v>6951630.5</v>
      </c>
    </row>
    <row r="511" spans="2:5" x14ac:dyDescent="0.2">
      <c r="B511" s="29">
        <f t="shared" si="47"/>
        <v>509</v>
      </c>
      <c r="C511" s="30" t="s">
        <v>98</v>
      </c>
      <c r="D511" s="30">
        <v>45561.374131944445</v>
      </c>
      <c r="E511" s="31">
        <v>6951630.5</v>
      </c>
    </row>
    <row r="512" spans="2:5" x14ac:dyDescent="0.2">
      <c r="B512" s="29">
        <f t="shared" si="47"/>
        <v>510</v>
      </c>
      <c r="C512" s="30" t="s">
        <v>98</v>
      </c>
      <c r="D512" s="30">
        <v>45561.379166666666</v>
      </c>
      <c r="E512" s="31">
        <v>13739955.5</v>
      </c>
    </row>
    <row r="513" spans="2:5" x14ac:dyDescent="0.2">
      <c r="B513" s="29">
        <f t="shared" si="47"/>
        <v>511</v>
      </c>
      <c r="C513" s="30" t="s">
        <v>98</v>
      </c>
      <c r="D513" s="30">
        <v>45561.38045138889</v>
      </c>
      <c r="E513" s="31">
        <v>14138955.5</v>
      </c>
    </row>
    <row r="514" spans="2:5" x14ac:dyDescent="0.2">
      <c r="B514" s="29">
        <f t="shared" si="47"/>
        <v>512</v>
      </c>
      <c r="C514" s="30" t="s">
        <v>98</v>
      </c>
      <c r="D514" s="30">
        <v>45561.380567129629</v>
      </c>
      <c r="E514" s="31">
        <v>14138955.5</v>
      </c>
    </row>
    <row r="515" spans="2:5" x14ac:dyDescent="0.2">
      <c r="B515" s="29">
        <f t="shared" si="47"/>
        <v>513</v>
      </c>
      <c r="C515" s="30" t="s">
        <v>98</v>
      </c>
      <c r="D515" s="30">
        <v>45561.38181712963</v>
      </c>
      <c r="E515" s="31">
        <v>14138955.5</v>
      </c>
    </row>
    <row r="516" spans="2:5" x14ac:dyDescent="0.2">
      <c r="B516" s="29">
        <f t="shared" si="47"/>
        <v>514</v>
      </c>
      <c r="C516" s="30" t="s">
        <v>98</v>
      </c>
      <c r="D516" s="30">
        <v>45561.386481481481</v>
      </c>
      <c r="E516" s="31">
        <v>14138955.5</v>
      </c>
    </row>
    <row r="517" spans="2:5" x14ac:dyDescent="0.2">
      <c r="B517" s="29">
        <f t="shared" si="47"/>
        <v>515</v>
      </c>
      <c r="C517" s="30" t="s">
        <v>98</v>
      </c>
      <c r="D517" s="30">
        <v>45561.386944444443</v>
      </c>
      <c r="E517" s="31">
        <v>14138955.5</v>
      </c>
    </row>
    <row r="518" spans="2:5" x14ac:dyDescent="0.2">
      <c r="B518" s="29">
        <f t="shared" si="47"/>
        <v>516</v>
      </c>
      <c r="C518" s="30" t="s">
        <v>98</v>
      </c>
      <c r="D518" s="30">
        <v>45561.387152777781</v>
      </c>
      <c r="E518" s="31">
        <v>14138955.5</v>
      </c>
    </row>
    <row r="519" spans="2:5" x14ac:dyDescent="0.2">
      <c r="B519" s="29">
        <f t="shared" si="47"/>
        <v>517</v>
      </c>
      <c r="C519" s="30" t="s">
        <v>98</v>
      </c>
      <c r="D519" s="30">
        <v>45561.400821759256</v>
      </c>
      <c r="E519" s="31">
        <v>15270071.940000001</v>
      </c>
    </row>
    <row r="520" spans="2:5" x14ac:dyDescent="0.2">
      <c r="B520" s="29">
        <f t="shared" si="47"/>
        <v>518</v>
      </c>
      <c r="C520" s="30" t="s">
        <v>98</v>
      </c>
      <c r="D520" s="30">
        <v>45561.400902777779</v>
      </c>
      <c r="E520" s="31">
        <v>15270071.940000001</v>
      </c>
    </row>
    <row r="521" spans="2:5" x14ac:dyDescent="0.2">
      <c r="B521" s="29">
        <f t="shared" si="47"/>
        <v>519</v>
      </c>
      <c r="C521" s="30" t="s">
        <v>98</v>
      </c>
      <c r="D521" s="30">
        <v>45561.40216435185</v>
      </c>
      <c r="E521" s="31">
        <v>15270071.940000001</v>
      </c>
    </row>
    <row r="522" spans="2:5" x14ac:dyDescent="0.2">
      <c r="B522" s="29">
        <f t="shared" si="47"/>
        <v>520</v>
      </c>
      <c r="C522" s="30" t="s">
        <v>98</v>
      </c>
      <c r="D522" s="30">
        <v>45561.404409722221</v>
      </c>
      <c r="E522" s="31">
        <v>15270071.940000001</v>
      </c>
    </row>
    <row r="523" spans="2:5" x14ac:dyDescent="0.2">
      <c r="B523" s="29">
        <f t="shared" si="47"/>
        <v>521</v>
      </c>
      <c r="C523" s="30" t="s">
        <v>98</v>
      </c>
      <c r="D523" s="30">
        <v>45561.404467592591</v>
      </c>
      <c r="E523" s="31">
        <v>15270071.940000001</v>
      </c>
    </row>
    <row r="524" spans="2:5" x14ac:dyDescent="0.2">
      <c r="B524" s="29">
        <f t="shared" ref="B524:B531" si="48">ROW()-ROW($B$2)</f>
        <v>522</v>
      </c>
      <c r="C524" s="30" t="s">
        <v>98</v>
      </c>
      <c r="D524" s="30">
        <v>45561.410682870373</v>
      </c>
      <c r="E524" s="31">
        <v>18874536.34</v>
      </c>
    </row>
    <row r="525" spans="2:5" x14ac:dyDescent="0.2">
      <c r="B525" s="29">
        <f t="shared" si="48"/>
        <v>523</v>
      </c>
      <c r="C525" s="30" t="s">
        <v>98</v>
      </c>
      <c r="D525" s="30">
        <v>45561.427997685183</v>
      </c>
      <c r="E525" s="31">
        <v>15876322.704</v>
      </c>
    </row>
    <row r="526" spans="2:5" x14ac:dyDescent="0.2">
      <c r="B526" s="29">
        <f t="shared" si="48"/>
        <v>524</v>
      </c>
      <c r="C526" s="30" t="s">
        <v>98</v>
      </c>
      <c r="D526" s="30">
        <v>45561.428298611114</v>
      </c>
      <c r="E526" s="31">
        <v>15876322.704</v>
      </c>
    </row>
    <row r="527" spans="2:5" x14ac:dyDescent="0.2">
      <c r="B527" s="29">
        <f t="shared" si="48"/>
        <v>525</v>
      </c>
      <c r="C527" s="30" t="s">
        <v>98</v>
      </c>
      <c r="D527" s="30">
        <v>45561.428888888891</v>
      </c>
      <c r="E527" s="31">
        <v>15876322.704</v>
      </c>
    </row>
    <row r="528" spans="2:5" x14ac:dyDescent="0.2">
      <c r="B528" s="29">
        <f t="shared" si="48"/>
        <v>526</v>
      </c>
      <c r="C528" s="30" t="s">
        <v>98</v>
      </c>
      <c r="D528" s="30">
        <v>45561.430694444447</v>
      </c>
      <c r="E528" s="31">
        <v>8523822.7039999999</v>
      </c>
    </row>
    <row r="529" spans="2:5" x14ac:dyDescent="0.2">
      <c r="B529" s="29">
        <f t="shared" si="48"/>
        <v>527</v>
      </c>
      <c r="C529" s="30" t="s">
        <v>98</v>
      </c>
      <c r="D529" s="30">
        <v>45561.430798611109</v>
      </c>
      <c r="E529" s="31">
        <v>8523822.7039999999</v>
      </c>
    </row>
    <row r="530" spans="2:5" x14ac:dyDescent="0.2">
      <c r="B530" s="29">
        <f t="shared" si="48"/>
        <v>528</v>
      </c>
      <c r="C530" s="30" t="s">
        <v>98</v>
      </c>
      <c r="D530" s="30">
        <v>45561.431111111109</v>
      </c>
      <c r="E530" s="31">
        <v>8523822.7039999999</v>
      </c>
    </row>
    <row r="531" spans="2:5" x14ac:dyDescent="0.2">
      <c r="B531" s="29">
        <f t="shared" si="48"/>
        <v>529</v>
      </c>
      <c r="C531" s="30" t="s">
        <v>98</v>
      </c>
      <c r="D531" s="30">
        <v>45561.43136574074</v>
      </c>
      <c r="E531" s="31">
        <v>7733800.5120000001</v>
      </c>
    </row>
    <row r="532" spans="2:5" x14ac:dyDescent="0.2">
      <c r="B532" s="29">
        <f t="shared" ref="B532:B537" si="49">ROW()-ROW($B$2)</f>
        <v>530</v>
      </c>
      <c r="C532" s="30" t="s">
        <v>97</v>
      </c>
      <c r="D532" s="30">
        <v>45566.684594907405</v>
      </c>
      <c r="E532" s="31">
        <v>8633800.5120000001</v>
      </c>
    </row>
    <row r="533" spans="2:5" x14ac:dyDescent="0.2">
      <c r="B533" s="29">
        <f t="shared" si="49"/>
        <v>531</v>
      </c>
      <c r="C533" s="30" t="s">
        <v>97</v>
      </c>
      <c r="D533" s="30">
        <v>45566.691331018519</v>
      </c>
      <c r="E533" s="31">
        <v>13190050.512000002</v>
      </c>
    </row>
    <row r="534" spans="2:5" x14ac:dyDescent="0.2">
      <c r="B534" s="29">
        <f t="shared" si="49"/>
        <v>532</v>
      </c>
      <c r="C534" s="30" t="s">
        <v>97</v>
      </c>
      <c r="D534" s="30">
        <v>45566.693032407406</v>
      </c>
      <c r="E534" s="31">
        <v>14390050.512</v>
      </c>
    </row>
    <row r="535" spans="2:5" x14ac:dyDescent="0.2">
      <c r="B535" s="29">
        <f t="shared" si="49"/>
        <v>533</v>
      </c>
      <c r="C535" s="30" t="s">
        <v>97</v>
      </c>
      <c r="D535" s="30">
        <v>45566.693356481483</v>
      </c>
      <c r="E535" s="31">
        <v>13647550.512000002</v>
      </c>
    </row>
    <row r="536" spans="2:5" x14ac:dyDescent="0.2">
      <c r="B536" s="29">
        <f t="shared" si="49"/>
        <v>534</v>
      </c>
      <c r="C536" s="30" t="s">
        <v>97</v>
      </c>
      <c r="D536" s="30">
        <v>45566.696921296294</v>
      </c>
      <c r="E536" s="31">
        <v>13647550.512000002</v>
      </c>
    </row>
    <row r="537" spans="2:5" x14ac:dyDescent="0.2">
      <c r="B537" s="29">
        <f t="shared" si="49"/>
        <v>535</v>
      </c>
      <c r="C537" s="30" t="s">
        <v>97</v>
      </c>
      <c r="D537" s="30">
        <v>45567.501331018517</v>
      </c>
      <c r="E537" s="31">
        <v>13647550.512000002</v>
      </c>
    </row>
    <row r="538" spans="2:5" x14ac:dyDescent="0.2">
      <c r="B538" s="29">
        <f t="shared" ref="B538:B543" si="50">ROW()-ROW($B$2)</f>
        <v>536</v>
      </c>
      <c r="C538" s="30" t="s">
        <v>97</v>
      </c>
      <c r="D538" s="30">
        <v>45567.519594907404</v>
      </c>
      <c r="E538" s="31">
        <v>13647550.512000002</v>
      </c>
    </row>
    <row r="539" spans="2:5" x14ac:dyDescent="0.2">
      <c r="B539" s="29">
        <f t="shared" si="50"/>
        <v>537</v>
      </c>
      <c r="C539" s="30" t="s">
        <v>116</v>
      </c>
      <c r="D539" s="30">
        <v>45583.673530092594</v>
      </c>
      <c r="E539" s="31">
        <v>14120650.512</v>
      </c>
    </row>
    <row r="540" spans="2:5" x14ac:dyDescent="0.2">
      <c r="B540" s="29">
        <f t="shared" si="50"/>
        <v>538</v>
      </c>
      <c r="C540" s="30" t="s">
        <v>116</v>
      </c>
      <c r="D540" s="30">
        <v>45583.673587962963</v>
      </c>
      <c r="E540" s="31">
        <v>14120650.512</v>
      </c>
    </row>
    <row r="541" spans="2:5" x14ac:dyDescent="0.2">
      <c r="B541" s="29">
        <f t="shared" si="50"/>
        <v>539</v>
      </c>
      <c r="C541" s="30" t="s">
        <v>116</v>
      </c>
      <c r="D541" s="30">
        <v>45583.673611111109</v>
      </c>
      <c r="E541" s="31">
        <v>14120650.512</v>
      </c>
    </row>
    <row r="542" spans="2:5" x14ac:dyDescent="0.2">
      <c r="B542" s="29">
        <f t="shared" si="50"/>
        <v>540</v>
      </c>
      <c r="C542" s="30" t="s">
        <v>116</v>
      </c>
      <c r="D542" s="30">
        <v>45588.586261574077</v>
      </c>
      <c r="E542" s="31">
        <v>14120650.512</v>
      </c>
    </row>
    <row r="543" spans="2:5" x14ac:dyDescent="0.2">
      <c r="B543" s="29">
        <f t="shared" si="50"/>
        <v>541</v>
      </c>
      <c r="C543" s="30" t="s">
        <v>97</v>
      </c>
      <c r="D543" s="30">
        <v>45590.43277777778</v>
      </c>
      <c r="E543" s="31">
        <v>15789600.512</v>
      </c>
    </row>
    <row r="544" spans="2:5" x14ac:dyDescent="0.2">
      <c r="B544" s="29">
        <f t="shared" ref="B544:B549" si="51">ROW()-ROW($B$2)</f>
        <v>542</v>
      </c>
      <c r="C544" s="30" t="s">
        <v>97</v>
      </c>
      <c r="D544" s="30">
        <v>45590.451226851852</v>
      </c>
      <c r="E544" s="31">
        <v>15789600.512</v>
      </c>
    </row>
    <row r="545" spans="2:5" x14ac:dyDescent="0.2">
      <c r="B545" s="29">
        <f t="shared" si="51"/>
        <v>543</v>
      </c>
      <c r="C545" s="30" t="s">
        <v>116</v>
      </c>
      <c r="D545" s="30">
        <v>45590.51840277778</v>
      </c>
      <c r="E545" s="31">
        <v>15789600.512</v>
      </c>
    </row>
    <row r="546" spans="2:5" x14ac:dyDescent="0.2">
      <c r="B546" s="29">
        <f t="shared" si="51"/>
        <v>544</v>
      </c>
      <c r="C546" s="30" t="s">
        <v>116</v>
      </c>
      <c r="D546" s="30">
        <v>45590.527546296296</v>
      </c>
      <c r="E546" s="31">
        <v>15775048.512</v>
      </c>
    </row>
    <row r="547" spans="2:5" x14ac:dyDescent="0.2">
      <c r="B547" s="29">
        <f t="shared" si="51"/>
        <v>545</v>
      </c>
      <c r="C547" s="30" t="s">
        <v>116</v>
      </c>
      <c r="D547" s="30">
        <v>45590.527650462966</v>
      </c>
      <c r="E547" s="31">
        <v>15775048.512</v>
      </c>
    </row>
    <row r="548" spans="2:5" x14ac:dyDescent="0.2">
      <c r="B548" s="29">
        <f t="shared" si="51"/>
        <v>546</v>
      </c>
      <c r="C548" s="30" t="s">
        <v>116</v>
      </c>
      <c r="D548" s="30">
        <v>45590.527685185189</v>
      </c>
      <c r="E548" s="31">
        <v>15775048.512</v>
      </c>
    </row>
    <row r="549" spans="2:5" x14ac:dyDescent="0.2">
      <c r="B549" s="29">
        <f t="shared" si="51"/>
        <v>547</v>
      </c>
      <c r="C549" s="30" t="s">
        <v>116</v>
      </c>
      <c r="D549" s="30">
        <v>45590.52784722222</v>
      </c>
      <c r="E549" s="31">
        <v>15775048.512</v>
      </c>
    </row>
    <row r="550" spans="2:5" x14ac:dyDescent="0.2">
      <c r="B550" s="29">
        <f t="shared" ref="B550:B560" si="52">ROW()-ROW($B$2)</f>
        <v>548</v>
      </c>
      <c r="C550" s="30" t="s">
        <v>116</v>
      </c>
      <c r="D550" s="30">
        <v>45590.531747685185</v>
      </c>
      <c r="E550" s="31">
        <v>15775048.512</v>
      </c>
    </row>
    <row r="551" spans="2:5" x14ac:dyDescent="0.2">
      <c r="B551" s="29">
        <f t="shared" si="52"/>
        <v>549</v>
      </c>
      <c r="C551" s="30" t="s">
        <v>116</v>
      </c>
      <c r="D551" s="30">
        <v>45590.533518518518</v>
      </c>
      <c r="E551" s="31">
        <v>15775048.512</v>
      </c>
    </row>
    <row r="552" spans="2:5" x14ac:dyDescent="0.2">
      <c r="B552" s="29">
        <f t="shared" si="52"/>
        <v>550</v>
      </c>
      <c r="C552" s="30" t="s">
        <v>116</v>
      </c>
      <c r="D552" s="30">
        <v>45590.534259259257</v>
      </c>
      <c r="E552" s="31">
        <v>15775048.512</v>
      </c>
    </row>
    <row r="553" spans="2:5" x14ac:dyDescent="0.2">
      <c r="B553" s="29">
        <f t="shared" si="52"/>
        <v>551</v>
      </c>
      <c r="C553" s="30" t="s">
        <v>116</v>
      </c>
      <c r="D553" s="30">
        <v>45590.534583333334</v>
      </c>
      <c r="E553" s="31">
        <v>15775048.512</v>
      </c>
    </row>
    <row r="554" spans="2:5" x14ac:dyDescent="0.2">
      <c r="B554" s="29">
        <f t="shared" si="52"/>
        <v>552</v>
      </c>
      <c r="C554" s="30" t="s">
        <v>116</v>
      </c>
      <c r="D554" s="30">
        <v>45590.541493055556</v>
      </c>
      <c r="E554" s="31" t="e">
        <v>#VALUE!</v>
      </c>
    </row>
    <row r="555" spans="2:5" x14ac:dyDescent="0.2">
      <c r="B555" s="29">
        <f t="shared" si="52"/>
        <v>553</v>
      </c>
      <c r="C555" s="30" t="s">
        <v>116</v>
      </c>
      <c r="D555" s="30">
        <v>45590.54173611111</v>
      </c>
      <c r="E555" s="31" t="e">
        <v>#VALUE!</v>
      </c>
    </row>
    <row r="556" spans="2:5" x14ac:dyDescent="0.2">
      <c r="B556" s="29">
        <f t="shared" si="52"/>
        <v>554</v>
      </c>
      <c r="C556" s="30" t="s">
        <v>116</v>
      </c>
      <c r="D556" s="30">
        <v>45590.541932870372</v>
      </c>
      <c r="E556" s="31">
        <v>15775048.512</v>
      </c>
    </row>
    <row r="557" spans="2:5" x14ac:dyDescent="0.2">
      <c r="B557" s="29">
        <f t="shared" si="52"/>
        <v>555</v>
      </c>
      <c r="C557" s="30" t="s">
        <v>116</v>
      </c>
      <c r="D557" s="30">
        <v>45590.542060185187</v>
      </c>
      <c r="E557" s="31">
        <v>15775048.512</v>
      </c>
    </row>
    <row r="558" spans="2:5" x14ac:dyDescent="0.2">
      <c r="B558" s="29">
        <f t="shared" si="52"/>
        <v>556</v>
      </c>
      <c r="C558" s="30" t="s">
        <v>116</v>
      </c>
      <c r="D558" s="30">
        <v>45590.54215277778</v>
      </c>
      <c r="E558" s="31">
        <v>15775048.512</v>
      </c>
    </row>
    <row r="559" spans="2:5" x14ac:dyDescent="0.2">
      <c r="B559" s="29">
        <f t="shared" si="52"/>
        <v>557</v>
      </c>
      <c r="C559" s="30" t="s">
        <v>116</v>
      </c>
      <c r="D559" s="30">
        <v>45590.542187500003</v>
      </c>
      <c r="E559" s="31">
        <v>15775048.512</v>
      </c>
    </row>
    <row r="560" spans="2:5" x14ac:dyDescent="0.2">
      <c r="B560" s="29">
        <f t="shared" si="52"/>
        <v>558</v>
      </c>
      <c r="C560" s="30" t="s">
        <v>116</v>
      </c>
      <c r="D560" s="30">
        <v>45590.543530092589</v>
      </c>
      <c r="E560" s="31">
        <v>15775048.512</v>
      </c>
    </row>
    <row r="561" spans="2:5" x14ac:dyDescent="0.2">
      <c r="B561" s="29">
        <f t="shared" ref="B561:B566" si="53">ROW()-ROW($B$2)</f>
        <v>559</v>
      </c>
      <c r="C561" s="30" t="s">
        <v>116</v>
      </c>
      <c r="D561" s="30">
        <v>45590.554479166669</v>
      </c>
      <c r="E561" s="31">
        <v>15775048.512</v>
      </c>
    </row>
    <row r="562" spans="2:5" x14ac:dyDescent="0.2">
      <c r="B562" s="29">
        <f t="shared" si="53"/>
        <v>560</v>
      </c>
      <c r="C562" s="30" t="s">
        <v>116</v>
      </c>
      <c r="D562" s="30">
        <v>45590.555983796294</v>
      </c>
      <c r="E562" s="31">
        <v>15775048.512</v>
      </c>
    </row>
    <row r="563" spans="2:5" x14ac:dyDescent="0.2">
      <c r="B563" s="29">
        <f t="shared" si="53"/>
        <v>561</v>
      </c>
      <c r="C563" s="30" t="s">
        <v>97</v>
      </c>
      <c r="D563" s="30">
        <v>45701.456111111111</v>
      </c>
      <c r="E563" s="31">
        <v>15775048.512</v>
      </c>
    </row>
    <row r="564" spans="2:5" x14ac:dyDescent="0.2">
      <c r="B564" s="29">
        <f t="shared" si="53"/>
        <v>562</v>
      </c>
      <c r="C564" s="30" t="s">
        <v>97</v>
      </c>
      <c r="D564" s="30">
        <v>45701.459513888891</v>
      </c>
      <c r="E564" s="31">
        <v>24707888.511999998</v>
      </c>
    </row>
    <row r="565" spans="2:5" x14ac:dyDescent="0.2">
      <c r="B565" s="29">
        <f t="shared" si="53"/>
        <v>563</v>
      </c>
      <c r="C565" s="30" t="s">
        <v>97</v>
      </c>
      <c r="D565" s="30">
        <v>45701.46025462963</v>
      </c>
      <c r="E565" s="31">
        <v>24707888.512000002</v>
      </c>
    </row>
    <row r="566" spans="2:5" x14ac:dyDescent="0.2">
      <c r="B566" s="29">
        <f t="shared" si="53"/>
        <v>564</v>
      </c>
      <c r="C566" s="30" t="s">
        <v>97</v>
      </c>
      <c r="D566" s="30">
        <v>45714.718900462962</v>
      </c>
      <c r="E566" s="31">
        <v>24707888.512000002</v>
      </c>
    </row>
    <row r="567" spans="2:5" x14ac:dyDescent="0.2">
      <c r="B567" s="29">
        <f t="shared" ref="B567:B582" si="54">ROW()-ROW($B$2)</f>
        <v>565</v>
      </c>
      <c r="C567" s="30" t="s">
        <v>98</v>
      </c>
      <c r="D567" s="30">
        <v>45714.740983796299</v>
      </c>
      <c r="E567" s="31">
        <v>25763334.838</v>
      </c>
    </row>
    <row r="568" spans="2:5" x14ac:dyDescent="0.2">
      <c r="B568" s="29">
        <f t="shared" si="54"/>
        <v>566</v>
      </c>
      <c r="C568" s="30" t="s">
        <v>98</v>
      </c>
      <c r="D568" s="30">
        <v>45714.741238425922</v>
      </c>
      <c r="E568" s="31">
        <v>26853997.74408</v>
      </c>
    </row>
    <row r="569" spans="2:5" x14ac:dyDescent="0.2">
      <c r="B569" s="29">
        <f t="shared" si="54"/>
        <v>567</v>
      </c>
      <c r="C569" s="30" t="s">
        <v>98</v>
      </c>
      <c r="D569" s="30">
        <v>45714.742476851854</v>
      </c>
      <c r="E569" s="31">
        <v>26849765.461680003</v>
      </c>
    </row>
    <row r="570" spans="2:5" x14ac:dyDescent="0.2">
      <c r="B570" s="29">
        <f t="shared" si="54"/>
        <v>568</v>
      </c>
      <c r="C570" s="30" t="s">
        <v>98</v>
      </c>
      <c r="D570" s="30">
        <v>45714.743344907409</v>
      </c>
      <c r="E570" s="31">
        <v>26849765.461680003</v>
      </c>
    </row>
    <row r="571" spans="2:5" x14ac:dyDescent="0.2">
      <c r="B571" s="29">
        <f t="shared" si="54"/>
        <v>569</v>
      </c>
      <c r="C571" s="30" t="s">
        <v>98</v>
      </c>
      <c r="D571" s="30">
        <v>45714.743460648147</v>
      </c>
      <c r="E571" s="31">
        <v>26834859.06408</v>
      </c>
    </row>
    <row r="572" spans="2:5" x14ac:dyDescent="0.2">
      <c r="B572" s="29">
        <f t="shared" si="54"/>
        <v>570</v>
      </c>
      <c r="C572" s="30" t="s">
        <v>98</v>
      </c>
      <c r="D572" s="30">
        <v>45714.743645833332</v>
      </c>
      <c r="E572" s="31">
        <v>26834859.06408</v>
      </c>
    </row>
    <row r="573" spans="2:5" x14ac:dyDescent="0.2">
      <c r="B573" s="29">
        <f t="shared" si="54"/>
        <v>571</v>
      </c>
      <c r="C573" s="30" t="s">
        <v>98</v>
      </c>
      <c r="D573" s="30">
        <v>45714.743854166663</v>
      </c>
      <c r="E573" s="31">
        <v>26834859.06408</v>
      </c>
    </row>
    <row r="574" spans="2:5" x14ac:dyDescent="0.2">
      <c r="B574" s="29">
        <f t="shared" si="54"/>
        <v>572</v>
      </c>
      <c r="C574" s="30" t="s">
        <v>98</v>
      </c>
      <c r="D574" s="30">
        <v>45714.744120370371</v>
      </c>
      <c r="E574" s="31">
        <v>26834859.06408</v>
      </c>
    </row>
    <row r="575" spans="2:5" x14ac:dyDescent="0.2">
      <c r="B575" s="29">
        <f t="shared" si="54"/>
        <v>573</v>
      </c>
      <c r="C575" s="30" t="s">
        <v>98</v>
      </c>
      <c r="D575" s="30">
        <v>45714.744317129633</v>
      </c>
      <c r="E575" s="31">
        <v>26834859.06408</v>
      </c>
    </row>
    <row r="576" spans="2:5" x14ac:dyDescent="0.2">
      <c r="B576" s="29">
        <f t="shared" si="54"/>
        <v>574</v>
      </c>
      <c r="C576" s="30" t="s">
        <v>98</v>
      </c>
      <c r="D576" s="30">
        <v>45714.745254629626</v>
      </c>
      <c r="E576" s="31">
        <v>26964459.06408</v>
      </c>
    </row>
    <row r="577" spans="2:5" x14ac:dyDescent="0.2">
      <c r="B577" s="29">
        <f t="shared" si="54"/>
        <v>575</v>
      </c>
      <c r="C577" s="30" t="s">
        <v>98</v>
      </c>
      <c r="D577" s="30">
        <v>45714.745671296296</v>
      </c>
      <c r="E577" s="31">
        <v>26964459.06408</v>
      </c>
    </row>
    <row r="578" spans="2:5" x14ac:dyDescent="0.2">
      <c r="B578" s="29">
        <f t="shared" si="54"/>
        <v>576</v>
      </c>
      <c r="C578" s="30" t="s">
        <v>98</v>
      </c>
      <c r="D578" s="30">
        <v>45714.746134259258</v>
      </c>
      <c r="E578" s="31">
        <v>26964459.06408</v>
      </c>
    </row>
    <row r="579" spans="2:5" x14ac:dyDescent="0.2">
      <c r="B579" s="29">
        <f t="shared" si="54"/>
        <v>577</v>
      </c>
      <c r="C579" s="30" t="s">
        <v>98</v>
      </c>
      <c r="D579" s="30">
        <v>45714.746469907404</v>
      </c>
      <c r="E579" s="31">
        <v>26964459.06408</v>
      </c>
    </row>
    <row r="580" spans="2:5" x14ac:dyDescent="0.2">
      <c r="B580" s="29">
        <f t="shared" si="54"/>
        <v>578</v>
      </c>
      <c r="C580" s="30" t="s">
        <v>98</v>
      </c>
      <c r="D580" s="30">
        <v>45714.746481481481</v>
      </c>
      <c r="E580" s="31">
        <v>26964459.06408</v>
      </c>
    </row>
    <row r="581" spans="2:5" x14ac:dyDescent="0.2">
      <c r="B581" s="29">
        <f t="shared" si="54"/>
        <v>579</v>
      </c>
      <c r="C581" s="30" t="s">
        <v>98</v>
      </c>
      <c r="D581" s="30">
        <v>45714.746493055558</v>
      </c>
      <c r="E581" s="31">
        <v>26964459.06408</v>
      </c>
    </row>
    <row r="582" spans="2:5" x14ac:dyDescent="0.2">
      <c r="B582" s="29">
        <f t="shared" si="54"/>
        <v>580</v>
      </c>
      <c r="C582" s="30" t="s">
        <v>98</v>
      </c>
      <c r="D582" s="30">
        <v>45714.758472222224</v>
      </c>
      <c r="E582" s="31">
        <v>26964459.06408</v>
      </c>
    </row>
    <row r="583" spans="2:5" x14ac:dyDescent="0.2">
      <c r="B583" s="29">
        <f t="shared" ref="B583:B588" si="55">ROW()-ROW($B$2)</f>
        <v>581</v>
      </c>
      <c r="C583" s="30" t="s">
        <v>98</v>
      </c>
      <c r="D583" s="30">
        <v>45714.790381944447</v>
      </c>
      <c r="E583" s="31">
        <v>28908459.06408</v>
      </c>
    </row>
    <row r="584" spans="2:5" x14ac:dyDescent="0.2">
      <c r="B584" s="29">
        <f t="shared" si="55"/>
        <v>582</v>
      </c>
      <c r="C584" s="30" t="s">
        <v>98</v>
      </c>
      <c r="D584" s="30">
        <v>45714.790393518517</v>
      </c>
      <c r="E584" s="31">
        <v>28908459.06408</v>
      </c>
    </row>
    <row r="585" spans="2:5" x14ac:dyDescent="0.2">
      <c r="B585" s="29">
        <f t="shared" si="55"/>
        <v>583</v>
      </c>
      <c r="C585" s="30" t="s">
        <v>98</v>
      </c>
      <c r="D585" s="30">
        <v>45714.813993055555</v>
      </c>
      <c r="E585" s="31">
        <v>28908459.06408</v>
      </c>
    </row>
    <row r="586" spans="2:5" x14ac:dyDescent="0.2">
      <c r="B586" s="29">
        <f t="shared" si="55"/>
        <v>584</v>
      </c>
      <c r="C586" s="30" t="s">
        <v>98</v>
      </c>
      <c r="D586" s="30">
        <v>45715.414074074077</v>
      </c>
      <c r="E586" s="31">
        <v>28908459.06408</v>
      </c>
    </row>
    <row r="587" spans="2:5" x14ac:dyDescent="0.2">
      <c r="B587" s="29">
        <f t="shared" si="55"/>
        <v>585</v>
      </c>
      <c r="C587" s="30" t="s">
        <v>98</v>
      </c>
      <c r="D587" s="30">
        <v>45716.461655092593</v>
      </c>
      <c r="E587" s="31">
        <v>28908459.06408</v>
      </c>
    </row>
    <row r="588" spans="2:5" x14ac:dyDescent="0.2">
      <c r="B588" s="29">
        <f t="shared" si="55"/>
        <v>586</v>
      </c>
      <c r="C588" s="30" t="s">
        <v>97</v>
      </c>
      <c r="D588" s="30">
        <v>45740.607511574075</v>
      </c>
      <c r="E588" s="31">
        <v>28908459.06408</v>
      </c>
    </row>
    <row r="589" spans="2:5" x14ac:dyDescent="0.2">
      <c r="B589" s="29">
        <f t="shared" ref="B589:B598" si="56">ROW()-ROW($B$2)</f>
        <v>587</v>
      </c>
      <c r="C589" s="30" t="s">
        <v>97</v>
      </c>
      <c r="D589" s="30">
        <v>45741.793726851851</v>
      </c>
      <c r="E589" s="31">
        <v>28908459.06408</v>
      </c>
    </row>
    <row r="590" spans="2:5" x14ac:dyDescent="0.2">
      <c r="B590" s="29">
        <f t="shared" si="56"/>
        <v>588</v>
      </c>
      <c r="C590" s="30" t="s">
        <v>97</v>
      </c>
      <c r="D590" s="30">
        <v>45741.809953703705</v>
      </c>
      <c r="E590" s="31">
        <v>29540788.378079999</v>
      </c>
    </row>
    <row r="591" spans="2:5" x14ac:dyDescent="0.2">
      <c r="B591" s="29">
        <f t="shared" si="56"/>
        <v>589</v>
      </c>
      <c r="C591" s="30" t="s">
        <v>97</v>
      </c>
      <c r="D591" s="30">
        <v>45742.769965277781</v>
      </c>
      <c r="E591" s="31">
        <v>29540788.378079999</v>
      </c>
    </row>
    <row r="592" spans="2:5" x14ac:dyDescent="0.2">
      <c r="B592" s="29">
        <f t="shared" si="56"/>
        <v>590</v>
      </c>
      <c r="C592" s="30" t="s">
        <v>97</v>
      </c>
      <c r="D592" s="30">
        <v>45742.772407407407</v>
      </c>
      <c r="E592" s="31">
        <v>30599092.378079999</v>
      </c>
    </row>
    <row r="593" spans="2:5" x14ac:dyDescent="0.2">
      <c r="B593" s="29">
        <f t="shared" si="56"/>
        <v>591</v>
      </c>
      <c r="C593" s="30" t="s">
        <v>97</v>
      </c>
      <c r="D593" s="30">
        <v>45742.77275462963</v>
      </c>
      <c r="E593" s="31">
        <v>30599092.378079999</v>
      </c>
    </row>
    <row r="594" spans="2:5" x14ac:dyDescent="0.2">
      <c r="B594" s="29">
        <f t="shared" si="56"/>
        <v>592</v>
      </c>
      <c r="C594" s="30" t="s">
        <v>98</v>
      </c>
      <c r="D594" s="30">
        <v>45762.649398148147</v>
      </c>
      <c r="E594" s="31">
        <v>31978971.631999999</v>
      </c>
    </row>
    <row r="595" spans="2:5" x14ac:dyDescent="0.2">
      <c r="B595" s="29">
        <f t="shared" si="56"/>
        <v>593</v>
      </c>
      <c r="C595" s="30" t="s">
        <v>98</v>
      </c>
      <c r="D595" s="30">
        <v>45762.649525462963</v>
      </c>
      <c r="E595" s="31">
        <v>32078541.919103999</v>
      </c>
    </row>
    <row r="596" spans="2:5" x14ac:dyDescent="0.2">
      <c r="B596" s="29">
        <f t="shared" si="56"/>
        <v>594</v>
      </c>
      <c r="C596" s="30" t="s">
        <v>98</v>
      </c>
      <c r="D596" s="30">
        <v>45762.652141203704</v>
      </c>
      <c r="E596" s="31">
        <v>32854775.425344002</v>
      </c>
    </row>
    <row r="597" spans="2:5" x14ac:dyDescent="0.2">
      <c r="B597" s="29">
        <f t="shared" si="56"/>
        <v>595</v>
      </c>
      <c r="C597" s="30" t="s">
        <v>98</v>
      </c>
      <c r="D597" s="30">
        <v>45762.678206018521</v>
      </c>
      <c r="E597" s="31">
        <v>32854775.425344002</v>
      </c>
    </row>
    <row r="598" spans="2:5" x14ac:dyDescent="0.2">
      <c r="B598" s="29">
        <f t="shared" si="56"/>
        <v>596</v>
      </c>
      <c r="C598" s="30" t="s">
        <v>98</v>
      </c>
      <c r="D598" s="30">
        <v>45762.690648148149</v>
      </c>
      <c r="E598" s="31">
        <v>32854775.425344002</v>
      </c>
    </row>
    <row r="599" spans="2:5" x14ac:dyDescent="0.2">
      <c r="B599" s="29">
        <f t="shared" ref="B599:B608" si="57">ROW()-ROW($B$2)</f>
        <v>597</v>
      </c>
      <c r="C599" s="30" t="s">
        <v>98</v>
      </c>
      <c r="D599" s="30">
        <v>45762.694421296299</v>
      </c>
      <c r="E599" s="31">
        <v>32854775.425344002</v>
      </c>
    </row>
    <row r="600" spans="2:5" x14ac:dyDescent="0.2">
      <c r="B600" s="29">
        <f t="shared" si="57"/>
        <v>598</v>
      </c>
      <c r="C600" s="30" t="s">
        <v>98</v>
      </c>
      <c r="D600" s="30">
        <v>45762.694756944446</v>
      </c>
      <c r="E600" s="31">
        <v>32854775.425344002</v>
      </c>
    </row>
    <row r="601" spans="2:5" x14ac:dyDescent="0.2">
      <c r="B601" s="29">
        <f t="shared" si="57"/>
        <v>599</v>
      </c>
      <c r="C601" s="30" t="s">
        <v>98</v>
      </c>
      <c r="D601" s="30">
        <v>45763.493877314817</v>
      </c>
      <c r="E601" s="31">
        <v>32854775.425344002</v>
      </c>
    </row>
    <row r="602" spans="2:5" x14ac:dyDescent="0.2">
      <c r="B602" s="29">
        <f t="shared" si="57"/>
        <v>600</v>
      </c>
      <c r="C602" s="30" t="s">
        <v>98</v>
      </c>
      <c r="D602" s="30">
        <v>45763.494247685187</v>
      </c>
      <c r="E602" s="31">
        <v>32854775.425344002</v>
      </c>
    </row>
    <row r="603" spans="2:5" x14ac:dyDescent="0.2">
      <c r="B603" s="29">
        <f t="shared" si="57"/>
        <v>601</v>
      </c>
      <c r="C603" s="30" t="s">
        <v>98</v>
      </c>
      <c r="D603" s="30">
        <v>45763.506238425929</v>
      </c>
      <c r="E603" s="31">
        <v>32854775.425344002</v>
      </c>
    </row>
    <row r="604" spans="2:5" x14ac:dyDescent="0.2">
      <c r="B604" s="29">
        <f t="shared" si="57"/>
        <v>602</v>
      </c>
      <c r="C604" s="30" t="s">
        <v>97</v>
      </c>
      <c r="D604" s="30">
        <v>45804.605844907404</v>
      </c>
      <c r="E604" s="31">
        <v>32854775.425344002</v>
      </c>
    </row>
    <row r="605" spans="2:5" x14ac:dyDescent="0.2">
      <c r="B605" s="29">
        <f t="shared" si="57"/>
        <v>603</v>
      </c>
      <c r="C605" s="30" t="s">
        <v>97</v>
      </c>
      <c r="D605" s="30">
        <v>45804.611793981479</v>
      </c>
      <c r="E605" s="31">
        <v>27918779.041344002</v>
      </c>
    </row>
    <row r="606" spans="2:5" x14ac:dyDescent="0.2">
      <c r="B606" s="29">
        <f t="shared" si="57"/>
        <v>604</v>
      </c>
      <c r="C606" s="30" t="s">
        <v>97</v>
      </c>
      <c r="D606" s="30">
        <v>45804.614490740743</v>
      </c>
      <c r="E606" s="31">
        <v>25400027.041344002</v>
      </c>
    </row>
    <row r="607" spans="2:5" x14ac:dyDescent="0.2">
      <c r="B607" s="29">
        <f t="shared" si="57"/>
        <v>605</v>
      </c>
      <c r="C607" s="30" t="s">
        <v>97</v>
      </c>
      <c r="D607" s="30">
        <v>45804.615115740744</v>
      </c>
      <c r="E607" s="31">
        <v>24750027.041344002</v>
      </c>
    </row>
    <row r="608" spans="2:5" x14ac:dyDescent="0.2">
      <c r="B608" s="29">
        <f t="shared" si="57"/>
        <v>606</v>
      </c>
      <c r="C608" s="30" t="s">
        <v>97</v>
      </c>
      <c r="D608" s="30">
        <v>45804.617407407408</v>
      </c>
      <c r="E608" s="31">
        <v>23726647.841343999</v>
      </c>
    </row>
    <row r="609" spans="2:5" x14ac:dyDescent="0.2">
      <c r="B609" s="29">
        <f t="shared" ref="B609:B636" si="58">ROW()-ROW($B$2)</f>
        <v>607</v>
      </c>
      <c r="C609" s="30" t="s">
        <v>98</v>
      </c>
      <c r="D609" s="30">
        <v>45810.383726851855</v>
      </c>
      <c r="E609" s="31">
        <v>23726648.841343999</v>
      </c>
    </row>
    <row r="610" spans="2:5" x14ac:dyDescent="0.2">
      <c r="B610" s="29">
        <f t="shared" si="58"/>
        <v>608</v>
      </c>
      <c r="C610" s="30" t="s">
        <v>98</v>
      </c>
      <c r="D610" s="30">
        <v>45810.477268518516</v>
      </c>
      <c r="E610" s="31">
        <v>23104398.714623999</v>
      </c>
    </row>
    <row r="611" spans="2:5" x14ac:dyDescent="0.2">
      <c r="B611" s="29">
        <f t="shared" si="58"/>
        <v>609</v>
      </c>
      <c r="C611" s="30" t="s">
        <v>97</v>
      </c>
      <c r="D611" s="30">
        <v>45818.786423611113</v>
      </c>
      <c r="E611" s="31" t="e">
        <v>#REF!</v>
      </c>
    </row>
    <row r="612" spans="2:5" x14ac:dyDescent="0.2">
      <c r="B612" s="29">
        <f t="shared" si="58"/>
        <v>610</v>
      </c>
      <c r="C612" s="30" t="s">
        <v>97</v>
      </c>
      <c r="D612" s="30">
        <v>45818.787604166668</v>
      </c>
      <c r="E612" s="31" t="e">
        <v>#REF!</v>
      </c>
    </row>
    <row r="613" spans="2:5" x14ac:dyDescent="0.2">
      <c r="B613" s="29">
        <f t="shared" si="58"/>
        <v>611</v>
      </c>
      <c r="C613" s="30" t="s">
        <v>97</v>
      </c>
      <c r="D613" s="30">
        <v>45818.790601851855</v>
      </c>
      <c r="E613" s="31">
        <v>21028561.772799999</v>
      </c>
    </row>
    <row r="614" spans="2:5" x14ac:dyDescent="0.2">
      <c r="B614" s="29">
        <f t="shared" si="58"/>
        <v>612</v>
      </c>
      <c r="C614" s="30" t="s">
        <v>97</v>
      </c>
      <c r="D614" s="30">
        <v>45818.792187500003</v>
      </c>
      <c r="E614" s="31">
        <v>21028561.772799999</v>
      </c>
    </row>
    <row r="615" spans="2:5" x14ac:dyDescent="0.2">
      <c r="B615" s="29">
        <f t="shared" si="58"/>
        <v>613</v>
      </c>
      <c r="C615" s="30" t="s">
        <v>97</v>
      </c>
      <c r="D615" s="30">
        <v>45818.792685185188</v>
      </c>
      <c r="E615" s="31">
        <v>21028561.772799999</v>
      </c>
    </row>
    <row r="616" spans="2:5" x14ac:dyDescent="0.2">
      <c r="B616" s="29">
        <f t="shared" si="58"/>
        <v>614</v>
      </c>
      <c r="C616" s="30" t="s">
        <v>97</v>
      </c>
      <c r="D616" s="30">
        <v>45818.79420138889</v>
      </c>
      <c r="E616" s="31">
        <v>21028561.772799999</v>
      </c>
    </row>
    <row r="617" spans="2:5" x14ac:dyDescent="0.2">
      <c r="B617" s="29">
        <f t="shared" si="58"/>
        <v>615</v>
      </c>
      <c r="C617" s="30" t="s">
        <v>97</v>
      </c>
      <c r="D617" s="30">
        <v>45818.794918981483</v>
      </c>
      <c r="E617" s="31">
        <v>0</v>
      </c>
    </row>
    <row r="618" spans="2:5" x14ac:dyDescent="0.2">
      <c r="B618" s="29">
        <f t="shared" si="58"/>
        <v>616</v>
      </c>
      <c r="C618" s="30" t="s">
        <v>97</v>
      </c>
      <c r="D618" s="30">
        <v>45818.795185185183</v>
      </c>
      <c r="E618" s="31">
        <v>0</v>
      </c>
    </row>
    <row r="619" spans="2:5" x14ac:dyDescent="0.2">
      <c r="B619" s="29">
        <f t="shared" si="58"/>
        <v>617</v>
      </c>
      <c r="C619" s="30" t="s">
        <v>97</v>
      </c>
      <c r="D619" s="30">
        <v>45818.795347222222</v>
      </c>
      <c r="E619" s="31">
        <v>3995426.7368319994</v>
      </c>
    </row>
    <row r="620" spans="2:5" x14ac:dyDescent="0.2">
      <c r="B620" s="29">
        <f t="shared" si="58"/>
        <v>618</v>
      </c>
      <c r="C620" s="30" t="s">
        <v>97</v>
      </c>
      <c r="D620" s="30">
        <v>45818.796018518522</v>
      </c>
      <c r="E620" s="31">
        <v>3995426.7368319994</v>
      </c>
    </row>
    <row r="621" spans="2:5" x14ac:dyDescent="0.2">
      <c r="B621" s="29">
        <f t="shared" si="58"/>
        <v>619</v>
      </c>
      <c r="C621" s="30" t="s">
        <v>97</v>
      </c>
      <c r="D621" s="30">
        <v>45818.7969212963</v>
      </c>
      <c r="E621" s="31">
        <v>25023988.509631999</v>
      </c>
    </row>
    <row r="622" spans="2:5" x14ac:dyDescent="0.2">
      <c r="B622" s="29">
        <f t="shared" si="58"/>
        <v>620</v>
      </c>
      <c r="C622" s="30" t="s">
        <v>97</v>
      </c>
      <c r="D622" s="30">
        <v>45818.797986111109</v>
      </c>
      <c r="E622" s="31">
        <v>25023988.509631999</v>
      </c>
    </row>
    <row r="623" spans="2:5" x14ac:dyDescent="0.2">
      <c r="B623" s="29">
        <f t="shared" si="58"/>
        <v>621</v>
      </c>
      <c r="C623" s="30" t="s">
        <v>97</v>
      </c>
      <c r="D623" s="30">
        <v>45818.798275462963</v>
      </c>
      <c r="E623" s="31">
        <v>25023988.509631999</v>
      </c>
    </row>
    <row r="624" spans="2:5" x14ac:dyDescent="0.2">
      <c r="B624" s="29">
        <f t="shared" si="58"/>
        <v>622</v>
      </c>
      <c r="C624" s="30" t="s">
        <v>97</v>
      </c>
      <c r="D624" s="30">
        <v>45818.798495370371</v>
      </c>
      <c r="E624" s="31">
        <v>25023988.509631999</v>
      </c>
    </row>
    <row r="625" spans="2:5" x14ac:dyDescent="0.2">
      <c r="B625" s="29">
        <f t="shared" si="58"/>
        <v>623</v>
      </c>
      <c r="C625" s="30" t="s">
        <v>97</v>
      </c>
      <c r="D625" s="30">
        <v>45818.802256944444</v>
      </c>
      <c r="E625" s="31">
        <v>25137871.509631999</v>
      </c>
    </row>
    <row r="626" spans="2:5" x14ac:dyDescent="0.2">
      <c r="B626" s="29">
        <f t="shared" si="58"/>
        <v>624</v>
      </c>
      <c r="C626" s="30" t="s">
        <v>97</v>
      </c>
      <c r="D626" s="30">
        <v>45818.802881944444</v>
      </c>
      <c r="E626" s="31">
        <v>25137871.509631999</v>
      </c>
    </row>
    <row r="627" spans="2:5" x14ac:dyDescent="0.2">
      <c r="B627" s="29">
        <f t="shared" si="58"/>
        <v>625</v>
      </c>
      <c r="C627" s="30" t="s">
        <v>97</v>
      </c>
      <c r="D627" s="30">
        <v>45818.803749999999</v>
      </c>
      <c r="E627" s="31">
        <v>25137871.509631999</v>
      </c>
    </row>
    <row r="628" spans="2:5" x14ac:dyDescent="0.2">
      <c r="B628" s="29">
        <f t="shared" si="58"/>
        <v>626</v>
      </c>
      <c r="C628" s="30" t="s">
        <v>97</v>
      </c>
      <c r="D628" s="30">
        <v>45818.808136574073</v>
      </c>
      <c r="E628" s="31">
        <v>35166495.359632</v>
      </c>
    </row>
    <row r="629" spans="2:5" x14ac:dyDescent="0.2">
      <c r="B629" s="29">
        <f t="shared" si="58"/>
        <v>627</v>
      </c>
      <c r="C629" s="30" t="s">
        <v>97</v>
      </c>
      <c r="D629" s="30">
        <v>45818.808344907404</v>
      </c>
      <c r="E629" s="31">
        <v>35166495.359632</v>
      </c>
    </row>
    <row r="630" spans="2:5" x14ac:dyDescent="0.2">
      <c r="B630" s="29">
        <f t="shared" si="58"/>
        <v>628</v>
      </c>
      <c r="C630" s="30" t="s">
        <v>97</v>
      </c>
      <c r="D630" s="30">
        <v>45818.808611111112</v>
      </c>
      <c r="E630" s="31">
        <v>36752686.279372007</v>
      </c>
    </row>
    <row r="631" spans="2:5" x14ac:dyDescent="0.2">
      <c r="B631" s="29">
        <f t="shared" si="58"/>
        <v>629</v>
      </c>
      <c r="C631" s="30" t="s">
        <v>97</v>
      </c>
      <c r="D631" s="30">
        <v>45818.809884259259</v>
      </c>
      <c r="E631" s="31">
        <v>48812161.594672002</v>
      </c>
    </row>
    <row r="632" spans="2:5" x14ac:dyDescent="0.2">
      <c r="B632" s="29">
        <f t="shared" si="58"/>
        <v>630</v>
      </c>
      <c r="C632" s="30" t="s">
        <v>97</v>
      </c>
      <c r="D632" s="30">
        <v>45818.810347222221</v>
      </c>
      <c r="E632" s="31">
        <v>51845444.462671995</v>
      </c>
    </row>
    <row r="633" spans="2:5" x14ac:dyDescent="0.2">
      <c r="B633" s="29">
        <f t="shared" si="58"/>
        <v>631</v>
      </c>
      <c r="C633" s="30" t="s">
        <v>97</v>
      </c>
      <c r="D633" s="30">
        <v>45818.811956018515</v>
      </c>
      <c r="E633" s="31">
        <v>51845444.462671995</v>
      </c>
    </row>
    <row r="634" spans="2:5" x14ac:dyDescent="0.2">
      <c r="B634" s="29">
        <f t="shared" si="58"/>
        <v>632</v>
      </c>
      <c r="C634" s="30" t="s">
        <v>97</v>
      </c>
      <c r="D634" s="30">
        <v>45818.812106481484</v>
      </c>
      <c r="E634" s="31">
        <v>51845444.462671995</v>
      </c>
    </row>
    <row r="635" spans="2:5" x14ac:dyDescent="0.2">
      <c r="B635" s="29">
        <f t="shared" si="58"/>
        <v>633</v>
      </c>
      <c r="C635" s="30" t="s">
        <v>97</v>
      </c>
      <c r="D635" s="30">
        <v>45818.813171296293</v>
      </c>
      <c r="E635" s="31">
        <v>50254949.810352005</v>
      </c>
    </row>
    <row r="636" spans="2:5" x14ac:dyDescent="0.2">
      <c r="B636" s="29">
        <f t="shared" si="58"/>
        <v>634</v>
      </c>
      <c r="C636" s="30" t="s">
        <v>97</v>
      </c>
      <c r="D636" s="30">
        <v>45818.81355324074</v>
      </c>
      <c r="E636" s="31">
        <v>50254949.810352005</v>
      </c>
    </row>
    <row r="637" spans="2:5" x14ac:dyDescent="0.2">
      <c r="B637" s="29">
        <f t="shared" ref="B637:B642" si="59">ROW()-ROW($B$2)</f>
        <v>635</v>
      </c>
      <c r="C637" s="30" t="s">
        <v>97</v>
      </c>
      <c r="D637" s="30">
        <v>45840.616006944445</v>
      </c>
      <c r="E637" s="31">
        <v>51099570.815568</v>
      </c>
    </row>
    <row r="638" spans="2:5" x14ac:dyDescent="0.2">
      <c r="B638" s="29">
        <f t="shared" si="59"/>
        <v>636</v>
      </c>
      <c r="C638" s="30" t="s">
        <v>97</v>
      </c>
      <c r="D638" s="30">
        <v>45840.61645833333</v>
      </c>
      <c r="E638" s="31">
        <v>51099570.815568</v>
      </c>
    </row>
    <row r="639" spans="2:5" x14ac:dyDescent="0.2">
      <c r="B639" s="29">
        <f t="shared" si="59"/>
        <v>637</v>
      </c>
      <c r="C639" s="30" t="s">
        <v>97</v>
      </c>
      <c r="D639" s="30">
        <v>45840.617546296293</v>
      </c>
      <c r="E639" s="31">
        <v>51099570.815568</v>
      </c>
    </row>
    <row r="640" spans="2:5" x14ac:dyDescent="0.2">
      <c r="B640" s="29">
        <f t="shared" si="59"/>
        <v>638</v>
      </c>
      <c r="C640" s="30" t="s">
        <v>97</v>
      </c>
      <c r="D640" s="30">
        <v>45840.623842592591</v>
      </c>
      <c r="E640" s="31">
        <v>51099570.815568</v>
      </c>
    </row>
    <row r="641" spans="2:5" x14ac:dyDescent="0.2">
      <c r="B641" s="29">
        <f t="shared" si="59"/>
        <v>639</v>
      </c>
      <c r="C641" s="30" t="s">
        <v>97</v>
      </c>
      <c r="D641" s="30">
        <v>45842.41128472222</v>
      </c>
      <c r="E641" s="31">
        <v>51099570.815568</v>
      </c>
    </row>
    <row r="642" spans="2:5" x14ac:dyDescent="0.2">
      <c r="B642" s="29">
        <f t="shared" si="59"/>
        <v>640</v>
      </c>
      <c r="C642" s="30" t="s">
        <v>97</v>
      </c>
      <c r="D642" s="30">
        <v>45842.430613425924</v>
      </c>
      <c r="E642" s="31" t="e">
        <v>#NAME?</v>
      </c>
    </row>
    <row r="643" spans="2:5" x14ac:dyDescent="0.2">
      <c r="B643" s="29">
        <f t="shared" ref="B643:B650" si="60">ROW()-ROW($B$2)</f>
        <v>641</v>
      </c>
      <c r="C643" s="30" t="s">
        <v>97</v>
      </c>
      <c r="D643" s="30">
        <v>45853.768194444441</v>
      </c>
      <c r="E643" s="31">
        <v>51099570.815568</v>
      </c>
    </row>
    <row r="644" spans="2:5" x14ac:dyDescent="0.2">
      <c r="B644" s="29">
        <f t="shared" si="60"/>
        <v>642</v>
      </c>
      <c r="C644" s="30" t="s">
        <v>97</v>
      </c>
      <c r="D644" s="30">
        <v>45853.774907407409</v>
      </c>
      <c r="E644" s="31">
        <v>51099570.815568</v>
      </c>
    </row>
    <row r="645" spans="2:5" x14ac:dyDescent="0.2">
      <c r="B645" s="29">
        <f t="shared" si="60"/>
        <v>643</v>
      </c>
      <c r="C645" s="30" t="s">
        <v>97</v>
      </c>
      <c r="D645" s="30">
        <v>45853.776296296295</v>
      </c>
      <c r="E645" s="31">
        <v>51099570.815568</v>
      </c>
    </row>
    <row r="646" spans="2:5" x14ac:dyDescent="0.2">
      <c r="B646" s="29">
        <f t="shared" si="60"/>
        <v>644</v>
      </c>
      <c r="C646" s="30" t="s">
        <v>97</v>
      </c>
      <c r="D646" s="30">
        <v>45853.784849537034</v>
      </c>
      <c r="E646" s="31">
        <v>51099570.815568</v>
      </c>
    </row>
    <row r="647" spans="2:5" x14ac:dyDescent="0.2">
      <c r="B647" s="29">
        <f t="shared" si="60"/>
        <v>645</v>
      </c>
      <c r="C647" s="30" t="s">
        <v>97</v>
      </c>
      <c r="D647" s="30">
        <v>45853.785868055558</v>
      </c>
      <c r="E647" s="31">
        <v>51099570.815568</v>
      </c>
    </row>
    <row r="648" spans="2:5" x14ac:dyDescent="0.2">
      <c r="B648" s="29">
        <f t="shared" si="60"/>
        <v>646</v>
      </c>
      <c r="C648" s="30" t="s">
        <v>97</v>
      </c>
      <c r="D648" s="30">
        <v>45853.786099537036</v>
      </c>
      <c r="E648" s="31">
        <v>51099570.815568</v>
      </c>
    </row>
    <row r="649" spans="2:5" x14ac:dyDescent="0.2">
      <c r="B649" s="29">
        <f t="shared" si="60"/>
        <v>647</v>
      </c>
      <c r="C649" s="30" t="s">
        <v>97</v>
      </c>
      <c r="D649" s="30">
        <v>45853.786273148151</v>
      </c>
      <c r="E649" s="31">
        <v>51099570.815568</v>
      </c>
    </row>
    <row r="650" spans="2:5" x14ac:dyDescent="0.2">
      <c r="B650" s="29">
        <f t="shared" si="60"/>
        <v>648</v>
      </c>
      <c r="C650" s="30" t="s">
        <v>97</v>
      </c>
      <c r="D650" s="30">
        <v>45853.786793981482</v>
      </c>
      <c r="E650" s="31">
        <v>51099570.815568</v>
      </c>
    </row>
    <row r="651" spans="2:5" x14ac:dyDescent="0.2">
      <c r="B651" s="29">
        <f t="shared" ref="B651:B663" si="61">ROW()-ROW($B$2)</f>
        <v>649</v>
      </c>
      <c r="C651" s="30" t="s">
        <v>97</v>
      </c>
      <c r="D651" s="30">
        <v>45875.515740740739</v>
      </c>
      <c r="E651" s="31">
        <v>51099570.815568</v>
      </c>
    </row>
    <row r="652" spans="2:5" x14ac:dyDescent="0.2">
      <c r="B652" s="29">
        <f t="shared" si="61"/>
        <v>650</v>
      </c>
      <c r="C652" s="30" t="s">
        <v>97</v>
      </c>
      <c r="D652" s="30">
        <v>45895.842465277776</v>
      </c>
      <c r="E652" s="31">
        <v>51099570.815568</v>
      </c>
    </row>
    <row r="653" spans="2:5" x14ac:dyDescent="0.2">
      <c r="B653" s="29">
        <f t="shared" si="61"/>
        <v>651</v>
      </c>
      <c r="C653" s="30" t="s">
        <v>97</v>
      </c>
      <c r="D653" s="30">
        <v>45895.848854166667</v>
      </c>
      <c r="E653" s="31">
        <v>51099570.815568</v>
      </c>
    </row>
    <row r="654" spans="2:5" x14ac:dyDescent="0.2">
      <c r="B654" s="29">
        <f t="shared" si="61"/>
        <v>652</v>
      </c>
      <c r="C654" s="30" t="s">
        <v>97</v>
      </c>
      <c r="D654" s="30">
        <v>45896.393784722219</v>
      </c>
      <c r="E654" s="31">
        <v>51099570.815568</v>
      </c>
    </row>
    <row r="655" spans="2:5" x14ac:dyDescent="0.2">
      <c r="B655" s="29">
        <f t="shared" si="61"/>
        <v>653</v>
      </c>
      <c r="C655" s="30" t="s">
        <v>97</v>
      </c>
      <c r="D655" s="30">
        <v>45896.405219907407</v>
      </c>
      <c r="E655" s="31">
        <v>51099570.815568</v>
      </c>
    </row>
    <row r="656" spans="2:5" x14ac:dyDescent="0.2">
      <c r="B656" s="29">
        <f t="shared" si="61"/>
        <v>654</v>
      </c>
      <c r="C656" s="30" t="s">
        <v>97</v>
      </c>
      <c r="D656" s="30">
        <v>45896.405844907407</v>
      </c>
      <c r="E656" s="31">
        <v>51099570.815568</v>
      </c>
    </row>
    <row r="657" spans="2:5" x14ac:dyDescent="0.2">
      <c r="B657" s="29">
        <f t="shared" si="61"/>
        <v>655</v>
      </c>
      <c r="C657" s="30" t="s">
        <v>97</v>
      </c>
      <c r="D657" s="30">
        <v>45896.406851851854</v>
      </c>
      <c r="E657" s="31">
        <v>51099570.815568</v>
      </c>
    </row>
    <row r="658" spans="2:5" x14ac:dyDescent="0.2">
      <c r="B658" s="29">
        <f t="shared" si="61"/>
        <v>656</v>
      </c>
      <c r="C658" s="30" t="s">
        <v>97</v>
      </c>
      <c r="D658" s="30">
        <v>45896.406909722224</v>
      </c>
      <c r="E658" s="31">
        <v>51099570.815568</v>
      </c>
    </row>
    <row r="659" spans="2:5" x14ac:dyDescent="0.2">
      <c r="B659" s="29">
        <f t="shared" si="61"/>
        <v>657</v>
      </c>
      <c r="C659" s="30" t="s">
        <v>97</v>
      </c>
      <c r="D659" s="30">
        <v>45896.436886574076</v>
      </c>
      <c r="E659" s="31" t="e">
        <v>#VALUE!</v>
      </c>
    </row>
    <row r="660" spans="2:5" x14ac:dyDescent="0.2">
      <c r="B660" s="29">
        <f t="shared" si="61"/>
        <v>658</v>
      </c>
      <c r="C660" s="30" t="s">
        <v>97</v>
      </c>
      <c r="D660" s="30">
        <v>45896.442662037036</v>
      </c>
      <c r="E660" s="31">
        <v>40906827.299447998</v>
      </c>
    </row>
    <row r="661" spans="2:5" x14ac:dyDescent="0.2">
      <c r="B661" s="29">
        <f t="shared" si="61"/>
        <v>659</v>
      </c>
      <c r="C661" s="30" t="s">
        <v>97</v>
      </c>
      <c r="D661" s="30">
        <v>45896.442754629628</v>
      </c>
      <c r="E661" s="31">
        <v>40906827.299447998</v>
      </c>
    </row>
    <row r="662" spans="2:5" x14ac:dyDescent="0.2">
      <c r="B662" s="29">
        <f t="shared" si="61"/>
        <v>660</v>
      </c>
      <c r="C662" s="30" t="s">
        <v>97</v>
      </c>
      <c r="D662" s="30">
        <v>45896.446122685185</v>
      </c>
      <c r="E662" s="31">
        <v>933937539659.89136</v>
      </c>
    </row>
    <row r="663" spans="2:5" x14ac:dyDescent="0.2">
      <c r="B663" s="29">
        <f t="shared" si="61"/>
        <v>661</v>
      </c>
      <c r="C663" s="30" t="s">
        <v>97</v>
      </c>
      <c r="D663" s="30">
        <v>45896.446643518517</v>
      </c>
      <c r="E663" s="31">
        <v>50245793.627773918</v>
      </c>
    </row>
    <row r="664" spans="2:5" x14ac:dyDescent="0.2">
      <c r="B664" s="29">
        <f t="shared" ref="B664:B681" si="62">ROW()-ROW($B$2)</f>
        <v>662</v>
      </c>
      <c r="C664" s="30" t="s">
        <v>97</v>
      </c>
      <c r="D664" s="30">
        <v>45896.453067129631</v>
      </c>
      <c r="E664" s="31">
        <v>50245793.627773918</v>
      </c>
    </row>
    <row r="665" spans="2:5" x14ac:dyDescent="0.2">
      <c r="B665" s="29">
        <f t="shared" si="62"/>
        <v>663</v>
      </c>
      <c r="C665" s="30" t="s">
        <v>97</v>
      </c>
      <c r="D665" s="30">
        <v>45896.453599537039</v>
      </c>
      <c r="E665" s="31">
        <v>50245793.627773918</v>
      </c>
    </row>
    <row r="666" spans="2:5" x14ac:dyDescent="0.2">
      <c r="B666" s="29">
        <f t="shared" si="62"/>
        <v>664</v>
      </c>
      <c r="C666" s="30" t="s">
        <v>97</v>
      </c>
      <c r="D666" s="30">
        <v>45896.458726851852</v>
      </c>
      <c r="E666" s="31">
        <v>50245793.627773918</v>
      </c>
    </row>
    <row r="667" spans="2:5" x14ac:dyDescent="0.2">
      <c r="B667" s="29">
        <f t="shared" si="62"/>
        <v>665</v>
      </c>
      <c r="C667" s="30" t="s">
        <v>97</v>
      </c>
      <c r="D667" s="30">
        <v>45896.459374999999</v>
      </c>
      <c r="E667" s="31">
        <v>50245793.627773918</v>
      </c>
    </row>
    <row r="668" spans="2:5" x14ac:dyDescent="0.2">
      <c r="B668" s="29">
        <f t="shared" si="62"/>
        <v>666</v>
      </c>
      <c r="C668" s="30" t="s">
        <v>97</v>
      </c>
      <c r="D668" s="30">
        <v>45896.459826388891</v>
      </c>
      <c r="E668" s="31">
        <v>50245793.627773918</v>
      </c>
    </row>
    <row r="669" spans="2:5" x14ac:dyDescent="0.2">
      <c r="B669" s="29">
        <f t="shared" si="62"/>
        <v>667</v>
      </c>
      <c r="C669" s="30" t="s">
        <v>97</v>
      </c>
      <c r="D669" s="30">
        <v>45896.462546296294</v>
      </c>
      <c r="E669" s="31">
        <v>50245793.627773918</v>
      </c>
    </row>
    <row r="670" spans="2:5" x14ac:dyDescent="0.2">
      <c r="B670" s="29">
        <f t="shared" si="62"/>
        <v>668</v>
      </c>
      <c r="C670" s="30" t="s">
        <v>97</v>
      </c>
      <c r="D670" s="30">
        <v>45896.468946759262</v>
      </c>
      <c r="E670" s="31">
        <v>51738598.506173916</v>
      </c>
    </row>
    <row r="671" spans="2:5" x14ac:dyDescent="0.2">
      <c r="B671" s="29">
        <f t="shared" si="62"/>
        <v>669</v>
      </c>
      <c r="C671" s="30" t="s">
        <v>97</v>
      </c>
      <c r="D671" s="30">
        <v>45896.509166666663</v>
      </c>
      <c r="E671" s="31">
        <v>52110294.122773916</v>
      </c>
    </row>
    <row r="672" spans="2:5" x14ac:dyDescent="0.2">
      <c r="B672" s="29">
        <f t="shared" si="62"/>
        <v>670</v>
      </c>
      <c r="C672" s="30" t="s">
        <v>97</v>
      </c>
      <c r="D672" s="30">
        <v>45896.51667824074</v>
      </c>
      <c r="E672" s="31">
        <v>51043294.415373914</v>
      </c>
    </row>
    <row r="673" spans="2:5" x14ac:dyDescent="0.2">
      <c r="B673" s="29">
        <f t="shared" si="62"/>
        <v>671</v>
      </c>
      <c r="C673" s="30" t="s">
        <v>97</v>
      </c>
      <c r="D673" s="30">
        <v>45896.523599537039</v>
      </c>
      <c r="E673" s="31">
        <v>51043294.415373914</v>
      </c>
    </row>
    <row r="674" spans="2:5" x14ac:dyDescent="0.2">
      <c r="B674" s="29">
        <f t="shared" si="62"/>
        <v>672</v>
      </c>
      <c r="C674" s="30" t="s">
        <v>97</v>
      </c>
      <c r="D674" s="30">
        <v>45896.527094907404</v>
      </c>
      <c r="E674" s="31">
        <v>38374594.415373914</v>
      </c>
    </row>
    <row r="675" spans="2:5" x14ac:dyDescent="0.2">
      <c r="B675" s="29">
        <f t="shared" si="62"/>
        <v>673</v>
      </c>
      <c r="C675" s="30" t="s">
        <v>97</v>
      </c>
      <c r="D675" s="30">
        <v>45896.527881944443</v>
      </c>
      <c r="E675" s="31">
        <v>38374594.415373914</v>
      </c>
    </row>
    <row r="676" spans="2:5" x14ac:dyDescent="0.2">
      <c r="B676" s="29">
        <f t="shared" si="62"/>
        <v>674</v>
      </c>
      <c r="C676" s="30" t="s">
        <v>97</v>
      </c>
      <c r="D676" s="30">
        <v>45896.528020833335</v>
      </c>
      <c r="E676" s="31">
        <v>38374594.415373914</v>
      </c>
    </row>
    <row r="677" spans="2:5" x14ac:dyDescent="0.2">
      <c r="B677" s="29">
        <f t="shared" si="62"/>
        <v>675</v>
      </c>
      <c r="C677" s="30" t="s">
        <v>97</v>
      </c>
      <c r="D677" s="30">
        <v>45896.528090277781</v>
      </c>
      <c r="E677" s="31">
        <v>38374594.415373914</v>
      </c>
    </row>
    <row r="678" spans="2:5" x14ac:dyDescent="0.2">
      <c r="B678" s="29">
        <f t="shared" si="62"/>
        <v>676</v>
      </c>
      <c r="C678" s="30" t="s">
        <v>97</v>
      </c>
      <c r="D678" s="30">
        <v>45896.52853009259</v>
      </c>
      <c r="E678" s="31">
        <v>38344344.415373914</v>
      </c>
    </row>
    <row r="679" spans="2:5" x14ac:dyDescent="0.2">
      <c r="B679" s="29">
        <f t="shared" si="62"/>
        <v>677</v>
      </c>
      <c r="C679" s="30" t="s">
        <v>97</v>
      </c>
      <c r="D679" s="30">
        <v>45896.528599537036</v>
      </c>
      <c r="E679" s="31">
        <v>38344344.415373914</v>
      </c>
    </row>
    <row r="680" spans="2:5" x14ac:dyDescent="0.2">
      <c r="B680" s="29">
        <f t="shared" si="62"/>
        <v>678</v>
      </c>
      <c r="C680" s="30" t="s">
        <v>97</v>
      </c>
      <c r="D680" s="30">
        <v>45896.529166666667</v>
      </c>
      <c r="E680" s="31">
        <v>29267229.468048003</v>
      </c>
    </row>
    <row r="681" spans="2:5" x14ac:dyDescent="0.2">
      <c r="B681" s="29">
        <f t="shared" si="62"/>
        <v>679</v>
      </c>
      <c r="C681" s="30" t="s">
        <v>97</v>
      </c>
      <c r="D681" s="30">
        <v>45896.529849537037</v>
      </c>
      <c r="E681" s="31">
        <v>28626955.548048001</v>
      </c>
    </row>
    <row r="682" spans="2:5" x14ac:dyDescent="0.2">
      <c r="B682" s="29">
        <f t="shared" ref="B682:B707" si="63">ROW()-ROW($B$2)</f>
        <v>680</v>
      </c>
      <c r="C682" s="30" t="s">
        <v>97</v>
      </c>
      <c r="D682" s="30">
        <v>45896.579305555555</v>
      </c>
      <c r="E682" s="31">
        <v>27917196.319584001</v>
      </c>
    </row>
    <row r="683" spans="2:5" x14ac:dyDescent="0.2">
      <c r="B683" s="29">
        <f t="shared" si="63"/>
        <v>681</v>
      </c>
      <c r="C683" s="30" t="s">
        <v>97</v>
      </c>
      <c r="D683" s="30">
        <v>45925.772210648145</v>
      </c>
      <c r="E683" s="31">
        <v>27917196.319584001</v>
      </c>
    </row>
    <row r="684" spans="2:5" x14ac:dyDescent="0.2">
      <c r="B684" s="29">
        <f t="shared" si="63"/>
        <v>682</v>
      </c>
      <c r="C684" s="30" t="s">
        <v>97</v>
      </c>
      <c r="D684" s="30">
        <v>45925.773981481485</v>
      </c>
      <c r="E684" s="31">
        <v>27917196.319584001</v>
      </c>
    </row>
    <row r="685" spans="2:5" x14ac:dyDescent="0.2">
      <c r="B685" s="29">
        <f t="shared" si="63"/>
        <v>683</v>
      </c>
      <c r="C685" s="30" t="s">
        <v>97</v>
      </c>
      <c r="D685" s="30">
        <v>45967.440787037034</v>
      </c>
      <c r="E685" s="31">
        <v>27917196.319584001</v>
      </c>
    </row>
    <row r="686" spans="2:5" x14ac:dyDescent="0.2">
      <c r="B686" s="29">
        <f t="shared" si="63"/>
        <v>684</v>
      </c>
      <c r="C686" s="30" t="s">
        <v>97</v>
      </c>
      <c r="D686" s="30">
        <v>45967.443414351852</v>
      </c>
      <c r="E686" s="31">
        <v>24354650.275878001</v>
      </c>
    </row>
    <row r="687" spans="2:5" x14ac:dyDescent="0.2">
      <c r="B687" s="29">
        <f t="shared" si="63"/>
        <v>685</v>
      </c>
      <c r="C687" s="30" t="s">
        <v>97</v>
      </c>
      <c r="D687" s="30">
        <v>45967.446226851855</v>
      </c>
      <c r="E687" s="31">
        <v>30775008.544172</v>
      </c>
    </row>
    <row r="688" spans="2:5" x14ac:dyDescent="0.2">
      <c r="B688" s="29">
        <f t="shared" si="63"/>
        <v>686</v>
      </c>
      <c r="C688" s="30" t="s">
        <v>97</v>
      </c>
      <c r="D688" s="30">
        <v>45967.446388888886</v>
      </c>
      <c r="E688" s="31">
        <v>30775008.544172</v>
      </c>
    </row>
    <row r="689" spans="2:5" x14ac:dyDescent="0.2">
      <c r="B689" s="29">
        <f t="shared" si="63"/>
        <v>687</v>
      </c>
      <c r="C689" s="30" t="s">
        <v>97</v>
      </c>
      <c r="D689" s="30">
        <v>45967.452546296299</v>
      </c>
      <c r="E689" s="31">
        <v>30955970.984172001</v>
      </c>
    </row>
    <row r="690" spans="2:5" x14ac:dyDescent="0.2">
      <c r="B690" s="29">
        <f t="shared" si="63"/>
        <v>688</v>
      </c>
      <c r="C690" s="30" t="s">
        <v>97</v>
      </c>
      <c r="D690" s="30">
        <v>45967.452719907407</v>
      </c>
      <c r="E690" s="31">
        <v>32574282.082111999</v>
      </c>
    </row>
    <row r="691" spans="2:5" x14ac:dyDescent="0.2">
      <c r="B691" s="29">
        <f t="shared" si="63"/>
        <v>689</v>
      </c>
      <c r="C691" s="30" t="s">
        <v>97</v>
      </c>
      <c r="D691" s="30">
        <v>45967.453402777777</v>
      </c>
      <c r="E691" s="31">
        <v>33402024.970196001</v>
      </c>
    </row>
    <row r="692" spans="2:5" x14ac:dyDescent="0.2">
      <c r="B692" s="29">
        <f t="shared" si="63"/>
        <v>690</v>
      </c>
      <c r="C692" s="30" t="s">
        <v>97</v>
      </c>
      <c r="D692" s="30">
        <v>45967.45416666667</v>
      </c>
      <c r="E692" s="31">
        <v>29918854.255412005</v>
      </c>
    </row>
    <row r="693" spans="2:5" x14ac:dyDescent="0.2">
      <c r="B693" s="29">
        <f t="shared" si="63"/>
        <v>691</v>
      </c>
      <c r="C693" s="30" t="s">
        <v>97</v>
      </c>
      <c r="D693" s="30">
        <v>45967.455578703702</v>
      </c>
      <c r="E693" s="31">
        <v>29981723.711412001</v>
      </c>
    </row>
    <row r="694" spans="2:5" x14ac:dyDescent="0.2">
      <c r="B694" s="29">
        <f t="shared" si="63"/>
        <v>692</v>
      </c>
      <c r="C694" s="30" t="s">
        <v>97</v>
      </c>
      <c r="D694" s="30">
        <v>45967.457615740743</v>
      </c>
      <c r="E694" s="31">
        <v>29981723.711412001</v>
      </c>
    </row>
    <row r="695" spans="2:5" x14ac:dyDescent="0.2">
      <c r="B695" s="29">
        <f t="shared" si="63"/>
        <v>693</v>
      </c>
      <c r="C695" s="30" t="s">
        <v>97</v>
      </c>
      <c r="D695" s="30">
        <v>45967.458703703705</v>
      </c>
      <c r="E695" s="31">
        <v>29981723.711412001</v>
      </c>
    </row>
    <row r="696" spans="2:5" x14ac:dyDescent="0.2">
      <c r="B696" s="29">
        <f t="shared" si="63"/>
        <v>694</v>
      </c>
      <c r="C696" s="30" t="s">
        <v>97</v>
      </c>
      <c r="D696" s="30">
        <v>45967.461655092593</v>
      </c>
      <c r="E696" s="31">
        <v>27788099.628612</v>
      </c>
    </row>
    <row r="697" spans="2:5" x14ac:dyDescent="0.2">
      <c r="B697" s="29">
        <f t="shared" si="63"/>
        <v>695</v>
      </c>
      <c r="C697" s="30" t="s">
        <v>97</v>
      </c>
      <c r="D697" s="30">
        <v>45967.462604166663</v>
      </c>
      <c r="E697" s="31">
        <v>27734622.028611999</v>
      </c>
    </row>
    <row r="698" spans="2:5" x14ac:dyDescent="0.2">
      <c r="B698" s="29">
        <f t="shared" si="63"/>
        <v>696</v>
      </c>
      <c r="C698" s="30" t="s">
        <v>97</v>
      </c>
      <c r="D698" s="30">
        <v>45967.462835648148</v>
      </c>
      <c r="E698" s="31">
        <v>27734622.028611999</v>
      </c>
    </row>
    <row r="699" spans="2:5" x14ac:dyDescent="0.2">
      <c r="B699" s="29">
        <f t="shared" si="63"/>
        <v>697</v>
      </c>
      <c r="C699" s="30" t="s">
        <v>97</v>
      </c>
      <c r="D699" s="30">
        <v>45967.463321759256</v>
      </c>
      <c r="E699" s="31">
        <v>27734622.028611999</v>
      </c>
    </row>
    <row r="700" spans="2:5" x14ac:dyDescent="0.2">
      <c r="B700" s="29">
        <f t="shared" si="63"/>
        <v>698</v>
      </c>
      <c r="C700" s="30" t="s">
        <v>97</v>
      </c>
      <c r="D700" s="30">
        <v>45967.464120370372</v>
      </c>
      <c r="E700" s="31">
        <v>28249798.228611998</v>
      </c>
    </row>
    <row r="701" spans="2:5" x14ac:dyDescent="0.2">
      <c r="B701" s="29">
        <f t="shared" si="63"/>
        <v>699</v>
      </c>
      <c r="C701" s="30" t="s">
        <v>97</v>
      </c>
      <c r="D701" s="30">
        <v>45967.465787037036</v>
      </c>
      <c r="E701" s="31">
        <v>31966798.228612002</v>
      </c>
    </row>
    <row r="702" spans="2:5" x14ac:dyDescent="0.2">
      <c r="B702" s="29">
        <f t="shared" si="63"/>
        <v>700</v>
      </c>
      <c r="C702" s="30" t="s">
        <v>97</v>
      </c>
      <c r="D702" s="30">
        <v>45967.466134259259</v>
      </c>
      <c r="E702" s="31">
        <v>31966798.228612002</v>
      </c>
    </row>
    <row r="703" spans="2:5" x14ac:dyDescent="0.2">
      <c r="B703" s="29">
        <f t="shared" si="63"/>
        <v>701</v>
      </c>
      <c r="C703" s="30" t="s">
        <v>97</v>
      </c>
      <c r="D703" s="30">
        <v>45967.466354166667</v>
      </c>
      <c r="E703" s="31">
        <v>31966798.228612002</v>
      </c>
    </row>
    <row r="704" spans="2:5" x14ac:dyDescent="0.2">
      <c r="B704" s="29">
        <f t="shared" si="63"/>
        <v>702</v>
      </c>
      <c r="C704" s="30" t="s">
        <v>97</v>
      </c>
      <c r="D704" s="30">
        <v>45967.467210648145</v>
      </c>
      <c r="E704" s="31">
        <v>31966798.228612002</v>
      </c>
    </row>
    <row r="705" spans="2:5" x14ac:dyDescent="0.2">
      <c r="B705" s="29">
        <f t="shared" si="63"/>
        <v>703</v>
      </c>
      <c r="C705" s="30" t="s">
        <v>97</v>
      </c>
      <c r="D705" s="30">
        <v>45967.467557870368</v>
      </c>
      <c r="E705" s="31">
        <v>31695893.158877999</v>
      </c>
    </row>
    <row r="706" spans="2:5" x14ac:dyDescent="0.2">
      <c r="B706" s="29">
        <f t="shared" si="63"/>
        <v>704</v>
      </c>
      <c r="C706" s="30" t="s">
        <v>97</v>
      </c>
      <c r="D706" s="30">
        <v>45967.467638888891</v>
      </c>
      <c r="E706" s="31">
        <v>31966798.228612002</v>
      </c>
    </row>
    <row r="707" spans="2:5" x14ac:dyDescent="0.2">
      <c r="B707" s="29">
        <f t="shared" si="63"/>
        <v>705</v>
      </c>
      <c r="C707" s="30" t="s">
        <v>97</v>
      </c>
      <c r="D707" s="30">
        <v>45967.479513888888</v>
      </c>
      <c r="E707" s="31">
        <v>31424988.089143999</v>
      </c>
    </row>
    <row r="708" spans="2:5" x14ac:dyDescent="0.2">
      <c r="B708" s="29">
        <f t="shared" ref="B708:B713" si="64">ROW()-ROW($B$2)</f>
        <v>706</v>
      </c>
      <c r="C708" s="30" t="s">
        <v>97</v>
      </c>
      <c r="D708" s="30">
        <v>45967.499374999999</v>
      </c>
      <c r="E708" s="31">
        <v>32568978.349144001</v>
      </c>
    </row>
    <row r="709" spans="2:5" x14ac:dyDescent="0.2">
      <c r="B709" s="29">
        <f t="shared" si="64"/>
        <v>707</v>
      </c>
      <c r="C709" s="30" t="s">
        <v>97</v>
      </c>
      <c r="D709" s="30">
        <v>45967.543993055559</v>
      </c>
      <c r="E709" s="31">
        <v>32568978.349144001</v>
      </c>
    </row>
    <row r="710" spans="2:5" x14ac:dyDescent="0.2">
      <c r="B710" s="29">
        <f t="shared" si="64"/>
        <v>708</v>
      </c>
      <c r="C710" s="30" t="s">
        <v>97</v>
      </c>
      <c r="D710" s="30">
        <v>45967.687858796293</v>
      </c>
      <c r="E710" s="31">
        <v>32568978.349144001</v>
      </c>
    </row>
    <row r="711" spans="2:5" x14ac:dyDescent="0.2">
      <c r="B711" s="29">
        <f t="shared" si="64"/>
        <v>709</v>
      </c>
      <c r="C711" s="30" t="s">
        <v>97</v>
      </c>
      <c r="D711" s="30">
        <v>45967.698738425926</v>
      </c>
      <c r="E711" s="31">
        <v>32568978.349144001</v>
      </c>
    </row>
    <row r="712" spans="2:5" x14ac:dyDescent="0.2">
      <c r="B712" s="29">
        <f t="shared" si="64"/>
        <v>710</v>
      </c>
      <c r="C712" s="30" t="s">
        <v>97</v>
      </c>
      <c r="D712" s="30">
        <v>45967.707314814812</v>
      </c>
      <c r="E712" s="31">
        <v>32824178.349144001</v>
      </c>
    </row>
    <row r="713" spans="2:5" x14ac:dyDescent="0.2">
      <c r="B713" s="29">
        <f t="shared" si="64"/>
        <v>711</v>
      </c>
      <c r="C713" s="30" t="s">
        <v>97</v>
      </c>
      <c r="D713" s="30">
        <v>45967.716134259259</v>
      </c>
      <c r="E713" s="31">
        <v>33430278.349144001</v>
      </c>
    </row>
    <row r="714" spans="2:5" x14ac:dyDescent="0.2">
      <c r="B714" s="29">
        <f t="shared" ref="B714:B720" si="65">ROW()-ROW($B$2)</f>
        <v>712</v>
      </c>
      <c r="C714" s="30" t="s">
        <v>97</v>
      </c>
      <c r="D714" s="30">
        <v>45967.71947916667</v>
      </c>
      <c r="E714" s="31">
        <v>33602538.349143997</v>
      </c>
    </row>
    <row r="715" spans="2:5" x14ac:dyDescent="0.2">
      <c r="B715" s="29">
        <f t="shared" si="65"/>
        <v>713</v>
      </c>
      <c r="C715" s="30" t="s">
        <v>97</v>
      </c>
      <c r="D715" s="30">
        <v>45967.720381944448</v>
      </c>
      <c r="E715" s="31">
        <v>33602538.349143997</v>
      </c>
    </row>
    <row r="716" spans="2:5" x14ac:dyDescent="0.2">
      <c r="B716" s="29">
        <f t="shared" si="65"/>
        <v>714</v>
      </c>
      <c r="C716" s="30" t="s">
        <v>97</v>
      </c>
      <c r="D716" s="30">
        <v>45967.728761574072</v>
      </c>
      <c r="E716" s="31">
        <v>34636098.349143997</v>
      </c>
    </row>
    <row r="717" spans="2:5" x14ac:dyDescent="0.2">
      <c r="B717" s="29">
        <f t="shared" si="65"/>
        <v>715</v>
      </c>
      <c r="C717" s="30" t="s">
        <v>97</v>
      </c>
      <c r="D717" s="30">
        <v>45967.729062500002</v>
      </c>
      <c r="E717" s="31">
        <v>33826476.349143997</v>
      </c>
    </row>
    <row r="718" spans="2:5" x14ac:dyDescent="0.2">
      <c r="B718" s="29">
        <f t="shared" si="65"/>
        <v>716</v>
      </c>
      <c r="C718" s="30" t="s">
        <v>97</v>
      </c>
      <c r="D718" s="30">
        <v>45967.729178240741</v>
      </c>
      <c r="E718" s="31">
        <v>36582636.349143997</v>
      </c>
    </row>
    <row r="719" spans="2:5" x14ac:dyDescent="0.2">
      <c r="B719" s="29">
        <f t="shared" si="65"/>
        <v>717</v>
      </c>
      <c r="C719" s="30" t="s">
        <v>97</v>
      </c>
      <c r="D719" s="30">
        <v>45967.72934027778</v>
      </c>
      <c r="E719" s="31">
        <v>40596294.349143997</v>
      </c>
    </row>
    <row r="720" spans="2:5" x14ac:dyDescent="0.2">
      <c r="B720" s="29">
        <f t="shared" si="65"/>
        <v>718</v>
      </c>
      <c r="C720" s="30" t="s">
        <v>97</v>
      </c>
      <c r="D720" s="30">
        <v>45967.729490740741</v>
      </c>
      <c r="E720" s="31">
        <v>40596294.349143997</v>
      </c>
    </row>
    <row r="721" spans="2:5" x14ac:dyDescent="0.2">
      <c r="B721" s="29">
        <f t="shared" ref="B721:B726" si="66">ROW()-ROW($B$2)</f>
        <v>719</v>
      </c>
      <c r="C721" s="30" t="s">
        <v>97</v>
      </c>
      <c r="D721" s="30">
        <v>45967.731435185182</v>
      </c>
      <c r="E721" s="31">
        <v>40596294.349143997</v>
      </c>
    </row>
    <row r="722" spans="2:5" x14ac:dyDescent="0.2">
      <c r="B722" s="29">
        <f t="shared" si="66"/>
        <v>720</v>
      </c>
      <c r="C722" s="30" t="s">
        <v>97</v>
      </c>
      <c r="D722" s="30">
        <v>45967.741770833331</v>
      </c>
      <c r="E722" s="31">
        <v>40596294.349143997</v>
      </c>
    </row>
    <row r="723" spans="2:5" x14ac:dyDescent="0.2">
      <c r="B723" s="29">
        <f t="shared" si="66"/>
        <v>721</v>
      </c>
      <c r="C723" s="30" t="s">
        <v>97</v>
      </c>
      <c r="D723" s="30">
        <v>45968.460023148145</v>
      </c>
      <c r="E723" s="31">
        <v>34996805.473399997</v>
      </c>
    </row>
    <row r="724" spans="2:5" x14ac:dyDescent="0.2">
      <c r="B724" s="29">
        <f t="shared" si="66"/>
        <v>722</v>
      </c>
      <c r="C724" s="30" t="s">
        <v>97</v>
      </c>
      <c r="D724" s="30">
        <v>45973.561562499999</v>
      </c>
      <c r="E724" s="31">
        <v>36697581.856537998</v>
      </c>
    </row>
    <row r="725" spans="2:5" x14ac:dyDescent="0.2">
      <c r="B725" s="29">
        <f t="shared" si="66"/>
        <v>723</v>
      </c>
      <c r="C725" s="30" t="s">
        <v>97</v>
      </c>
      <c r="D725" s="30">
        <v>45973.561631944445</v>
      </c>
      <c r="E725" s="31">
        <v>35948581.856537998</v>
      </c>
    </row>
    <row r="726" spans="2:5" x14ac:dyDescent="0.2">
      <c r="B726" s="29">
        <f t="shared" si="66"/>
        <v>724</v>
      </c>
      <c r="C726" s="30" t="s">
        <v>97</v>
      </c>
      <c r="D726" s="30">
        <v>45973.561956018515</v>
      </c>
      <c r="E726" s="31">
        <v>26211581.856538001</v>
      </c>
    </row>
    <row r="727" spans="2:5" x14ac:dyDescent="0.2">
      <c r="B727" s="29">
        <f t="shared" ref="B727:B755" si="67">ROW()-ROW($B$2)</f>
        <v>725</v>
      </c>
      <c r="C727" s="30" t="s">
        <v>97</v>
      </c>
      <c r="D727" s="30">
        <v>45974.44740740741</v>
      </c>
      <c r="E727" s="31">
        <v>10228087.1358</v>
      </c>
    </row>
    <row r="728" spans="2:5" x14ac:dyDescent="0.2">
      <c r="B728" s="29">
        <f t="shared" si="67"/>
        <v>726</v>
      </c>
      <c r="C728" s="30" t="s">
        <v>97</v>
      </c>
      <c r="D728" s="30">
        <v>45974.455474537041</v>
      </c>
      <c r="E728" s="31" t="e">
        <v>#VALUE!</v>
      </c>
    </row>
    <row r="729" spans="2:5" x14ac:dyDescent="0.2">
      <c r="B729" s="29">
        <f t="shared" si="67"/>
        <v>727</v>
      </c>
      <c r="C729" s="30" t="s">
        <v>97</v>
      </c>
      <c r="D729" s="30">
        <v>45974.455868055556</v>
      </c>
      <c r="E729" s="31">
        <v>10045114.954551501</v>
      </c>
    </row>
    <row r="730" spans="2:5" x14ac:dyDescent="0.2">
      <c r="B730" s="29">
        <f t="shared" si="67"/>
        <v>728</v>
      </c>
      <c r="C730" s="30" t="s">
        <v>97</v>
      </c>
      <c r="D730" s="30">
        <v>45974.458252314813</v>
      </c>
      <c r="E730" s="31">
        <v>10420470.954551501</v>
      </c>
    </row>
    <row r="731" spans="2:5" x14ac:dyDescent="0.2">
      <c r="B731" s="29">
        <f t="shared" si="67"/>
        <v>729</v>
      </c>
      <c r="C731" s="30" t="s">
        <v>97</v>
      </c>
      <c r="D731" s="30">
        <v>45974.458553240744</v>
      </c>
      <c r="E731" s="31">
        <v>10420470.954551501</v>
      </c>
    </row>
    <row r="732" spans="2:5" x14ac:dyDescent="0.2">
      <c r="B732" s="29">
        <f t="shared" si="67"/>
        <v>730</v>
      </c>
      <c r="C732" s="30" t="s">
        <v>97</v>
      </c>
      <c r="D732" s="30">
        <v>45974.460393518515</v>
      </c>
      <c r="E732" s="31">
        <v>16305470.954551499</v>
      </c>
    </row>
    <row r="733" spans="2:5" x14ac:dyDescent="0.2">
      <c r="B733" s="29">
        <f t="shared" si="67"/>
        <v>731</v>
      </c>
      <c r="C733" s="30" t="s">
        <v>97</v>
      </c>
      <c r="D733" s="30">
        <v>45974.464606481481</v>
      </c>
      <c r="E733" s="31">
        <v>16305470.954551499</v>
      </c>
    </row>
    <row r="734" spans="2:5" x14ac:dyDescent="0.2">
      <c r="B734" s="29">
        <f t="shared" si="67"/>
        <v>732</v>
      </c>
      <c r="C734" s="30" t="s">
        <v>97</v>
      </c>
      <c r="D734" s="30">
        <v>45974.475057870368</v>
      </c>
      <c r="E734" s="31">
        <v>151505320.95455152</v>
      </c>
    </row>
    <row r="735" spans="2:5" x14ac:dyDescent="0.2">
      <c r="B735" s="29">
        <f t="shared" si="67"/>
        <v>733</v>
      </c>
      <c r="C735" s="30" t="s">
        <v>97</v>
      </c>
      <c r="D735" s="30">
        <v>45974.475266203706</v>
      </c>
      <c r="E735" s="31">
        <v>152575320.95455152</v>
      </c>
    </row>
    <row r="736" spans="2:5" x14ac:dyDescent="0.2">
      <c r="B736" s="29">
        <f t="shared" si="67"/>
        <v>734</v>
      </c>
      <c r="C736" s="30" t="s">
        <v>97</v>
      </c>
      <c r="D736" s="30">
        <v>45974.477349537039</v>
      </c>
      <c r="E736" s="31">
        <v>158115138.83080602</v>
      </c>
    </row>
    <row r="737" spans="2:5" x14ac:dyDescent="0.2">
      <c r="B737" s="29">
        <f t="shared" si="67"/>
        <v>735</v>
      </c>
      <c r="C737" s="30" t="s">
        <v>97</v>
      </c>
      <c r="D737" s="30">
        <v>45974.477465277778</v>
      </c>
      <c r="E737" s="31">
        <v>158115138.83080602</v>
      </c>
    </row>
    <row r="738" spans="2:5" x14ac:dyDescent="0.2">
      <c r="B738" s="29">
        <f t="shared" si="67"/>
        <v>736</v>
      </c>
      <c r="C738" s="30" t="s">
        <v>97</v>
      </c>
      <c r="D738" s="30">
        <v>45974.477858796294</v>
      </c>
      <c r="E738" s="31">
        <v>156617138.83080602</v>
      </c>
    </row>
    <row r="739" spans="2:5" x14ac:dyDescent="0.2">
      <c r="B739" s="29">
        <f t="shared" si="67"/>
        <v>737</v>
      </c>
      <c r="C739" s="30" t="s">
        <v>97</v>
      </c>
      <c r="D739" s="30">
        <v>45974.478009259263</v>
      </c>
      <c r="E739" s="31">
        <v>155868138.83080602</v>
      </c>
    </row>
    <row r="740" spans="2:5" x14ac:dyDescent="0.2">
      <c r="B740" s="29">
        <f t="shared" si="67"/>
        <v>738</v>
      </c>
      <c r="C740" s="30" t="s">
        <v>97</v>
      </c>
      <c r="D740" s="30">
        <v>45974.478541666664</v>
      </c>
      <c r="E740" s="31">
        <v>156296138.83080602</v>
      </c>
    </row>
    <row r="741" spans="2:5" x14ac:dyDescent="0.2">
      <c r="B741" s="29">
        <f t="shared" si="67"/>
        <v>739</v>
      </c>
      <c r="C741" s="30" t="s">
        <v>97</v>
      </c>
      <c r="D741" s="30">
        <v>45974.481458333335</v>
      </c>
      <c r="E741" s="31">
        <v>156296138.83080602</v>
      </c>
    </row>
    <row r="742" spans="2:5" x14ac:dyDescent="0.2">
      <c r="B742" s="29">
        <f t="shared" si="67"/>
        <v>740</v>
      </c>
      <c r="C742" s="30" t="s">
        <v>97</v>
      </c>
      <c r="D742" s="30">
        <v>45974.4924537037</v>
      </c>
      <c r="E742" s="31">
        <v>162191838.83080602</v>
      </c>
    </row>
    <row r="743" spans="2:5" x14ac:dyDescent="0.2">
      <c r="B743" s="29">
        <f t="shared" si="67"/>
        <v>741</v>
      </c>
      <c r="C743" s="30" t="s">
        <v>97</v>
      </c>
      <c r="D743" s="30">
        <v>45974.510659722226</v>
      </c>
      <c r="E743" s="31">
        <v>208677988.83080602</v>
      </c>
    </row>
    <row r="744" spans="2:5" x14ac:dyDescent="0.2">
      <c r="B744" s="29">
        <f t="shared" si="67"/>
        <v>742</v>
      </c>
      <c r="C744" s="30" t="s">
        <v>97</v>
      </c>
      <c r="D744" s="30">
        <v>45974.512719907405</v>
      </c>
      <c r="E744" s="31">
        <v>217403838.83080602</v>
      </c>
    </row>
    <row r="745" spans="2:5" x14ac:dyDescent="0.2">
      <c r="B745" s="29">
        <f t="shared" si="67"/>
        <v>743</v>
      </c>
      <c r="C745" s="30" t="s">
        <v>97</v>
      </c>
      <c r="D745" s="30">
        <v>45974.514988425923</v>
      </c>
      <c r="E745" s="31">
        <v>221644744.619735</v>
      </c>
    </row>
    <row r="746" spans="2:5" x14ac:dyDescent="0.2">
      <c r="B746" s="29">
        <f t="shared" si="67"/>
        <v>744</v>
      </c>
      <c r="C746" s="30" t="s">
        <v>97</v>
      </c>
      <c r="D746" s="30">
        <v>45974.516724537039</v>
      </c>
      <c r="E746" s="31">
        <v>211109744.619735</v>
      </c>
    </row>
    <row r="747" spans="2:5" x14ac:dyDescent="0.2">
      <c r="B747" s="29">
        <f t="shared" si="67"/>
        <v>745</v>
      </c>
      <c r="C747" s="30" t="s">
        <v>97</v>
      </c>
      <c r="D747" s="30">
        <v>45974.517314814817</v>
      </c>
      <c r="E747" s="31">
        <v>204713494.619735</v>
      </c>
    </row>
    <row r="748" spans="2:5" x14ac:dyDescent="0.2">
      <c r="B748" s="29">
        <f t="shared" si="67"/>
        <v>746</v>
      </c>
      <c r="C748" s="30" t="s">
        <v>97</v>
      </c>
      <c r="D748" s="30">
        <v>45974.521898148145</v>
      </c>
      <c r="E748" s="31">
        <v>216753494.619735</v>
      </c>
    </row>
    <row r="749" spans="2:5" x14ac:dyDescent="0.2">
      <c r="B749" s="29">
        <f t="shared" si="67"/>
        <v>747</v>
      </c>
      <c r="C749" s="30" t="s">
        <v>97</v>
      </c>
      <c r="D749" s="30">
        <v>45974.522986111115</v>
      </c>
      <c r="E749" s="31">
        <v>219010994.619735</v>
      </c>
    </row>
    <row r="750" spans="2:5" x14ac:dyDescent="0.2">
      <c r="B750" s="29">
        <f t="shared" si="67"/>
        <v>748</v>
      </c>
      <c r="C750" s="30" t="s">
        <v>97</v>
      </c>
      <c r="D750" s="30">
        <v>45974.524050925924</v>
      </c>
      <c r="E750" s="31">
        <v>221644744.619735</v>
      </c>
    </row>
    <row r="751" spans="2:5" x14ac:dyDescent="0.2">
      <c r="B751" s="29">
        <f t="shared" si="67"/>
        <v>749</v>
      </c>
      <c r="C751" s="30" t="s">
        <v>97</v>
      </c>
      <c r="D751" s="30">
        <v>45974.527986111112</v>
      </c>
      <c r="E751" s="31">
        <v>259092198.695418</v>
      </c>
    </row>
    <row r="752" spans="2:5" x14ac:dyDescent="0.2">
      <c r="B752" s="29">
        <f t="shared" si="67"/>
        <v>750</v>
      </c>
      <c r="C752" s="30" t="s">
        <v>97</v>
      </c>
      <c r="D752" s="30">
        <v>45974.529409722221</v>
      </c>
      <c r="E752" s="31">
        <v>267766203.31075451</v>
      </c>
    </row>
    <row r="753" spans="2:5" x14ac:dyDescent="0.2">
      <c r="B753" s="29">
        <f t="shared" si="67"/>
        <v>751</v>
      </c>
      <c r="C753" s="30" t="s">
        <v>97</v>
      </c>
      <c r="D753" s="30">
        <v>45974.530868055554</v>
      </c>
      <c r="E753" s="31">
        <v>284489976.31075454</v>
      </c>
    </row>
    <row r="754" spans="2:5" x14ac:dyDescent="0.2">
      <c r="B754" s="29">
        <f t="shared" si="67"/>
        <v>752</v>
      </c>
      <c r="C754" s="30" t="s">
        <v>97</v>
      </c>
      <c r="D754" s="30">
        <v>45974.535057870373</v>
      </c>
      <c r="E754" s="31">
        <v>310247851.31075454</v>
      </c>
    </row>
    <row r="755" spans="2:5" x14ac:dyDescent="0.2">
      <c r="B755" s="29">
        <f t="shared" si="67"/>
        <v>753</v>
      </c>
      <c r="C755" s="30" t="s">
        <v>97</v>
      </c>
      <c r="D755" s="30">
        <v>45974.535798611112</v>
      </c>
      <c r="E755" s="31">
        <v>310247851.31075454</v>
      </c>
    </row>
    <row r="756" spans="2:5" x14ac:dyDescent="0.2">
      <c r="B756" s="29">
        <f t="shared" ref="B756:B768" si="68">ROW()-ROW($B$2)</f>
        <v>754</v>
      </c>
      <c r="C756" s="30" t="s">
        <v>97</v>
      </c>
      <c r="D756" s="30">
        <v>45974.539826388886</v>
      </c>
      <c r="E756" s="31">
        <v>312758601.31075454</v>
      </c>
    </row>
    <row r="757" spans="2:5" x14ac:dyDescent="0.2">
      <c r="B757" s="29">
        <f t="shared" si="68"/>
        <v>755</v>
      </c>
      <c r="C757" s="30" t="s">
        <v>97</v>
      </c>
      <c r="D757" s="30">
        <v>45974.576631944445</v>
      </c>
      <c r="E757" s="31">
        <v>322196601.31075454</v>
      </c>
    </row>
    <row r="758" spans="2:5" x14ac:dyDescent="0.2">
      <c r="B758" s="29">
        <f t="shared" si="68"/>
        <v>756</v>
      </c>
      <c r="C758" s="30" t="s">
        <v>97</v>
      </c>
      <c r="D758" s="30">
        <v>45974.630752314813</v>
      </c>
      <c r="E758" s="31">
        <v>322196601.31075454</v>
      </c>
    </row>
    <row r="759" spans="2:5" x14ac:dyDescent="0.2">
      <c r="B759" s="29">
        <f t="shared" si="68"/>
        <v>757</v>
      </c>
      <c r="C759" s="30" t="s">
        <v>97</v>
      </c>
      <c r="D759" s="30">
        <v>45974.759918981479</v>
      </c>
      <c r="E759" s="31">
        <v>322196601.31075454</v>
      </c>
    </row>
    <row r="760" spans="2:5" x14ac:dyDescent="0.2">
      <c r="B760" s="29">
        <f t="shared" si="68"/>
        <v>758</v>
      </c>
      <c r="C760" s="30" t="s">
        <v>97</v>
      </c>
      <c r="D760" s="30">
        <v>45974.760740740741</v>
      </c>
      <c r="E760" s="31">
        <v>322196601.31075454</v>
      </c>
    </row>
    <row r="761" spans="2:5" x14ac:dyDescent="0.2">
      <c r="B761" s="29">
        <f t="shared" si="68"/>
        <v>759</v>
      </c>
      <c r="C761" s="30" t="s">
        <v>97</v>
      </c>
      <c r="D761" s="30">
        <v>45974.761099537034</v>
      </c>
      <c r="E761" s="31">
        <v>322196601.31075454</v>
      </c>
    </row>
    <row r="762" spans="2:5" x14ac:dyDescent="0.2">
      <c r="B762" s="29">
        <f t="shared" si="68"/>
        <v>760</v>
      </c>
      <c r="C762" s="30" t="s">
        <v>97</v>
      </c>
      <c r="D762" s="30">
        <v>45974.761863425927</v>
      </c>
      <c r="E762" s="31">
        <v>322196601.31075454</v>
      </c>
    </row>
    <row r="763" spans="2:5" x14ac:dyDescent="0.2">
      <c r="B763" s="29">
        <f t="shared" si="68"/>
        <v>761</v>
      </c>
      <c r="C763" s="30" t="s">
        <v>97</v>
      </c>
      <c r="D763" s="30">
        <v>45974.762442129628</v>
      </c>
      <c r="E763" s="31">
        <v>322196601.31075454</v>
      </c>
    </row>
    <row r="764" spans="2:5" x14ac:dyDescent="0.2">
      <c r="B764" s="29">
        <f t="shared" si="68"/>
        <v>762</v>
      </c>
      <c r="C764" s="30" t="s">
        <v>97</v>
      </c>
      <c r="D764" s="30">
        <v>45974.763136574074</v>
      </c>
      <c r="E764" s="31">
        <v>322196601.31075454</v>
      </c>
    </row>
    <row r="765" spans="2:5" x14ac:dyDescent="0.2">
      <c r="B765" s="29">
        <f t="shared" si="68"/>
        <v>763</v>
      </c>
      <c r="C765" s="30" t="s">
        <v>97</v>
      </c>
      <c r="D765" s="30">
        <v>45974.764351851853</v>
      </c>
      <c r="E765" s="31">
        <v>322196601.31075454</v>
      </c>
    </row>
    <row r="766" spans="2:5" x14ac:dyDescent="0.2">
      <c r="B766" s="29">
        <f t="shared" si="68"/>
        <v>764</v>
      </c>
      <c r="C766" s="30" t="s">
        <v>97</v>
      </c>
      <c r="D766" s="30">
        <v>45974.766944444447</v>
      </c>
      <c r="E766" s="31">
        <v>322196601.31075454</v>
      </c>
    </row>
    <row r="767" spans="2:5" x14ac:dyDescent="0.2">
      <c r="B767" s="29">
        <f t="shared" si="68"/>
        <v>765</v>
      </c>
      <c r="C767" s="30" t="s">
        <v>97</v>
      </c>
      <c r="D767" s="30">
        <v>45974.76699074074</v>
      </c>
      <c r="E767" s="31">
        <v>322196601.31075454</v>
      </c>
    </row>
    <row r="768" spans="2:5" x14ac:dyDescent="0.2">
      <c r="B768" s="29">
        <f t="shared" si="68"/>
        <v>766</v>
      </c>
      <c r="C768" s="30" t="s">
        <v>97</v>
      </c>
      <c r="D768" s="30">
        <v>45974.767164351855</v>
      </c>
      <c r="E768" s="31">
        <v>322196601.31075454</v>
      </c>
    </row>
    <row r="769" spans="2:5" x14ac:dyDescent="0.2">
      <c r="B769" s="29">
        <f t="shared" ref="B769:B774" si="69">ROW()-ROW($B$2)</f>
        <v>767</v>
      </c>
      <c r="C769" s="30" t="s">
        <v>97</v>
      </c>
      <c r="D769" s="30">
        <v>45974.776967592596</v>
      </c>
      <c r="E769" s="31">
        <v>322196601.31075454</v>
      </c>
    </row>
    <row r="770" spans="2:5" x14ac:dyDescent="0.2">
      <c r="B770" s="29">
        <f t="shared" si="69"/>
        <v>768</v>
      </c>
      <c r="C770" s="30" t="s">
        <v>97</v>
      </c>
      <c r="D770" s="30">
        <v>45974.777592592596</v>
      </c>
      <c r="E770" s="31">
        <v>322196601.31075454</v>
      </c>
    </row>
    <row r="771" spans="2:5" x14ac:dyDescent="0.2">
      <c r="B771" s="29">
        <f t="shared" si="69"/>
        <v>769</v>
      </c>
      <c r="C771" s="30" t="s">
        <v>97</v>
      </c>
      <c r="D771" s="30">
        <v>45974.781585648147</v>
      </c>
      <c r="E771" s="31">
        <v>322196601.31075454</v>
      </c>
    </row>
    <row r="772" spans="2:5" x14ac:dyDescent="0.2">
      <c r="B772" s="29">
        <f t="shared" si="69"/>
        <v>770</v>
      </c>
      <c r="C772" s="30" t="s">
        <v>97</v>
      </c>
      <c r="D772" s="30">
        <v>45974.782094907408</v>
      </c>
      <c r="E772" s="31">
        <v>322196601.31075454</v>
      </c>
    </row>
    <row r="773" spans="2:5" x14ac:dyDescent="0.2">
      <c r="B773" s="29">
        <f t="shared" si="69"/>
        <v>771</v>
      </c>
      <c r="C773" s="30" t="s">
        <v>97</v>
      </c>
      <c r="D773" s="30">
        <v>45974.787615740737</v>
      </c>
      <c r="E773" s="31">
        <v>323254219.2347545</v>
      </c>
    </row>
    <row r="774" spans="2:5" x14ac:dyDescent="0.2">
      <c r="B774" s="29">
        <f t="shared" si="69"/>
        <v>772</v>
      </c>
      <c r="C774" s="30" t="s">
        <v>97</v>
      </c>
      <c r="D774" s="30">
        <v>45974.796053240738</v>
      </c>
      <c r="E774" s="31">
        <v>323428044.00794804</v>
      </c>
    </row>
    <row r="775" spans="2:5" x14ac:dyDescent="0.2">
      <c r="B775" s="29">
        <f t="shared" ref="B775:B793" si="70">ROW()-ROW($B$2)</f>
        <v>773</v>
      </c>
      <c r="C775" s="30" t="s">
        <v>97</v>
      </c>
      <c r="D775" s="30">
        <v>45974.797696759262</v>
      </c>
      <c r="E775" s="31">
        <v>323428044.00794804</v>
      </c>
    </row>
    <row r="776" spans="2:5" x14ac:dyDescent="0.2">
      <c r="B776" s="29">
        <f t="shared" si="70"/>
        <v>774</v>
      </c>
      <c r="C776" s="30" t="s">
        <v>97</v>
      </c>
      <c r="D776" s="30">
        <v>45974.797766203701</v>
      </c>
      <c r="E776" s="31">
        <v>323428044.00794804</v>
      </c>
    </row>
    <row r="777" spans="2:5" x14ac:dyDescent="0.2">
      <c r="B777" s="29">
        <f t="shared" si="70"/>
        <v>775</v>
      </c>
      <c r="C777" s="30" t="s">
        <v>97</v>
      </c>
      <c r="D777" s="30">
        <v>45974.797974537039</v>
      </c>
      <c r="E777" s="31">
        <v>323428044.00794804</v>
      </c>
    </row>
    <row r="778" spans="2:5" x14ac:dyDescent="0.2">
      <c r="B778" s="29">
        <f t="shared" si="70"/>
        <v>776</v>
      </c>
      <c r="C778" s="30" t="s">
        <v>97</v>
      </c>
      <c r="D778" s="30">
        <v>45974.799178240741</v>
      </c>
      <c r="E778" s="31">
        <v>323428044.00794804</v>
      </c>
    </row>
    <row r="779" spans="2:5" x14ac:dyDescent="0.2">
      <c r="B779" s="29">
        <f t="shared" si="70"/>
        <v>777</v>
      </c>
      <c r="C779" s="30" t="s">
        <v>97</v>
      </c>
      <c r="D779" s="30">
        <v>45974.802511574075</v>
      </c>
      <c r="E779" s="31">
        <v>390401544.00794804</v>
      </c>
    </row>
    <row r="780" spans="2:5" x14ac:dyDescent="0.2">
      <c r="B780" s="29">
        <f t="shared" si="70"/>
        <v>778</v>
      </c>
      <c r="C780" s="30" t="s">
        <v>97</v>
      </c>
      <c r="D780" s="30">
        <v>45974.803587962961</v>
      </c>
      <c r="E780" s="31">
        <v>256247901.17594802</v>
      </c>
    </row>
    <row r="781" spans="2:5" x14ac:dyDescent="0.2">
      <c r="B781" s="29">
        <f t="shared" si="70"/>
        <v>779</v>
      </c>
      <c r="C781" s="30" t="s">
        <v>97</v>
      </c>
      <c r="D781" s="30">
        <v>45974.80505787037</v>
      </c>
      <c r="E781" s="31">
        <v>256247901.17594802</v>
      </c>
    </row>
    <row r="782" spans="2:5" x14ac:dyDescent="0.2">
      <c r="B782" s="29">
        <f t="shared" si="70"/>
        <v>780</v>
      </c>
      <c r="C782" s="30" t="s">
        <v>97</v>
      </c>
      <c r="D782" s="30">
        <v>45974.805127314816</v>
      </c>
      <c r="E782" s="31">
        <v>253627494.92594802</v>
      </c>
    </row>
    <row r="783" spans="2:5" x14ac:dyDescent="0.2">
      <c r="B783" s="29">
        <f t="shared" si="70"/>
        <v>781</v>
      </c>
      <c r="C783" s="30" t="s">
        <v>97</v>
      </c>
      <c r="D783" s="30">
        <v>45974.805578703701</v>
      </c>
      <c r="E783" s="31">
        <v>253627494.92594802</v>
      </c>
    </row>
    <row r="784" spans="2:5" x14ac:dyDescent="0.2">
      <c r="B784" s="29">
        <f t="shared" si="70"/>
        <v>782</v>
      </c>
      <c r="C784" s="30" t="s">
        <v>97</v>
      </c>
      <c r="D784" s="30">
        <v>45974.806307870371</v>
      </c>
      <c r="E784" s="31">
        <v>402258787.75794804</v>
      </c>
    </row>
    <row r="785" spans="2:5" x14ac:dyDescent="0.2">
      <c r="B785" s="29">
        <f t="shared" si="70"/>
        <v>783</v>
      </c>
      <c r="C785" s="30" t="s">
        <v>97</v>
      </c>
      <c r="D785" s="30">
        <v>45974.806909722225</v>
      </c>
      <c r="E785" s="31">
        <v>402258787.75794804</v>
      </c>
    </row>
    <row r="786" spans="2:5" x14ac:dyDescent="0.2">
      <c r="B786" s="29">
        <f t="shared" si="70"/>
        <v>784</v>
      </c>
      <c r="C786" s="30" t="s">
        <v>97</v>
      </c>
      <c r="D786" s="30">
        <v>45974.806944444441</v>
      </c>
      <c r="E786" s="31">
        <v>402258787.75794804</v>
      </c>
    </row>
    <row r="787" spans="2:5" x14ac:dyDescent="0.2">
      <c r="B787" s="29">
        <f t="shared" si="70"/>
        <v>785</v>
      </c>
      <c r="C787" s="30" t="s">
        <v>97</v>
      </c>
      <c r="D787" s="30">
        <v>45974.808182870373</v>
      </c>
      <c r="E787" s="31">
        <v>402258787.75794804</v>
      </c>
    </row>
    <row r="788" spans="2:5" x14ac:dyDescent="0.2">
      <c r="B788" s="29">
        <f t="shared" si="70"/>
        <v>786</v>
      </c>
      <c r="C788" s="30" t="s">
        <v>97</v>
      </c>
      <c r="D788" s="30">
        <v>45974.808634259258</v>
      </c>
      <c r="E788" s="31">
        <v>395482787.75794804</v>
      </c>
    </row>
    <row r="789" spans="2:5" x14ac:dyDescent="0.2">
      <c r="B789" s="29">
        <f t="shared" si="70"/>
        <v>787</v>
      </c>
      <c r="C789" s="30" t="s">
        <v>97</v>
      </c>
      <c r="D789" s="30">
        <v>45974.808958333335</v>
      </c>
      <c r="E789" s="31">
        <v>395646137.75794804</v>
      </c>
    </row>
    <row r="790" spans="2:5" x14ac:dyDescent="0.2">
      <c r="B790" s="29">
        <f t="shared" si="70"/>
        <v>788</v>
      </c>
      <c r="C790" s="30" t="s">
        <v>97</v>
      </c>
      <c r="D790" s="30">
        <v>45974.809710648151</v>
      </c>
      <c r="E790" s="31">
        <v>399881137.75794804</v>
      </c>
    </row>
    <row r="791" spans="2:5" x14ac:dyDescent="0.2">
      <c r="B791" s="29">
        <f t="shared" si="70"/>
        <v>789</v>
      </c>
      <c r="C791" s="30" t="s">
        <v>97</v>
      </c>
      <c r="D791" s="30">
        <v>45974.809872685182</v>
      </c>
      <c r="E791" s="31">
        <v>399881137.75794804</v>
      </c>
    </row>
    <row r="792" spans="2:5" x14ac:dyDescent="0.2">
      <c r="B792" s="29">
        <f t="shared" si="70"/>
        <v>790</v>
      </c>
      <c r="C792" s="30" t="s">
        <v>97</v>
      </c>
      <c r="D792" s="30">
        <v>45974.81077546296</v>
      </c>
      <c r="E792" s="31">
        <v>399881137.75794804</v>
      </c>
    </row>
    <row r="793" spans="2:5" x14ac:dyDescent="0.2">
      <c r="B793" s="29">
        <f t="shared" si="70"/>
        <v>791</v>
      </c>
      <c r="C793" s="30" t="s">
        <v>97</v>
      </c>
      <c r="D793" s="30">
        <v>45974.810868055552</v>
      </c>
      <c r="E793" s="31">
        <v>399881137.75794804</v>
      </c>
    </row>
    <row r="794" spans="2:5" x14ac:dyDescent="0.2">
      <c r="B794" s="29">
        <f t="shared" ref="B794:B800" si="71">ROW()-ROW($B$2)</f>
        <v>792</v>
      </c>
      <c r="C794" s="30" t="s">
        <v>97</v>
      </c>
      <c r="D794" s="30">
        <v>45975.497499999998</v>
      </c>
      <c r="E794" s="31">
        <v>399881137.75794804</v>
      </c>
    </row>
    <row r="795" spans="2:5" x14ac:dyDescent="0.2">
      <c r="B795" s="29">
        <f t="shared" si="71"/>
        <v>793</v>
      </c>
      <c r="C795" s="30" t="s">
        <v>97</v>
      </c>
      <c r="D795" s="30">
        <v>45975.497870370367</v>
      </c>
      <c r="E795" s="31">
        <v>399881137.75794804</v>
      </c>
    </row>
    <row r="796" spans="2:5" x14ac:dyDescent="0.2">
      <c r="B796" s="29">
        <f t="shared" si="71"/>
        <v>794</v>
      </c>
      <c r="C796" s="30" t="s">
        <v>97</v>
      </c>
      <c r="D796" s="30">
        <v>45975.619664351849</v>
      </c>
      <c r="E796" s="31">
        <v>399881137.75794804</v>
      </c>
    </row>
    <row r="797" spans="2:5" x14ac:dyDescent="0.2">
      <c r="B797" s="29">
        <f t="shared" si="71"/>
        <v>795</v>
      </c>
      <c r="C797" s="30" t="s">
        <v>97</v>
      </c>
      <c r="D797" s="30">
        <v>45975.619953703703</v>
      </c>
      <c r="E797" s="31">
        <v>399881137.75794804</v>
      </c>
    </row>
    <row r="798" spans="2:5" x14ac:dyDescent="0.2">
      <c r="B798" s="29">
        <f t="shared" si="71"/>
        <v>796</v>
      </c>
      <c r="C798" s="30" t="s">
        <v>97</v>
      </c>
      <c r="D798" s="30">
        <v>45975.620046296295</v>
      </c>
      <c r="E798" s="31">
        <v>399881137.75794804</v>
      </c>
    </row>
    <row r="799" spans="2:5" x14ac:dyDescent="0.2">
      <c r="B799" s="29">
        <f t="shared" si="71"/>
        <v>797</v>
      </c>
      <c r="C799" s="30" t="s">
        <v>97</v>
      </c>
      <c r="D799" s="30">
        <v>45975.620173611111</v>
      </c>
      <c r="E799" s="31">
        <v>399881137.75794804</v>
      </c>
    </row>
    <row r="800" spans="2:5" x14ac:dyDescent="0.2">
      <c r="B800" s="29">
        <f t="shared" si="71"/>
        <v>798</v>
      </c>
      <c r="C800" s="30" t="s">
        <v>97</v>
      </c>
      <c r="D800" s="30">
        <v>45975.620289351849</v>
      </c>
      <c r="E800" s="31">
        <v>409561137.75794804</v>
      </c>
    </row>
    <row r="801" spans="2:5" x14ac:dyDescent="0.2">
      <c r="B801" s="29">
        <f t="shared" ref="B801:B806" si="72">ROW()-ROW($B$2)</f>
        <v>799</v>
      </c>
      <c r="C801" s="30" t="s">
        <v>97</v>
      </c>
      <c r="D801" s="30">
        <v>45975.645520833335</v>
      </c>
      <c r="E801" s="31">
        <v>409561137.75794804</v>
      </c>
    </row>
    <row r="802" spans="2:5" x14ac:dyDescent="0.2">
      <c r="B802" s="29">
        <f t="shared" si="72"/>
        <v>800</v>
      </c>
      <c r="C802" s="30" t="s">
        <v>97</v>
      </c>
      <c r="D802" s="30">
        <v>45975.645624999997</v>
      </c>
      <c r="E802" s="31">
        <v>409887837.75794804</v>
      </c>
    </row>
    <row r="803" spans="2:5" x14ac:dyDescent="0.2">
      <c r="B803" s="29">
        <f t="shared" si="72"/>
        <v>801</v>
      </c>
      <c r="C803" s="30" t="s">
        <v>97</v>
      </c>
      <c r="D803" s="30">
        <v>45975.64671296296</v>
      </c>
      <c r="E803" s="31">
        <v>409887837.75794804</v>
      </c>
    </row>
    <row r="804" spans="2:5" x14ac:dyDescent="0.2">
      <c r="B804" s="29">
        <f t="shared" si="72"/>
        <v>802</v>
      </c>
      <c r="C804" s="30" t="s">
        <v>97</v>
      </c>
      <c r="D804" s="30">
        <v>45975.647222222222</v>
      </c>
      <c r="E804" s="31">
        <v>393164064.75794804</v>
      </c>
    </row>
    <row r="805" spans="2:5" x14ac:dyDescent="0.2">
      <c r="B805" s="29">
        <f t="shared" si="72"/>
        <v>803</v>
      </c>
      <c r="C805" s="30" t="s">
        <v>97</v>
      </c>
      <c r="D805" s="30">
        <v>46036.576979166668</v>
      </c>
      <c r="E805" s="31">
        <v>393164064.75794804</v>
      </c>
    </row>
    <row r="806" spans="2:5" x14ac:dyDescent="0.2">
      <c r="B806" s="29">
        <f t="shared" si="72"/>
        <v>804</v>
      </c>
      <c r="C806" s="30" t="s">
        <v>97</v>
      </c>
      <c r="D806" s="30">
        <v>46084.488969907405</v>
      </c>
      <c r="E806" s="31">
        <v>393164064.75794804</v>
      </c>
    </row>
    <row r="807" spans="2:5" x14ac:dyDescent="0.2">
      <c r="B807" s="29">
        <f t="shared" ref="B807:B826" si="73">ROW()-ROW($B$2)</f>
        <v>805</v>
      </c>
      <c r="C807" s="30" t="s">
        <v>97</v>
      </c>
      <c r="D807" s="30">
        <v>46094.500104166669</v>
      </c>
      <c r="E807" s="31">
        <v>414548292.61797601</v>
      </c>
    </row>
    <row r="808" spans="2:5" x14ac:dyDescent="0.2">
      <c r="B808" s="29">
        <f t="shared" si="73"/>
        <v>806</v>
      </c>
      <c r="C808" s="30" t="s">
        <v>242</v>
      </c>
      <c r="D808" s="30">
        <v>46266.801203703704</v>
      </c>
      <c r="E808" s="31">
        <v>414548292.61797601</v>
      </c>
    </row>
    <row r="809" spans="2:5" x14ac:dyDescent="0.2">
      <c r="B809" s="29">
        <f t="shared" si="73"/>
        <v>807</v>
      </c>
      <c r="C809" s="30" t="s">
        <v>242</v>
      </c>
      <c r="D809" s="30">
        <v>46266.801458333335</v>
      </c>
      <c r="E809" s="31">
        <v>414548292.61797601</v>
      </c>
    </row>
    <row r="810" spans="2:5" x14ac:dyDescent="0.2">
      <c r="B810" s="29">
        <f t="shared" si="73"/>
        <v>808</v>
      </c>
      <c r="C810" s="30" t="s">
        <v>242</v>
      </c>
      <c r="D810" s="30">
        <v>46266.801782407405</v>
      </c>
      <c r="E810" s="31">
        <v>414548292.61797601</v>
      </c>
    </row>
    <row r="811" spans="2:5" x14ac:dyDescent="0.2">
      <c r="B811" s="29">
        <f t="shared" si="73"/>
        <v>809</v>
      </c>
      <c r="C811" s="30" t="s">
        <v>242</v>
      </c>
      <c r="D811" s="30">
        <v>46266.801979166667</v>
      </c>
      <c r="E811" s="31">
        <v>394374137.35794806</v>
      </c>
    </row>
    <row r="812" spans="2:5" x14ac:dyDescent="0.2">
      <c r="B812" s="29">
        <f t="shared" si="73"/>
        <v>810</v>
      </c>
      <c r="C812" s="30" t="s">
        <v>242</v>
      </c>
      <c r="D812" s="30">
        <v>46266.814166666663</v>
      </c>
      <c r="E812" s="31">
        <v>410028660.33005804</v>
      </c>
    </row>
    <row r="813" spans="2:5" x14ac:dyDescent="0.2">
      <c r="B813" s="29">
        <f t="shared" si="73"/>
        <v>811</v>
      </c>
      <c r="C813" s="30" t="s">
        <v>242</v>
      </c>
      <c r="D813" s="30">
        <v>46266.81863425926</v>
      </c>
      <c r="E813" s="31">
        <v>410028660.33005804</v>
      </c>
    </row>
    <row r="814" spans="2:5" x14ac:dyDescent="0.2">
      <c r="B814" s="29">
        <f t="shared" si="73"/>
        <v>812</v>
      </c>
      <c r="C814" s="30" t="s">
        <v>242</v>
      </c>
      <c r="D814" s="30">
        <v>46266.819074074076</v>
      </c>
      <c r="E814" s="31">
        <v>418198424.67015254</v>
      </c>
    </row>
    <row r="815" spans="2:5" x14ac:dyDescent="0.2">
      <c r="B815" s="29">
        <f t="shared" si="73"/>
        <v>813</v>
      </c>
      <c r="C815" s="30" t="s">
        <v>242</v>
      </c>
      <c r="D815" s="30">
        <v>46266.822708333333</v>
      </c>
      <c r="E815" s="31">
        <v>418198424.67015254</v>
      </c>
    </row>
    <row r="816" spans="2:5" x14ac:dyDescent="0.2">
      <c r="B816" s="29">
        <f t="shared" si="73"/>
        <v>814</v>
      </c>
      <c r="C816" s="30" t="s">
        <v>242</v>
      </c>
      <c r="D816" s="30">
        <v>46266.823541666665</v>
      </c>
      <c r="E816" s="31">
        <v>419831543.565346</v>
      </c>
    </row>
    <row r="817" spans="2:5" x14ac:dyDescent="0.2">
      <c r="B817" s="29">
        <f t="shared" si="73"/>
        <v>815</v>
      </c>
      <c r="C817" s="30" t="s">
        <v>242</v>
      </c>
      <c r="D817" s="30">
        <v>46266.823622685188</v>
      </c>
      <c r="E817" s="31">
        <v>419831543.565346</v>
      </c>
    </row>
    <row r="818" spans="2:5" x14ac:dyDescent="0.2">
      <c r="B818" s="29">
        <f t="shared" si="73"/>
        <v>816</v>
      </c>
      <c r="C818" s="30" t="s">
        <v>242</v>
      </c>
      <c r="D818" s="30">
        <v>46266.824143518519</v>
      </c>
      <c r="E818" s="31">
        <v>419831543.565346</v>
      </c>
    </row>
    <row r="819" spans="2:5" x14ac:dyDescent="0.2">
      <c r="B819" s="29">
        <f t="shared" si="73"/>
        <v>817</v>
      </c>
      <c r="C819" s="30" t="s">
        <v>242</v>
      </c>
      <c r="D819" s="30">
        <v>46266.825092592589</v>
      </c>
      <c r="E819" s="31">
        <v>325076455.66534603</v>
      </c>
    </row>
    <row r="820" spans="2:5" x14ac:dyDescent="0.2">
      <c r="B820" s="29">
        <f t="shared" si="73"/>
        <v>818</v>
      </c>
      <c r="C820" s="30" t="s">
        <v>242</v>
      </c>
      <c r="D820" s="30">
        <v>46266.826620370368</v>
      </c>
      <c r="E820" s="31">
        <v>325076455.66534603</v>
      </c>
    </row>
    <row r="821" spans="2:5" x14ac:dyDescent="0.2">
      <c r="B821" s="29">
        <f t="shared" si="73"/>
        <v>819</v>
      </c>
      <c r="C821" s="30" t="s">
        <v>242</v>
      </c>
      <c r="D821" s="30">
        <v>46266.82712962963</v>
      </c>
      <c r="E821" s="31">
        <v>325076455.66534603</v>
      </c>
    </row>
    <row r="822" spans="2:5" x14ac:dyDescent="0.2">
      <c r="B822" s="29">
        <f t="shared" si="73"/>
        <v>820</v>
      </c>
      <c r="C822" s="30" t="s">
        <v>242</v>
      </c>
      <c r="D822" s="30">
        <v>46266.828321759262</v>
      </c>
      <c r="E822" s="31">
        <v>307315831.24534601</v>
      </c>
    </row>
    <row r="823" spans="2:5" x14ac:dyDescent="0.2">
      <c r="B823" s="29">
        <f t="shared" si="73"/>
        <v>821</v>
      </c>
      <c r="C823" s="30" t="s">
        <v>242</v>
      </c>
      <c r="D823" s="30">
        <v>46266.830358796295</v>
      </c>
      <c r="E823" s="31">
        <v>307315831.24534601</v>
      </c>
    </row>
    <row r="824" spans="2:5" x14ac:dyDescent="0.2">
      <c r="B824" s="29">
        <f t="shared" si="73"/>
        <v>822</v>
      </c>
      <c r="C824" s="30" t="s">
        <v>242</v>
      </c>
      <c r="D824" s="30">
        <v>46266.830682870372</v>
      </c>
      <c r="E824" s="31">
        <v>307315831.24534601</v>
      </c>
    </row>
    <row r="825" spans="2:5" x14ac:dyDescent="0.2">
      <c r="B825" s="29">
        <f t="shared" si="73"/>
        <v>823</v>
      </c>
      <c r="C825" s="30" t="s">
        <v>242</v>
      </c>
      <c r="D825" s="30">
        <v>46266.830752314818</v>
      </c>
      <c r="E825" s="31">
        <v>307315831.24534601</v>
      </c>
    </row>
    <row r="826" spans="2:5" x14ac:dyDescent="0.2">
      <c r="B826" s="29">
        <f t="shared" si="73"/>
        <v>824</v>
      </c>
      <c r="C826" s="30" t="s">
        <v>242</v>
      </c>
      <c r="D826" s="30">
        <v>46266.831689814811</v>
      </c>
      <c r="E826" s="31">
        <v>307315831.24534601</v>
      </c>
    </row>
    <row r="827" spans="2:5" x14ac:dyDescent="0.2">
      <c r="B827" s="29">
        <f t="shared" ref="B827:B833" si="74">ROW()-ROW($B$2)</f>
        <v>825</v>
      </c>
      <c r="C827" s="30" t="s">
        <v>242</v>
      </c>
      <c r="D827" s="30">
        <v>46267.414629629631</v>
      </c>
      <c r="E827" s="31">
        <v>307315831.24534601</v>
      </c>
    </row>
    <row r="828" spans="2:5" x14ac:dyDescent="0.2">
      <c r="B828" s="29">
        <f t="shared" si="74"/>
        <v>826</v>
      </c>
      <c r="C828" s="30" t="s">
        <v>242</v>
      </c>
      <c r="D828" s="30">
        <v>46267.415196759262</v>
      </c>
      <c r="E828" s="31">
        <v>307315831.24534601</v>
      </c>
    </row>
    <row r="829" spans="2:5" x14ac:dyDescent="0.2">
      <c r="B829" s="29">
        <f t="shared" si="74"/>
        <v>827</v>
      </c>
      <c r="C829" s="30" t="s">
        <v>242</v>
      </c>
      <c r="D829" s="30">
        <v>46267.424710648149</v>
      </c>
      <c r="E829" s="31">
        <v>307315831.24534601</v>
      </c>
    </row>
    <row r="830" spans="2:5" x14ac:dyDescent="0.2">
      <c r="B830" s="29">
        <f t="shared" si="74"/>
        <v>828</v>
      </c>
      <c r="C830" s="30" t="s">
        <v>242</v>
      </c>
      <c r="D830" s="30">
        <v>46267.428495370368</v>
      </c>
      <c r="E830" s="31">
        <v>307315831.24534601</v>
      </c>
    </row>
    <row r="831" spans="2:5" x14ac:dyDescent="0.2">
      <c r="B831" s="29">
        <f t="shared" si="74"/>
        <v>829</v>
      </c>
      <c r="C831" s="30" t="s">
        <v>242</v>
      </c>
      <c r="D831" s="30">
        <v>46267.428819444445</v>
      </c>
      <c r="E831" s="31">
        <v>307315831.24534601</v>
      </c>
    </row>
    <row r="832" spans="2:5" x14ac:dyDescent="0.2">
      <c r="B832" s="29">
        <f t="shared" si="74"/>
        <v>830</v>
      </c>
      <c r="C832" s="30" t="s">
        <v>242</v>
      </c>
      <c r="D832" s="30">
        <v>46267.429085648146</v>
      </c>
      <c r="E832" s="31">
        <v>307315831.24534601</v>
      </c>
    </row>
    <row r="833" spans="2:5" x14ac:dyDescent="0.2">
      <c r="B833" s="29">
        <f t="shared" si="74"/>
        <v>831</v>
      </c>
      <c r="C833" s="30" t="s">
        <v>242</v>
      </c>
      <c r="D833" s="30">
        <v>46267.430231481485</v>
      </c>
      <c r="E833" s="31">
        <v>307315831.24534601</v>
      </c>
    </row>
    <row r="834" spans="2:5" x14ac:dyDescent="0.2">
      <c r="B834" s="29">
        <f t="shared" ref="B834:B839" si="75">ROW()-ROW($B$2)</f>
        <v>832</v>
      </c>
      <c r="C834" s="30" t="s">
        <v>242</v>
      </c>
      <c r="D834" s="30">
        <v>46267.457777777781</v>
      </c>
      <c r="E834" s="31">
        <v>307315831.24534601</v>
      </c>
    </row>
    <row r="835" spans="2:5" x14ac:dyDescent="0.2">
      <c r="B835" s="29">
        <f t="shared" si="75"/>
        <v>833</v>
      </c>
      <c r="C835" s="30" t="s">
        <v>242</v>
      </c>
      <c r="D835" s="30">
        <v>46267.458819444444</v>
      </c>
      <c r="E835" s="31">
        <v>296105756.67101002</v>
      </c>
    </row>
    <row r="836" spans="2:5" x14ac:dyDescent="0.2">
      <c r="B836" s="29">
        <f t="shared" si="75"/>
        <v>834</v>
      </c>
      <c r="C836" s="30" t="s">
        <v>242</v>
      </c>
      <c r="D836" s="30">
        <v>46267.459988425922</v>
      </c>
      <c r="E836" s="31">
        <v>296105756.67101002</v>
      </c>
    </row>
    <row r="837" spans="2:5" x14ac:dyDescent="0.2">
      <c r="B837" s="29">
        <f t="shared" si="75"/>
        <v>835</v>
      </c>
      <c r="C837" s="30" t="s">
        <v>242</v>
      </c>
      <c r="D837" s="30">
        <v>46267.460740740738</v>
      </c>
      <c r="E837" s="31">
        <v>296105756.67101002</v>
      </c>
    </row>
    <row r="838" spans="2:5" x14ac:dyDescent="0.2">
      <c r="B838" s="29">
        <f t="shared" si="75"/>
        <v>836</v>
      </c>
      <c r="C838" s="30" t="s">
        <v>242</v>
      </c>
      <c r="D838" s="30">
        <v>46267.460810185185</v>
      </c>
      <c r="E838" s="31">
        <v>296105756.67101002</v>
      </c>
    </row>
    <row r="839" spans="2:5" x14ac:dyDescent="0.2">
      <c r="B839" s="29">
        <f t="shared" si="75"/>
        <v>837</v>
      </c>
      <c r="C839" s="30" t="s">
        <v>242</v>
      </c>
      <c r="D839" s="30">
        <v>46267.46769675926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66</vt:i4>
      </vt:variant>
    </vt:vector>
  </HeadingPairs>
  <TitlesOfParts>
    <vt:vector size="69" baseType="lpstr">
      <vt:lpstr>Расчет</vt:lpstr>
      <vt:lpstr>Приложение1</vt:lpstr>
      <vt:lpstr>История</vt:lpstr>
      <vt:lpstr>c_base</vt:lpstr>
      <vt:lpstr>c_N</vt:lpstr>
      <vt:lpstr>c_name</vt:lpstr>
      <vt:lpstr>c_price</vt:lpstr>
      <vt:lpstr>c_price_main</vt:lpstr>
      <vt:lpstr>eur</vt:lpstr>
      <vt:lpstr>kz</vt:lpstr>
      <vt:lpstr>LINK</vt:lpstr>
      <vt:lpstr>LINK_pxi</vt:lpstr>
      <vt:lpstr>LINK_rxi</vt:lpstr>
      <vt:lpstr>md</vt:lpstr>
      <vt:lpstr>metka1</vt:lpstr>
      <vt:lpstr>metka3</vt:lpstr>
      <vt:lpstr>metka4</vt:lpstr>
      <vt:lpstr>metka5</vt:lpstr>
      <vt:lpstr>Ndi</vt:lpstr>
      <vt:lpstr>Nf</vt:lpstr>
      <vt:lpstr>Niepe</vt:lpstr>
      <vt:lpstr>Nдеф</vt:lpstr>
      <vt:lpstr>Nпос</vt:lpstr>
      <vt:lpstr>Nтенз</vt:lpstr>
      <vt:lpstr>Nтп</vt:lpstr>
      <vt:lpstr>Nтс</vt:lpstr>
      <vt:lpstr>Приложение1!Print_Area</vt:lpstr>
      <vt:lpstr>Расчет!Print_Area</vt:lpstr>
      <vt:lpstr>stolb1</vt:lpstr>
      <vt:lpstr>stolb2</vt:lpstr>
      <vt:lpstr>stolb3</vt:lpstr>
      <vt:lpstr>stolb4</vt:lpstr>
      <vt:lpstr>stolb5</vt:lpstr>
      <vt:lpstr>usd</vt:lpstr>
      <vt:lpstr>БанковскаяГарантия</vt:lpstr>
      <vt:lpstr>БГ</vt:lpstr>
      <vt:lpstr>ВедениеПроекта</vt:lpstr>
      <vt:lpstr>ВедениеПроектаСкрытое</vt:lpstr>
      <vt:lpstr>ВоеннаяПриемка</vt:lpstr>
      <vt:lpstr>ВТК</vt:lpstr>
      <vt:lpstr>Дополнительно</vt:lpstr>
      <vt:lpstr>Доставка</vt:lpstr>
      <vt:lpstr>дубль</vt:lpstr>
      <vt:lpstr>Итог_система</vt:lpstr>
      <vt:lpstr>Итого</vt:lpstr>
      <vt:lpstr>Итого_первый</vt:lpstr>
      <vt:lpstr>КД_КО</vt:lpstr>
      <vt:lpstr>КД_Кросс</vt:lpstr>
      <vt:lpstr>ком.расх</vt:lpstr>
      <vt:lpstr>Метрология</vt:lpstr>
      <vt:lpstr>Монтаж</vt:lpstr>
      <vt:lpstr>Приложение1!Область_печати</vt:lpstr>
      <vt:lpstr>Оплата</vt:lpstr>
      <vt:lpstr>ОплатаИсх</vt:lpstr>
      <vt:lpstr>ПНР</vt:lpstr>
      <vt:lpstr>ПолнаяЦена</vt:lpstr>
      <vt:lpstr>пример</vt:lpstr>
      <vt:lpstr>ПСИ_АИ</vt:lpstr>
      <vt:lpstr>РазработкаПО</vt:lpstr>
      <vt:lpstr>РазработкаЭД</vt:lpstr>
      <vt:lpstr>Резерв</vt:lpstr>
      <vt:lpstr>Скрытое</vt:lpstr>
      <vt:lpstr>СкрытыйРезерв</vt:lpstr>
      <vt:lpstr>Цена_без_БГ</vt:lpstr>
      <vt:lpstr>ЧелМесИнженер</vt:lpstr>
      <vt:lpstr>ЧелМесОстальные</vt:lpstr>
      <vt:lpstr>чл_мес</vt:lpstr>
      <vt:lpstr>Этапы</vt:lpstr>
      <vt:lpstr>ЭтапыИсх</vt:lpstr>
    </vt:vector>
  </TitlesOfParts>
  <Company>mera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УКБТМ</dc:title>
  <dc:subject>MIC-200 field</dc:subject>
  <dc:creator>Седов Денис</dc:creator>
  <cp:lastModifiedBy>User</cp:lastModifiedBy>
  <cp:lastPrinted>2025-06-02T08:14:55Z</cp:lastPrinted>
  <dcterms:created xsi:type="dcterms:W3CDTF">2005-07-14T17:09:50Z</dcterms:created>
  <dcterms:modified xsi:type="dcterms:W3CDTF">2026-09-02T08:18:50Z</dcterms:modified>
</cp:coreProperties>
</file>