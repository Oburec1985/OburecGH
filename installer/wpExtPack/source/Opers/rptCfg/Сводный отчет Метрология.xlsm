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\\fserv\e\CLIENTS\Info\p1977_НПО_Автоматики_КСТ-1,Ц_Лазарев\Soft\signals\ПОВЕРКА\ПОВЕРКА\"/>
    </mc:Choice>
  </mc:AlternateContent>
  <bookViews>
    <workbookView xWindow="120" yWindow="75" windowWidth="19320" windowHeight="12165" activeTab="2"/>
  </bookViews>
  <sheets>
    <sheet name="Данные отчета" sheetId="2" r:id="rId1"/>
    <sheet name="Линейность" sheetId="3" r:id="rId2"/>
    <sheet name="Погрешность" sheetId="4" r:id="rId3"/>
    <sheet name="АЧХ" sheetId="5" r:id="rId4"/>
    <sheet name="АХ" sheetId="6" r:id="rId5"/>
  </sheets>
  <functionGroups builtInGroupCount="18"/>
  <definedNames>
    <definedName name="_FilterDatabase" localSheetId="2" hidden="1">Погрешность!$A$14:$Q$19</definedName>
    <definedName name="BaseRow_АЧХ">АЧХ!$B$5</definedName>
    <definedName name="Col_interval">Линейность!$B$8</definedName>
    <definedName name="Col_АХ">АХ!$B$5</definedName>
    <definedName name="ColInterval_2">Погрешность!$B$6</definedName>
    <definedName name="ColMax">Погрешность!$D$5</definedName>
    <definedName name="ColMin">Погрешность!$B$5</definedName>
    <definedName name="ColMin_АЧХ">АЧХ!$D$5</definedName>
    <definedName name="interval_АХ">АХ!$B$6</definedName>
    <definedName name="Interval_АЧХ">АЧХ!$B$6</definedName>
    <definedName name="Noise_ColM">Погрешность!$D$7</definedName>
    <definedName name="Noise_RepType">Погрешность!$B$7</definedName>
    <definedName name="range">Линейность!$B$2</definedName>
    <definedName name="range_2">Погрешность!$B$2</definedName>
    <definedName name="Range_АХ">АХ!$B$2</definedName>
    <definedName name="X1Link">Линейность!$C$14</definedName>
    <definedName name="X2Link">Линейность!$C$15</definedName>
    <definedName name="Y0_АХ">АХ!$B$3</definedName>
    <definedName name="Y0_АЧХ">АЧХ!$B$3</definedName>
    <definedName name="Ybase_АЧХ">АЧХ!$A$8</definedName>
    <definedName name="YbaseLink_АЧХ">АЧХ!$A$7</definedName>
    <definedName name="Ст_интервал">Линейность!$B$8</definedName>
    <definedName name="Строка0">Линейность!$B$6</definedName>
    <definedName name="Строка0_2">Погрешность!$B$4</definedName>
    <definedName name="Строка0_АХ">АХ!$B$4</definedName>
    <definedName name="Строка0_АЧХ">АЧХ!$B$4</definedName>
    <definedName name="Строка1">Линейность!$B$3</definedName>
    <definedName name="Строка2">Линейность!$B$4</definedName>
    <definedName name="СтрокаY0">Линейность!$B$5</definedName>
    <definedName name="СтрокаY0_2">Погрешность!$B$3</definedName>
  </definedNames>
  <calcPr calcId="152511"/>
</workbook>
</file>

<file path=xl/calcChain.xml><?xml version="1.0" encoding="utf-8"?>
<calcChain xmlns="http://schemas.openxmlformats.org/spreadsheetml/2006/main">
  <c r="D11" i="2" l="1"/>
  <c r="C11" i="2"/>
  <c r="D9" i="2"/>
  <c r="C9" i="2"/>
  <c r="C8" i="4" l="1"/>
  <c r="K8" i="4"/>
  <c r="D9" i="4"/>
  <c r="L9" i="4"/>
  <c r="E10" i="4"/>
  <c r="M10" i="4"/>
  <c r="D8" i="4"/>
  <c r="L8" i="4"/>
  <c r="E9" i="4"/>
  <c r="M9" i="4"/>
  <c r="F10" i="4"/>
  <c r="N10" i="4"/>
  <c r="Q8" i="4"/>
  <c r="K10" i="4"/>
  <c r="K9" i="4"/>
  <c r="E8" i="4"/>
  <c r="M8" i="4"/>
  <c r="F9" i="4"/>
  <c r="N9" i="4"/>
  <c r="G10" i="4"/>
  <c r="O10" i="4"/>
  <c r="O8" i="4"/>
  <c r="H9" i="4"/>
  <c r="I10" i="4"/>
  <c r="H8" i="4"/>
  <c r="I9" i="4"/>
  <c r="J10" i="4"/>
  <c r="J9" i="4"/>
  <c r="J8" i="4"/>
  <c r="D10" i="4"/>
  <c r="F8" i="4"/>
  <c r="N8" i="4"/>
  <c r="G9" i="4"/>
  <c r="O9" i="4"/>
  <c r="H10" i="4"/>
  <c r="P10" i="4"/>
  <c r="G8" i="4"/>
  <c r="P9" i="4"/>
  <c r="Q10" i="4"/>
  <c r="P8" i="4"/>
  <c r="Q9" i="4"/>
  <c r="I8" i="4"/>
  <c r="C10" i="4"/>
  <c r="C9" i="4"/>
  <c r="L10" i="4"/>
  <c r="B10" i="4"/>
  <c r="B9" i="4"/>
  <c r="B8" i="4"/>
  <c r="C15" i="4"/>
  <c r="H17" i="4"/>
  <c r="K15" i="4"/>
  <c r="C17" i="4"/>
  <c r="K17" i="4"/>
  <c r="F15" i="4"/>
  <c r="F16" i="4"/>
  <c r="D17" i="4"/>
  <c r="G16" i="4"/>
  <c r="O16" i="4"/>
  <c r="B17" i="4"/>
  <c r="Q16" i="4"/>
  <c r="O15" i="4"/>
  <c r="K16" i="4"/>
  <c r="N16" i="4"/>
  <c r="M17" i="4"/>
  <c r="E16" i="4"/>
  <c r="L16" i="4"/>
  <c r="M16" i="4"/>
  <c r="N17" i="4"/>
  <c r="G15" i="4"/>
  <c r="Q17" i="4"/>
  <c r="M15" i="4"/>
  <c r="G17" i="4"/>
  <c r="J16" i="4"/>
  <c r="B16" i="4"/>
  <c r="E17" i="4"/>
  <c r="Q15" i="4"/>
  <c r="E15" i="4"/>
  <c r="O17" i="4"/>
  <c r="I15" i="4"/>
  <c r="D15" i="4"/>
  <c r="D16" i="4"/>
  <c r="L17" i="4"/>
  <c r="B15" i="4"/>
  <c r="H16" i="4"/>
  <c r="H15" i="4"/>
  <c r="P17" i="4"/>
  <c r="I16" i="4"/>
  <c r="C16" i="4"/>
  <c r="P16" i="4"/>
  <c r="L15" i="4"/>
  <c r="J15" i="4"/>
  <c r="I17" i="4"/>
  <c r="F17" i="4"/>
  <c r="N15" i="4"/>
  <c r="J17" i="4"/>
  <c r="P15" i="4"/>
  <c r="B18" i="4" l="1"/>
  <c r="B2" i="3"/>
  <c r="B7" i="5"/>
  <c r="H7" i="6"/>
  <c r="B7" i="6"/>
  <c r="J7" i="6"/>
  <c r="M7" i="6"/>
  <c r="P7" i="6"/>
  <c r="C15" i="3"/>
  <c r="K7" i="6"/>
  <c r="Q7" i="6"/>
  <c r="I7" i="6"/>
  <c r="D7" i="6"/>
  <c r="C14" i="3"/>
  <c r="L7" i="6"/>
  <c r="F7" i="6"/>
  <c r="E7" i="6"/>
  <c r="N7" i="6"/>
  <c r="C7" i="6"/>
  <c r="O7" i="6"/>
  <c r="G7" i="6"/>
  <c r="Q9" i="3"/>
  <c r="F9" i="3"/>
  <c r="D10" i="3"/>
  <c r="P10" i="3"/>
  <c r="O11" i="3"/>
  <c r="D7" i="5"/>
  <c r="E7" i="5"/>
  <c r="G11" i="3"/>
  <c r="N11" i="3"/>
  <c r="P9" i="3"/>
  <c r="H10" i="3"/>
  <c r="B10" i="3"/>
  <c r="J11" i="3"/>
  <c r="F7" i="5"/>
  <c r="C7" i="5"/>
  <c r="K7" i="5"/>
  <c r="J7" i="5"/>
  <c r="M11" i="3"/>
  <c r="F10" i="3"/>
  <c r="L7" i="5"/>
  <c r="E11" i="3"/>
  <c r="C11" i="3"/>
  <c r="J9" i="3"/>
  <c r="I7" i="5"/>
  <c r="H11" i="3"/>
  <c r="G9" i="3"/>
  <c r="H9" i="3"/>
  <c r="I10" i="3"/>
  <c r="G7" i="5"/>
  <c r="C9" i="3"/>
  <c r="K9" i="3"/>
  <c r="B9" i="3"/>
  <c r="L9" i="3"/>
  <c r="D11" i="3"/>
  <c r="Q11" i="3"/>
  <c r="P11" i="3"/>
  <c r="O10" i="3"/>
  <c r="M10" i="3"/>
  <c r="H7" i="5"/>
  <c r="M7" i="5"/>
  <c r="B11" i="3"/>
  <c r="C10" i="3"/>
  <c r="I9" i="3"/>
  <c r="N10" i="3"/>
  <c r="N9" i="3"/>
  <c r="M9" i="3"/>
  <c r="Q10" i="3"/>
  <c r="G10" i="3"/>
  <c r="O7" i="5"/>
  <c r="P7" i="5"/>
  <c r="Q7" i="5"/>
  <c r="K11" i="3"/>
  <c r="O9" i="3"/>
  <c r="J10" i="3"/>
  <c r="F11" i="3"/>
  <c r="D9" i="3"/>
  <c r="K10" i="3"/>
  <c r="L11" i="3"/>
  <c r="L10" i="3"/>
  <c r="I11" i="3"/>
  <c r="E9" i="3"/>
  <c r="E10" i="3"/>
  <c r="N7" i="5"/>
  <c r="B23" i="6"/>
  <c r="B21" i="6"/>
  <c r="B19" i="6"/>
  <c r="B18" i="6"/>
  <c r="B14" i="6"/>
  <c r="B17" i="6"/>
  <c r="B25" i="6"/>
  <c r="B13" i="6"/>
  <c r="B22" i="6"/>
  <c r="B15" i="6"/>
  <c r="B24" i="6"/>
  <c r="B12" i="6"/>
  <c r="B16" i="6"/>
  <c r="B10" i="6"/>
  <c r="B26" i="6"/>
  <c r="B11" i="6"/>
  <c r="B20" i="6"/>
  <c r="B27" i="6"/>
  <c r="J18" i="4" l="1"/>
  <c r="I18" i="4"/>
  <c r="L18" i="4"/>
  <c r="K18" i="4"/>
  <c r="C18" i="4"/>
  <c r="Q18" i="4"/>
  <c r="P18" i="4"/>
  <c r="H18" i="4"/>
  <c r="O18" i="4"/>
  <c r="G18" i="4"/>
  <c r="F18" i="4"/>
  <c r="N18" i="4"/>
  <c r="M18" i="4"/>
  <c r="E18" i="4"/>
  <c r="D18" i="4"/>
  <c r="B28" i="6"/>
  <c r="M11" i="4"/>
  <c r="Q12" i="4"/>
  <c r="P12" i="4"/>
  <c r="D11" i="4"/>
  <c r="P13" i="4"/>
  <c r="C11" i="4"/>
  <c r="N11" i="4"/>
  <c r="C8" i="5"/>
  <c r="M13" i="3"/>
  <c r="P13" i="3"/>
  <c r="D13" i="4"/>
  <c r="B15" i="3"/>
  <c r="K11" i="4"/>
  <c r="M13" i="4"/>
  <c r="J12" i="4"/>
  <c r="C12" i="3"/>
  <c r="C26" i="6"/>
  <c r="F8" i="6"/>
  <c r="C8" i="6"/>
  <c r="B13" i="4"/>
  <c r="J13" i="4"/>
  <c r="B13" i="3"/>
  <c r="F11" i="4"/>
  <c r="K8" i="6"/>
  <c r="M12" i="3"/>
  <c r="E8" i="5"/>
  <c r="E11" i="4"/>
  <c r="O13" i="3"/>
  <c r="J13" i="3"/>
  <c r="G8" i="5"/>
  <c r="H12" i="3"/>
  <c r="B11" i="4"/>
  <c r="B8" i="5"/>
  <c r="E13" i="3"/>
  <c r="D8" i="6"/>
  <c r="K12" i="3"/>
  <c r="C10" i="6"/>
  <c r="I13" i="3"/>
  <c r="C19" i="6"/>
  <c r="O11" i="4"/>
  <c r="K13" i="4"/>
  <c r="G11" i="4"/>
  <c r="O12" i="4"/>
  <c r="L11" i="4"/>
  <c r="K12" i="4"/>
  <c r="I12" i="4"/>
  <c r="J11" i="4"/>
  <c r="P8" i="6"/>
  <c r="E12" i="4"/>
  <c r="O8" i="6"/>
  <c r="F12" i="4"/>
  <c r="P11" i="4"/>
  <c r="Q12" i="3"/>
  <c r="L8" i="6"/>
  <c r="F8" i="5"/>
  <c r="D13" i="3"/>
  <c r="P12" i="3"/>
  <c r="I13" i="4"/>
  <c r="F13" i="4"/>
  <c r="J12" i="3"/>
  <c r="C17" i="6"/>
  <c r="C24" i="6"/>
  <c r="M12" i="4"/>
  <c r="C21" i="6"/>
  <c r="H12" i="4"/>
  <c r="M8" i="5"/>
  <c r="K8" i="5"/>
  <c r="N8" i="5"/>
  <c r="L12" i="3"/>
  <c r="P8" i="5"/>
  <c r="C13" i="6"/>
  <c r="C12" i="4"/>
  <c r="Q8" i="5"/>
  <c r="J8" i="6"/>
  <c r="I8" i="6"/>
  <c r="G12" i="3"/>
  <c r="C12" i="6"/>
  <c r="I11" i="4"/>
  <c r="O8" i="5"/>
  <c r="C27" i="6"/>
  <c r="C11" i="6"/>
  <c r="F13" i="3"/>
  <c r="L13" i="3"/>
  <c r="C13" i="3"/>
  <c r="N12" i="4"/>
  <c r="C20" i="6"/>
  <c r="Q13" i="4"/>
  <c r="N13" i="3"/>
  <c r="B12" i="3"/>
  <c r="B8" i="6"/>
  <c r="H13" i="3"/>
  <c r="C18" i="6"/>
  <c r="I12" i="3"/>
  <c r="G8" i="6"/>
  <c r="D12" i="3"/>
  <c r="Q8" i="6"/>
  <c r="D8" i="5"/>
  <c r="L12" i="4"/>
  <c r="C14" i="6"/>
  <c r="N13" i="4"/>
  <c r="B12" i="4"/>
  <c r="F12" i="3"/>
  <c r="E12" i="3"/>
  <c r="L13" i="4"/>
  <c r="L8" i="5"/>
  <c r="D12" i="4"/>
  <c r="J8" i="5"/>
  <c r="H8" i="6"/>
  <c r="E8" i="6"/>
  <c r="N12" i="3"/>
  <c r="Q11" i="4"/>
  <c r="G12" i="4"/>
  <c r="C16" i="6"/>
  <c r="I8" i="5"/>
  <c r="M8" i="6"/>
  <c r="C22" i="6"/>
  <c r="O12" i="3"/>
  <c r="C25" i="6"/>
  <c r="C15" i="6"/>
  <c r="N8" i="6"/>
  <c r="C23" i="6"/>
  <c r="G13" i="3"/>
  <c r="B14" i="3"/>
  <c r="E13" i="4"/>
  <c r="O13" i="4"/>
  <c r="C13" i="4"/>
  <c r="K13" i="3"/>
  <c r="H8" i="5"/>
  <c r="H13" i="4"/>
  <c r="G13" i="4"/>
  <c r="Q13" i="3"/>
  <c r="H11" i="4"/>
  <c r="B19" i="4" l="1"/>
  <c r="B20" i="4" s="1"/>
  <c r="C28" i="6"/>
  <c r="P16" i="3"/>
  <c r="M16" i="3"/>
  <c r="N16" i="3"/>
  <c r="K16" i="3"/>
  <c r="F16" i="3"/>
  <c r="B17" i="3"/>
  <c r="J16" i="3"/>
  <c r="H16" i="3"/>
  <c r="Q16" i="3"/>
  <c r="L16" i="3"/>
  <c r="O16" i="3"/>
  <c r="I16" i="3"/>
  <c r="B16" i="3"/>
  <c r="D16" i="3"/>
  <c r="G16" i="3"/>
  <c r="C16" i="3"/>
  <c r="E16" i="3"/>
  <c r="D19" i="4" l="1"/>
  <c r="D20" i="4" s="1"/>
  <c r="C18" i="3"/>
  <c r="L18" i="3"/>
  <c r="D18" i="3"/>
  <c r="G18" i="3"/>
  <c r="E18" i="3"/>
  <c r="I18" i="3"/>
  <c r="H18" i="3"/>
  <c r="O18" i="3"/>
  <c r="J18" i="3"/>
  <c r="B18" i="3"/>
  <c r="Q18" i="3"/>
  <c r="K18" i="3"/>
  <c r="N18" i="3"/>
  <c r="P18" i="3"/>
  <c r="M18" i="3"/>
  <c r="F18" i="3"/>
  <c r="P28" i="5"/>
  <c r="M21" i="5"/>
  <c r="H16" i="5"/>
  <c r="E24" i="5"/>
  <c r="C17" i="5"/>
  <c r="M12" i="5"/>
  <c r="P23" i="5"/>
  <c r="P26" i="5"/>
  <c r="E17" i="5"/>
  <c r="D14" i="5"/>
  <c r="G25" i="5"/>
  <c r="C14" i="5"/>
  <c r="I25" i="5"/>
  <c r="H14" i="5"/>
  <c r="E12" i="5"/>
  <c r="D10" i="6"/>
  <c r="O11" i="5"/>
  <c r="K14" i="5"/>
  <c r="H22" i="5"/>
  <c r="N25" i="5"/>
  <c r="F19" i="5"/>
  <c r="Q22" i="5"/>
  <c r="Q28" i="5"/>
  <c r="K28" i="5"/>
  <c r="D14" i="6"/>
  <c r="I15" i="5"/>
  <c r="I21" i="5"/>
  <c r="O27" i="5"/>
  <c r="P12" i="5"/>
  <c r="D13" i="6"/>
  <c r="L17" i="5"/>
  <c r="G26" i="5"/>
  <c r="P22" i="5"/>
  <c r="E16" i="5"/>
  <c r="H11" i="5"/>
  <c r="Q11" i="5"/>
  <c r="M20" i="5"/>
  <c r="M22" i="5"/>
  <c r="D11" i="5"/>
  <c r="H17" i="5"/>
  <c r="E25" i="5"/>
  <c r="N17" i="5"/>
  <c r="M28" i="5"/>
  <c r="Q15" i="5"/>
  <c r="B17" i="5"/>
  <c r="N23" i="5"/>
  <c r="I27" i="5"/>
  <c r="I20" i="5"/>
  <c r="F28" i="5"/>
  <c r="D20" i="6"/>
  <c r="L12" i="5"/>
  <c r="O15" i="5"/>
  <c r="Q23" i="5"/>
  <c r="G17" i="5"/>
  <c r="E26" i="5"/>
  <c r="J14" i="5"/>
  <c r="C19" i="5"/>
  <c r="D22" i="5"/>
  <c r="L13" i="5"/>
  <c r="F15" i="5"/>
  <c r="L24" i="5"/>
  <c r="K22" i="5"/>
  <c r="G14" i="5"/>
  <c r="O21" i="5"/>
  <c r="L15" i="5"/>
  <c r="K19" i="5"/>
  <c r="Q12" i="5"/>
  <c r="N27" i="5"/>
  <c r="D23" i="6"/>
  <c r="G12" i="5"/>
  <c r="K24" i="5"/>
  <c r="N13" i="5"/>
  <c r="D15" i="5"/>
  <c r="C20" i="5"/>
  <c r="I11" i="5"/>
  <c r="C21" i="5"/>
  <c r="M18" i="5"/>
  <c r="I17" i="5"/>
  <c r="B25" i="5"/>
  <c r="G24" i="5"/>
  <c r="H25" i="5"/>
  <c r="B27" i="5"/>
  <c r="D15" i="6"/>
  <c r="H28" i="5"/>
  <c r="L20" i="5"/>
  <c r="M14" i="5"/>
  <c r="C13" i="5"/>
  <c r="F14" i="5"/>
  <c r="P14" i="5"/>
  <c r="H13" i="5"/>
  <c r="C27" i="5"/>
  <c r="B20" i="5"/>
  <c r="E13" i="5"/>
  <c r="L18" i="5"/>
  <c r="D21" i="6"/>
  <c r="D22" i="6"/>
  <c r="F22" i="5"/>
  <c r="F24" i="5"/>
  <c r="F20" i="5"/>
  <c r="H20" i="5"/>
  <c r="M11" i="5"/>
  <c r="C26" i="5"/>
  <c r="L14" i="5"/>
  <c r="C18" i="5"/>
  <c r="Q16" i="5"/>
  <c r="D21" i="5"/>
  <c r="B18" i="5"/>
  <c r="I14" i="5"/>
  <c r="E20" i="5"/>
  <c r="F12" i="5"/>
  <c r="N11" i="5"/>
  <c r="J26" i="5"/>
  <c r="C12" i="5"/>
  <c r="B23" i="5"/>
  <c r="D16" i="6"/>
  <c r="C11" i="5"/>
  <c r="I19" i="5"/>
  <c r="B13" i="5"/>
  <c r="D12" i="5"/>
  <c r="G15" i="5"/>
  <c r="M17" i="5"/>
  <c r="O24" i="5"/>
  <c r="I13" i="5"/>
  <c r="H21" i="5"/>
  <c r="P20" i="5"/>
  <c r="K23" i="5"/>
  <c r="D28" i="5"/>
  <c r="P17" i="5"/>
  <c r="N12" i="5"/>
  <c r="D25" i="5"/>
  <c r="P19" i="5"/>
  <c r="O28" i="5"/>
  <c r="Q18" i="5"/>
  <c r="N19" i="5"/>
  <c r="I22" i="5"/>
  <c r="N20" i="5"/>
  <c r="H27" i="5"/>
  <c r="D27" i="5"/>
  <c r="J19" i="5"/>
  <c r="D27" i="6"/>
  <c r="F27" i="5"/>
  <c r="M16" i="5"/>
  <c r="H26" i="5"/>
  <c r="C28" i="5"/>
  <c r="J18" i="5"/>
  <c r="O14" i="5"/>
  <c r="I16" i="5"/>
  <c r="E15" i="5"/>
  <c r="K16" i="5"/>
  <c r="F23" i="5"/>
  <c r="N22" i="5"/>
  <c r="D16" i="5"/>
  <c r="O23" i="5"/>
  <c r="L27" i="5"/>
  <c r="M19" i="5"/>
  <c r="F21" i="5"/>
  <c r="D12" i="6"/>
  <c r="Q13" i="5"/>
  <c r="J24" i="5"/>
  <c r="P11" i="5"/>
  <c r="P27" i="5"/>
  <c r="C16" i="5"/>
  <c r="G19" i="5"/>
  <c r="J21" i="5"/>
  <c r="M23" i="5"/>
  <c r="K17" i="5"/>
  <c r="P25" i="5"/>
  <c r="F17" i="5"/>
  <c r="K11" i="5"/>
  <c r="J22" i="5"/>
  <c r="G28" i="5"/>
  <c r="Q26" i="5"/>
  <c r="L25" i="5"/>
  <c r="J12" i="5"/>
  <c r="K18" i="5"/>
  <c r="O12" i="5"/>
  <c r="I26" i="5"/>
  <c r="L16" i="5"/>
  <c r="O26" i="5"/>
  <c r="H12" i="5"/>
  <c r="I24" i="5"/>
  <c r="C22" i="5"/>
  <c r="B26" i="5"/>
  <c r="O18" i="5"/>
  <c r="G23" i="5"/>
  <c r="H19" i="5"/>
  <c r="N18" i="5"/>
  <c r="Q24" i="5"/>
  <c r="B19" i="5"/>
  <c r="E22" i="5"/>
  <c r="O22" i="5"/>
  <c r="L22" i="5"/>
  <c r="E23" i="5"/>
  <c r="M24" i="5"/>
  <c r="D11" i="6"/>
  <c r="D19" i="5"/>
  <c r="I18" i="5"/>
  <c r="B16" i="5"/>
  <c r="K21" i="5"/>
  <c r="J11" i="5"/>
  <c r="Q27" i="5"/>
  <c r="G21" i="5"/>
  <c r="N14" i="5"/>
  <c r="D18" i="5"/>
  <c r="L28" i="5"/>
  <c r="F18" i="5"/>
  <c r="C23" i="5"/>
  <c r="Q17" i="5"/>
  <c r="B22" i="5"/>
  <c r="N15" i="5"/>
  <c r="D25" i="6"/>
  <c r="I23" i="5"/>
  <c r="D26" i="6"/>
  <c r="G18" i="5"/>
  <c r="M27" i="5"/>
  <c r="B12" i="5"/>
  <c r="J16" i="5"/>
  <c r="O20" i="5"/>
  <c r="E27" i="5"/>
  <c r="K26" i="5"/>
  <c r="L23" i="5"/>
  <c r="P18" i="5"/>
  <c r="L21" i="5"/>
  <c r="K13" i="5"/>
  <c r="I28" i="5"/>
  <c r="H23" i="5"/>
  <c r="E14" i="5"/>
  <c r="B14" i="5"/>
  <c r="J20" i="5"/>
  <c r="J13" i="5"/>
  <c r="H24" i="5"/>
  <c r="P21" i="5"/>
  <c r="F26" i="5"/>
  <c r="L26" i="5"/>
  <c r="N16" i="5"/>
  <c r="J27" i="5"/>
  <c r="L19" i="5"/>
  <c r="K25" i="5"/>
  <c r="Q14" i="5"/>
  <c r="F16" i="5"/>
  <c r="J15" i="5"/>
  <c r="D20" i="5"/>
  <c r="K15" i="5"/>
  <c r="N21" i="5"/>
  <c r="F25" i="5"/>
  <c r="G16" i="5"/>
  <c r="D17" i="6"/>
  <c r="B28" i="5"/>
  <c r="P16" i="5"/>
  <c r="E18" i="5"/>
  <c r="D26" i="5"/>
  <c r="D13" i="5"/>
  <c r="B24" i="5"/>
  <c r="P24" i="5"/>
  <c r="D17" i="5"/>
  <c r="Q19" i="5"/>
  <c r="N24" i="5"/>
  <c r="G22" i="5"/>
  <c r="I12" i="5"/>
  <c r="G13" i="5"/>
  <c r="E21" i="5"/>
  <c r="G20" i="5"/>
  <c r="N28" i="5"/>
  <c r="O25" i="5"/>
  <c r="C15" i="5"/>
  <c r="P13" i="5"/>
  <c r="D24" i="6"/>
  <c r="J28" i="5"/>
  <c r="M15" i="5"/>
  <c r="E11" i="5"/>
  <c r="B15" i="5"/>
  <c r="B21" i="5"/>
  <c r="J17" i="5"/>
  <c r="P15" i="5"/>
  <c r="E28" i="5"/>
  <c r="N26" i="5"/>
  <c r="L11" i="5"/>
  <c r="C25" i="5"/>
  <c r="D18" i="6"/>
  <c r="M13" i="5"/>
  <c r="K12" i="5"/>
  <c r="K20" i="5"/>
  <c r="M25" i="5"/>
  <c r="Q25" i="5"/>
  <c r="G11" i="5"/>
  <c r="D23" i="5"/>
  <c r="E19" i="5"/>
  <c r="F11" i="5"/>
  <c r="J25" i="5"/>
  <c r="H18" i="5"/>
  <c r="F13" i="5"/>
  <c r="O19" i="5"/>
  <c r="Q21" i="5"/>
  <c r="C24" i="5"/>
  <c r="O17" i="5"/>
  <c r="Q20" i="5"/>
  <c r="J23" i="5"/>
  <c r="H15" i="5"/>
  <c r="G27" i="5"/>
  <c r="O16" i="5"/>
  <c r="O13" i="5"/>
  <c r="D19" i="6"/>
  <c r="B11" i="5"/>
  <c r="D24" i="5"/>
  <c r="M26" i="5"/>
  <c r="K27" i="5"/>
  <c r="B29" i="5" l="1"/>
  <c r="D30" i="5" s="1"/>
  <c r="K29" i="5"/>
  <c r="F29" i="5"/>
  <c r="H29" i="5"/>
  <c r="G29" i="5"/>
  <c r="N29" i="5"/>
  <c r="M29" i="5"/>
  <c r="C29" i="5"/>
  <c r="E29" i="5"/>
  <c r="D28" i="6"/>
  <c r="L29" i="5"/>
  <c r="P29" i="5"/>
  <c r="Q29" i="5"/>
  <c r="D29" i="5"/>
  <c r="J29" i="5"/>
  <c r="I29" i="5"/>
  <c r="O29" i="5"/>
  <c r="O19" i="3"/>
  <c r="C19" i="3"/>
  <c r="J19" i="3"/>
  <c r="L19" i="3"/>
  <c r="B19" i="3"/>
  <c r="D19" i="3"/>
  <c r="Q19" i="3"/>
  <c r="G19" i="3"/>
  <c r="E19" i="3"/>
  <c r="I19" i="3"/>
  <c r="H19" i="3"/>
  <c r="K19" i="3"/>
  <c r="F19" i="3"/>
  <c r="M19" i="3"/>
  <c r="N19" i="3"/>
  <c r="P19" i="3"/>
  <c r="E15" i="6"/>
  <c r="E12" i="6"/>
  <c r="E26" i="6"/>
  <c r="E24" i="6"/>
  <c r="E13" i="6"/>
  <c r="G22" i="3"/>
  <c r="L23" i="3"/>
  <c r="E14" i="6"/>
  <c r="E27" i="6"/>
  <c r="E10" i="6"/>
  <c r="E11" i="6"/>
  <c r="H23" i="3"/>
  <c r="P21" i="3"/>
  <c r="E18" i="6"/>
  <c r="L21" i="3"/>
  <c r="B21" i="3"/>
  <c r="E19" i="6"/>
  <c r="E20" i="6"/>
  <c r="E23" i="6"/>
  <c r="E25" i="6"/>
  <c r="E17" i="6"/>
  <c r="J22" i="3"/>
  <c r="J21" i="3"/>
  <c r="E21" i="6"/>
  <c r="E16" i="6"/>
  <c r="E22" i="6"/>
  <c r="O22" i="3"/>
  <c r="D22" i="3"/>
  <c r="F22" i="3"/>
  <c r="B30" i="5" l="1"/>
  <c r="E28" i="6"/>
  <c r="F17" i="6"/>
  <c r="D23" i="3"/>
  <c r="Q22" i="3"/>
  <c r="E21" i="3"/>
  <c r="C21" i="3"/>
  <c r="F18" i="6"/>
  <c r="D21" i="3"/>
  <c r="F23" i="6"/>
  <c r="I21" i="3"/>
  <c r="F23" i="3"/>
  <c r="C23" i="3"/>
  <c r="B23" i="3"/>
  <c r="K21" i="3"/>
  <c r="N22" i="3"/>
  <c r="N21" i="3"/>
  <c r="G23" i="3"/>
  <c r="P23" i="3"/>
  <c r="F25" i="6"/>
  <c r="E22" i="3"/>
  <c r="J23" i="3"/>
  <c r="N23" i="3"/>
  <c r="Q23" i="3"/>
  <c r="F27" i="6"/>
  <c r="F21" i="3"/>
  <c r="K23" i="3"/>
  <c r="F16" i="6"/>
  <c r="F10" i="6"/>
  <c r="G21" i="3"/>
  <c r="B22" i="3"/>
  <c r="K22" i="3"/>
  <c r="M23" i="3"/>
  <c r="F15" i="6"/>
  <c r="M21" i="3"/>
  <c r="F20" i="6"/>
  <c r="C22" i="3"/>
  <c r="F14" i="6"/>
  <c r="F24" i="6"/>
  <c r="I23" i="3"/>
  <c r="O21" i="3"/>
  <c r="O23" i="3"/>
  <c r="I22" i="3"/>
  <c r="F19" i="6"/>
  <c r="E23" i="3"/>
  <c r="F11" i="6"/>
  <c r="H22" i="3"/>
  <c r="M22" i="3"/>
  <c r="F26" i="6"/>
  <c r="F13" i="6"/>
  <c r="F21" i="6"/>
  <c r="F22" i="6"/>
  <c r="F12" i="6"/>
  <c r="P22" i="3"/>
  <c r="Q21" i="3"/>
  <c r="H21" i="3"/>
  <c r="L22" i="3"/>
  <c r="F28" i="6" l="1"/>
  <c r="D24" i="3"/>
  <c r="G24" i="3"/>
  <c r="B24" i="3"/>
  <c r="O24" i="3"/>
  <c r="J24" i="3"/>
  <c r="E24" i="3"/>
  <c r="I24" i="3"/>
  <c r="L24" i="3"/>
  <c r="H24" i="3"/>
  <c r="Q24" i="3"/>
  <c r="C24" i="3"/>
  <c r="F24" i="3"/>
  <c r="P24" i="3"/>
  <c r="M24" i="3"/>
  <c r="K24" i="3"/>
  <c r="N24" i="3"/>
  <c r="G10" i="6"/>
  <c r="G12" i="6"/>
  <c r="G13" i="6"/>
  <c r="G20" i="6"/>
  <c r="G21" i="6"/>
  <c r="G16" i="6"/>
  <c r="G25" i="6"/>
  <c r="G14" i="6"/>
  <c r="G23" i="6"/>
  <c r="G19" i="6"/>
  <c r="G17" i="6"/>
  <c r="G11" i="6"/>
  <c r="G22" i="6"/>
  <c r="G26" i="6"/>
  <c r="G18" i="6"/>
  <c r="G24" i="6"/>
  <c r="G15" i="6"/>
  <c r="G27" i="6"/>
  <c r="G28" i="6" l="1"/>
  <c r="D25" i="3"/>
  <c r="B25" i="3"/>
  <c r="H16" i="6"/>
  <c r="H27" i="6"/>
  <c r="H11" i="6"/>
  <c r="H10" i="6"/>
  <c r="H21" i="6"/>
  <c r="H19" i="6"/>
  <c r="H14" i="6"/>
  <c r="H13" i="6"/>
  <c r="H23" i="6"/>
  <c r="H24" i="6"/>
  <c r="H20" i="6"/>
  <c r="H15" i="6"/>
  <c r="H18" i="6"/>
  <c r="H25" i="6"/>
  <c r="H22" i="6"/>
  <c r="H17" i="6"/>
  <c r="H26" i="6"/>
  <c r="H12" i="6"/>
  <c r="H28" i="6" l="1"/>
  <c r="I19" i="6"/>
  <c r="I15" i="6"/>
  <c r="I11" i="6"/>
  <c r="I13" i="6"/>
  <c r="I22" i="6"/>
  <c r="I24" i="6"/>
  <c r="I16" i="6"/>
  <c r="I18" i="6"/>
  <c r="I12" i="6"/>
  <c r="I14" i="6"/>
  <c r="I20" i="6"/>
  <c r="I17" i="6"/>
  <c r="I27" i="6"/>
  <c r="I25" i="6"/>
  <c r="I21" i="6"/>
  <c r="I26" i="6"/>
  <c r="I10" i="6"/>
  <c r="I23" i="6"/>
  <c r="I28" i="6" l="1"/>
  <c r="J19" i="6"/>
  <c r="J14" i="6"/>
  <c r="J23" i="6"/>
  <c r="J27" i="6"/>
  <c r="J22" i="6"/>
  <c r="J10" i="6"/>
  <c r="J13" i="6"/>
  <c r="J24" i="6"/>
  <c r="J11" i="6"/>
  <c r="J26" i="6"/>
  <c r="J12" i="6"/>
  <c r="J17" i="6"/>
  <c r="J21" i="6"/>
  <c r="J20" i="6"/>
  <c r="J18" i="6"/>
  <c r="J25" i="6"/>
  <c r="J15" i="6"/>
  <c r="J16" i="6"/>
  <c r="J28" i="6" l="1"/>
  <c r="K16" i="6"/>
  <c r="K24" i="6"/>
  <c r="K27" i="6"/>
  <c r="K22" i="6"/>
  <c r="K23" i="6"/>
  <c r="K26" i="6"/>
  <c r="K13" i="6"/>
  <c r="K25" i="6"/>
  <c r="K20" i="6"/>
  <c r="K15" i="6"/>
  <c r="K17" i="6"/>
  <c r="K14" i="6"/>
  <c r="K19" i="6"/>
  <c r="K18" i="6"/>
  <c r="K21" i="6"/>
  <c r="K11" i="6"/>
  <c r="K10" i="6"/>
  <c r="K12" i="6"/>
  <c r="K28" i="6" l="1"/>
  <c r="L17" i="6"/>
  <c r="L20" i="6"/>
  <c r="L10" i="6"/>
  <c r="L23" i="6"/>
  <c r="L21" i="6"/>
  <c r="L11" i="6"/>
  <c r="L16" i="6"/>
  <c r="L24" i="6"/>
  <c r="L13" i="6"/>
  <c r="L15" i="6"/>
  <c r="L26" i="6"/>
  <c r="L18" i="6"/>
  <c r="L27" i="6"/>
  <c r="L19" i="6"/>
  <c r="L22" i="6"/>
  <c r="L25" i="6"/>
  <c r="L12" i="6"/>
  <c r="L14" i="6"/>
  <c r="L28" i="6" l="1"/>
  <c r="M26" i="6"/>
  <c r="M21" i="6"/>
  <c r="M19" i="6"/>
  <c r="M18" i="6"/>
  <c r="M15" i="6"/>
  <c r="M14" i="6"/>
  <c r="M25" i="6"/>
  <c r="M17" i="6"/>
  <c r="M13" i="6"/>
  <c r="M23" i="6"/>
  <c r="M12" i="6"/>
  <c r="M22" i="6"/>
  <c r="M11" i="6"/>
  <c r="M24" i="6"/>
  <c r="M16" i="6"/>
  <c r="M10" i="6"/>
  <c r="M20" i="6"/>
  <c r="M27" i="6"/>
  <c r="M28" i="6" l="1"/>
  <c r="N14" i="6"/>
  <c r="N27" i="6"/>
  <c r="N11" i="6"/>
  <c r="N16" i="6"/>
  <c r="N15" i="6"/>
  <c r="N26" i="6"/>
  <c r="N24" i="6"/>
  <c r="N10" i="6"/>
  <c r="N22" i="6"/>
  <c r="N18" i="6"/>
  <c r="N20" i="6"/>
  <c r="N19" i="6"/>
  <c r="N17" i="6"/>
  <c r="N12" i="6"/>
  <c r="N21" i="6"/>
  <c r="N13" i="6"/>
  <c r="N23" i="6"/>
  <c r="N25" i="6"/>
  <c r="N28" i="6" l="1"/>
  <c r="O26" i="6"/>
  <c r="O16" i="6"/>
  <c r="O12" i="6"/>
  <c r="O25" i="6"/>
  <c r="O20" i="6"/>
  <c r="O15" i="6"/>
  <c r="O24" i="6"/>
  <c r="O10" i="6"/>
  <c r="O13" i="6"/>
  <c r="O17" i="6"/>
  <c r="O21" i="6"/>
  <c r="O11" i="6"/>
  <c r="O14" i="6"/>
  <c r="O18" i="6"/>
  <c r="O23" i="6"/>
  <c r="O19" i="6"/>
  <c r="O27" i="6"/>
  <c r="O22" i="6"/>
  <c r="O28" i="6" l="1"/>
  <c r="P16" i="6"/>
  <c r="P13" i="6"/>
  <c r="P23" i="6"/>
  <c r="P22" i="6"/>
  <c r="P20" i="6"/>
  <c r="P26" i="6"/>
  <c r="P11" i="6"/>
  <c r="P24" i="6"/>
  <c r="P21" i="6"/>
  <c r="P19" i="6"/>
  <c r="P17" i="6"/>
  <c r="P18" i="6"/>
  <c r="P27" i="6"/>
  <c r="P12" i="6"/>
  <c r="P25" i="6"/>
  <c r="P14" i="6"/>
  <c r="P10" i="6"/>
  <c r="P15" i="6"/>
  <c r="P28" i="6" l="1"/>
  <c r="Q10" i="6"/>
  <c r="Q26" i="6"/>
  <c r="Q13" i="6"/>
  <c r="Q11" i="6"/>
  <c r="Q16" i="6"/>
  <c r="Q18" i="6"/>
  <c r="Q23" i="6"/>
  <c r="Q24" i="6"/>
  <c r="Q12" i="6"/>
  <c r="Q20" i="6"/>
  <c r="Q17" i="6"/>
  <c r="Q21" i="6"/>
  <c r="Q19" i="6"/>
  <c r="Q22" i="6"/>
  <c r="Q14" i="6"/>
  <c r="Q15" i="6"/>
  <c r="Q27" i="6"/>
  <c r="Q25" i="6"/>
  <c r="Q28" i="6" l="1"/>
  <c r="B29" i="6" s="1"/>
  <c r="D29" i="6" l="1"/>
</calcChain>
</file>

<file path=xl/sharedStrings.xml><?xml version="1.0" encoding="utf-8"?>
<sst xmlns="http://schemas.openxmlformats.org/spreadsheetml/2006/main" count="403" uniqueCount="109">
  <si>
    <t>Режим</t>
  </si>
  <si>
    <t>Замер</t>
  </si>
  <si>
    <t>Время</t>
  </si>
  <si>
    <t>M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</si>
  <si>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</si>
  <si>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</si>
  <si>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</si>
  <si>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</si>
  <si>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</si>
  <si>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</si>
  <si>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</si>
  <si>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</si>
  <si>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</si>
  <si>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</si>
  <si>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Ch11</t>
  </si>
  <si>
    <t>Ch12</t>
  </si>
  <si>
    <t>Ch13</t>
  </si>
  <si>
    <t>Ch14</t>
  </si>
  <si>
    <t>Ch15</t>
  </si>
  <si>
    <t>Ch16</t>
  </si>
  <si>
    <t>Диапазон измерения в ед. АЦП</t>
  </si>
  <si>
    <t>Гц</t>
  </si>
  <si>
    <t>Строка Y1</t>
  </si>
  <si>
    <t>Y1 и Y2 определяют линейный участок</t>
  </si>
  <si>
    <t>Строка Y2</t>
  </si>
  <si>
    <t>Строка Y0</t>
  </si>
  <si>
    <t>Строка с которой начинаются замеренные данные</t>
  </si>
  <si>
    <t>Строка 0 в расчете</t>
  </si>
  <si>
    <t>Y1Link</t>
  </si>
  <si>
    <t>Y2Link</t>
  </si>
  <si>
    <t>Y0Link</t>
  </si>
  <si>
    <t>Y1</t>
  </si>
  <si>
    <t>Y2</t>
  </si>
  <si>
    <t>X1</t>
  </si>
  <si>
    <t>X2</t>
  </si>
  <si>
    <t>dY</t>
  </si>
  <si>
    <t>dX</t>
  </si>
  <si>
    <t>k=dY/dX</t>
  </si>
  <si>
    <t>b0=(Y1-k*X1)</t>
  </si>
  <si>
    <t>Нелинейность (K*X+B-Yизм)</t>
  </si>
  <si>
    <t>R</t>
  </si>
  <si>
    <t>Max Kнелин</t>
  </si>
  <si>
    <t>Столбец с которого начинаются данные</t>
  </si>
  <si>
    <t>Интервал между столбцами</t>
  </si>
  <si>
    <t>Значение эталона</t>
  </si>
  <si>
    <t>Строка с которой начинаются данные в странице расчете линейности</t>
  </si>
  <si>
    <t>Самый грубый канал</t>
  </si>
  <si>
    <t>Самый точный канал</t>
  </si>
  <si>
    <t>D</t>
  </si>
  <si>
    <t>RMS</t>
  </si>
  <si>
    <t>E</t>
  </si>
  <si>
    <t>Строка с которой начинаются данные в расчете</t>
  </si>
  <si>
    <t>YminLink</t>
  </si>
  <si>
    <t>YmaxLink</t>
  </si>
  <si>
    <t>Y0min</t>
  </si>
  <si>
    <t>Y0max</t>
  </si>
  <si>
    <t>Для редактирования данных графика нажать правой кнопкой и нажать "выбрать данные"</t>
  </si>
  <si>
    <t>Допустимая погрешность</t>
  </si>
  <si>
    <r>
      <t xml:space="preserve">(Max/min-эталон)*100/range </t>
    </r>
    <r>
      <rPr>
        <b/>
        <sz val="12"/>
        <color rgb="FFFF0000"/>
        <rFont val="Calibri"/>
        <family val="2"/>
        <charset val="204"/>
        <scheme val="minor"/>
      </rPr>
      <t>ОКРАСКА ЯЧЕЕК СДЕЛАНА ЧЕРЕЗ ГЛАВНАЯ-&gt;УСЛОВНОЕ ФОРМАТИРОВАНИЕ</t>
    </r>
  </si>
  <si>
    <t>Опорное значение</t>
  </si>
  <si>
    <t>Опорное значение (строка)</t>
  </si>
  <si>
    <t>Интервал между столбцами зависит от выбора оценок)</t>
  </si>
  <si>
    <t>Опорное значение Link</t>
  </si>
  <si>
    <t>столбец с которого нач-я данные</t>
  </si>
  <si>
    <t>Max неравномерность</t>
  </si>
  <si>
    <t>Частота</t>
  </si>
  <si>
    <t>Столбец данные</t>
  </si>
  <si>
    <t>Y0</t>
  </si>
  <si>
    <t>Столбец содержащий минимумы порций (min)</t>
  </si>
  <si>
    <t>Столбец содержащий максимумы порций (max)</t>
  </si>
  <si>
    <t>Столбец с мат. ож.</t>
  </si>
  <si>
    <t>Mlink</t>
  </si>
  <si>
    <t>Только шумы/ Погрешность (0 или 1)</t>
  </si>
  <si>
    <t>Шум max</t>
  </si>
  <si>
    <r>
      <t xml:space="preserve">(Max/min-эталон)/2 </t>
    </r>
    <r>
      <rPr>
        <b/>
        <sz val="12"/>
        <color rgb="FFFF0000"/>
        <rFont val="Calibri"/>
        <family val="2"/>
        <charset val="204"/>
        <scheme val="minor"/>
      </rPr>
      <t>ОКРАСКА ЯЧЕЕК СДЕЛАНА ЧЕРЕЗ ГЛАВНАЯ-&gt;УСЛОВНОЕ ФОРМАТИРОВАНИЕ</t>
    </r>
  </si>
  <si>
    <t>Самый грубый канал В прогцентах</t>
  </si>
  <si>
    <t>Самый точный канал в процентах</t>
  </si>
  <si>
    <t>Нелинейность - отклонение мат. ож. на эталонных полках от расчетной калибровочной прямой.
Значения с платы могут быть в любых единицах (например коды АЦП)</t>
  </si>
  <si>
    <t>MC-114-{ 1- 4- 1}</t>
  </si>
  <si>
    <t>MC-114-{ 1- 4- 2}</t>
  </si>
  <si>
    <t>MC-114-{ 1- 4- 3}</t>
  </si>
  <si>
    <t>MC-114-{ 1- 4- 4}</t>
  </si>
  <si>
    <t>MC-114-{ 1- 4- 5}</t>
  </si>
  <si>
    <t>MC-114-{ 1- 4- 6}</t>
  </si>
  <si>
    <t>MC-114-{ 1- 4- 7}</t>
  </si>
  <si>
    <t>MC-114-{ 1- 4- 8}</t>
  </si>
  <si>
    <t>MC-114-{ 1- 4- 9}</t>
  </si>
  <si>
    <t>MC-114-{ 1- 4-10}</t>
  </si>
  <si>
    <t>MC-114-{ 1- 4-11}</t>
  </si>
  <si>
    <t>MC-114-{ 1- 4-12}</t>
  </si>
  <si>
    <t>MC-114-{ 1- 4-13}</t>
  </si>
  <si>
    <t>MC-114-{ 1- 4-14}</t>
  </si>
  <si>
    <t>MC-114-{ 1- 4-15}</t>
  </si>
  <si>
    <t>MC-114-{ 1- 4-16}</t>
  </si>
  <si>
    <t>0..99 инд.</t>
  </si>
  <si>
    <t>101..199 инд.</t>
  </si>
  <si>
    <t>201..299 инд.</t>
  </si>
  <si>
    <t>/Signals/31 янв.mera</t>
  </si>
  <si>
    <t>Интервал между столбцами(число оценок -1)</t>
  </si>
  <si>
    <t>A3</t>
  </si>
  <si>
    <t>A4</t>
  </si>
  <si>
    <t>Xmin</t>
  </si>
  <si>
    <t>min</t>
  </si>
  <si>
    <t>Xmax</t>
  </si>
  <si>
    <t>max</t>
  </si>
  <si>
    <t>F1</t>
  </si>
  <si>
    <t>mag1</t>
  </si>
  <si>
    <t>dekr</t>
  </si>
  <si>
    <t>Эталон и замеры должны быть в одних единицах. Если включить отчет только по шумам (0), то эталон не учитывается (за полку берется мат ожидание)
Тип отчета: 0 - шум, 1 - погрешность, 2 отклонение матож. От эталона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</si>
</sst>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7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20"/>
      <color rgb="FFFF000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1" fillId="0" borderId="0" xfId="0" applyFont="1" applyAlignment="1">
      <alignment wrapText="1"/>
    </xf>
    <xf numFmtId="2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left"/>
    </xf>
    <xf numFmtId="0" fontId="2" fillId="0" borderId="0" xfId="0" applyFont="1"/>
    <xf numFmtId="0" fontId="1" fillId="0" borderId="0" xfId="0" applyNumberFormat="1" applyFont="1"/>
    <xf numFmtId="2" fontId="1" fillId="0" borderId="0" xfId="0" applyNumberFormat="1" applyFont="1"/>
    <xf numFmtId="0" fontId="3" fillId="0" borderId="0" xfId="0" applyFont="1"/>
    <xf numFmtId="0" fontId="1" fillId="0" borderId="0" xfId="0" applyNumberFormat="1" applyFont="1" applyFill="1" applyAlignment="1">
      <alignment horizontal="left"/>
    </xf>
    <xf numFmtId="0" fontId="0" fillId="0" borderId="0" xfId="0"/>
    <xf numFmtId="2" fontId="2" fillId="3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/>
    </xf>
    <xf numFmtId="164" fontId="1" fillId="0" borderId="0" xfId="0" applyNumberFormat="1" applyFont="1" applyAlignment="1">
      <alignment horizontal="left"/>
    </xf>
    <xf numFmtId="0" fontId="3" fillId="3" borderId="0" xfId="0" applyFont="1" applyFill="1"/>
    <xf numFmtId="0" fontId="0" fillId="3" borderId="0" xfId="0" applyFill="1"/>
    <xf numFmtId="0" fontId="0" fillId="0" borderId="0" xfId="0"/>
    <xf numFmtId="0" fontId="1" fillId="0" borderId="3" xfId="0" applyFont="1" applyBorder="1" applyAlignment="1"/>
    <xf numFmtId="0" fontId="1" fillId="0" borderId="4" xfId="0" applyFont="1" applyBorder="1" applyAlignment="1">
      <alignment wrapText="1"/>
    </xf>
    <xf numFmtId="0" fontId="1" fillId="3" borderId="4" xfId="0" applyFont="1" applyFill="1" applyBorder="1" applyAlignment="1">
      <alignment horizontal="left"/>
    </xf>
    <xf numFmtId="0" fontId="1" fillId="0" borderId="4" xfId="0" applyFont="1" applyBorder="1"/>
    <xf numFmtId="2" fontId="1" fillId="3" borderId="4" xfId="0" applyNumberFormat="1" applyFont="1" applyFill="1" applyBorder="1" applyAlignment="1">
      <alignment horizontal="left"/>
    </xf>
    <xf numFmtId="2" fontId="1" fillId="0" borderId="4" xfId="0" applyNumberFormat="1" applyFont="1" applyBorder="1" applyAlignment="1">
      <alignment horizontal="left"/>
    </xf>
    <xf numFmtId="2" fontId="2" fillId="3" borderId="4" xfId="0" applyNumberFormat="1" applyFont="1" applyFill="1" applyBorder="1" applyAlignment="1">
      <alignment horizontal="left"/>
    </xf>
    <xf numFmtId="165" fontId="1" fillId="0" borderId="4" xfId="0" applyNumberFormat="1" applyFont="1" applyBorder="1" applyAlignment="1">
      <alignment horizontal="left"/>
    </xf>
    <xf numFmtId="0" fontId="1" fillId="0" borderId="4" xfId="0" applyNumberFormat="1" applyFont="1" applyBorder="1" applyAlignment="1">
      <alignment horizontal="left"/>
    </xf>
    <xf numFmtId="0" fontId="3" fillId="0" borderId="4" xfId="0" applyFont="1" applyBorder="1"/>
    <xf numFmtId="0" fontId="0" fillId="0" borderId="4" xfId="0" applyBorder="1"/>
    <xf numFmtId="164" fontId="1" fillId="0" borderId="4" xfId="0" applyNumberFormat="1" applyFont="1" applyFill="1" applyBorder="1" applyAlignment="1">
      <alignment horizontal="left"/>
    </xf>
    <xf numFmtId="0" fontId="2" fillId="0" borderId="4" xfId="0" applyFont="1" applyBorder="1"/>
    <xf numFmtId="164" fontId="1" fillId="4" borderId="4" xfId="0" applyNumberFormat="1" applyFont="1" applyFill="1" applyBorder="1" applyAlignment="1">
      <alignment horizontal="left"/>
    </xf>
    <xf numFmtId="164" fontId="1" fillId="0" borderId="4" xfId="0" applyNumberFormat="1" applyFont="1" applyBorder="1" applyAlignment="1">
      <alignment horizontal="left"/>
    </xf>
    <xf numFmtId="0" fontId="3" fillId="3" borderId="5" xfId="0" applyFont="1" applyFill="1" applyBorder="1"/>
    <xf numFmtId="0" fontId="0" fillId="3" borderId="5" xfId="0" applyFill="1" applyBorder="1"/>
    <xf numFmtId="0" fontId="0" fillId="0" borderId="5" xfId="0" applyBorder="1"/>
    <xf numFmtId="0" fontId="0" fillId="0" borderId="0" xfId="0" applyAlignment="1">
      <alignment horizontal="left"/>
    </xf>
    <xf numFmtId="0" fontId="0" fillId="0" borderId="0" xfId="0"/>
    <xf numFmtId="0" fontId="1" fillId="0" borderId="5" xfId="0" applyFont="1" applyBorder="1" applyAlignment="1"/>
    <xf numFmtId="0" fontId="1" fillId="0" borderId="5" xfId="0" applyFont="1" applyBorder="1" applyAlignment="1">
      <alignment wrapText="1"/>
    </xf>
    <xf numFmtId="0" fontId="1" fillId="3" borderId="5" xfId="0" applyFont="1" applyFill="1" applyBorder="1" applyAlignment="1">
      <alignment horizontal="left"/>
    </xf>
    <xf numFmtId="0" fontId="1" fillId="0" borderId="5" xfId="0" applyFont="1" applyBorder="1"/>
    <xf numFmtId="2" fontId="1" fillId="3" borderId="5" xfId="0" applyNumberFormat="1" applyFont="1" applyFill="1" applyBorder="1" applyAlignment="1">
      <alignment horizontal="left"/>
    </xf>
    <xf numFmtId="2" fontId="1" fillId="0" borderId="5" xfId="0" applyNumberFormat="1" applyFont="1" applyBorder="1" applyAlignment="1">
      <alignment horizontal="left"/>
    </xf>
    <xf numFmtId="2" fontId="2" fillId="3" borderId="5" xfId="0" applyNumberFormat="1" applyFont="1" applyFill="1" applyBorder="1" applyAlignment="1">
      <alignment horizontal="left"/>
    </xf>
    <xf numFmtId="165" fontId="1" fillId="0" borderId="5" xfId="0" applyNumberFormat="1" applyFont="1" applyBorder="1" applyAlignment="1">
      <alignment horizontal="left"/>
    </xf>
    <xf numFmtId="0" fontId="1" fillId="0" borderId="5" xfId="0" applyNumberFormat="1" applyFont="1" applyBorder="1" applyAlignment="1">
      <alignment horizontal="left"/>
    </xf>
    <xf numFmtId="0" fontId="3" fillId="0" borderId="5" xfId="0" applyFont="1" applyBorder="1"/>
    <xf numFmtId="164" fontId="1" fillId="0" borderId="5" xfId="0" applyNumberFormat="1" applyFont="1" applyFill="1" applyBorder="1" applyAlignment="1">
      <alignment horizontal="left"/>
    </xf>
    <xf numFmtId="0" fontId="2" fillId="0" borderId="5" xfId="0" applyFont="1" applyBorder="1"/>
    <xf numFmtId="164" fontId="1" fillId="4" borderId="5" xfId="0" applyNumberFormat="1" applyFont="1" applyFill="1" applyBorder="1" applyAlignment="1">
      <alignment horizontal="left"/>
    </xf>
    <xf numFmtId="164" fontId="1" fillId="0" borderId="5" xfId="0" applyNumberFormat="1" applyFont="1" applyBorder="1" applyAlignment="1">
      <alignment horizontal="left"/>
    </xf>
    <xf numFmtId="2" fontId="1" fillId="5" borderId="0" xfId="0" applyNumberFormat="1" applyFont="1" applyFill="1" applyAlignment="1">
      <alignment horizontal="left"/>
    </xf>
    <xf numFmtId="2" fontId="2" fillId="5" borderId="0" xfId="0" applyNumberFormat="1" applyFont="1" applyFill="1" applyAlignment="1">
      <alignment horizontal="left"/>
    </xf>
    <xf numFmtId="0" fontId="1" fillId="5" borderId="0" xfId="0" applyFont="1" applyFill="1" applyAlignment="1">
      <alignment horizontal="left"/>
    </xf>
    <xf numFmtId="2" fontId="1" fillId="5" borderId="4" xfId="0" applyNumberFormat="1" applyFont="1" applyFill="1" applyBorder="1" applyAlignment="1">
      <alignment horizontal="left"/>
    </xf>
    <xf numFmtId="165" fontId="1" fillId="5" borderId="4" xfId="0" applyNumberFormat="1" applyFont="1" applyFill="1" applyBorder="1" applyAlignment="1">
      <alignment horizontal="left"/>
    </xf>
    <xf numFmtId="2" fontId="1" fillId="5" borderId="5" xfId="0" applyNumberFormat="1" applyFont="1" applyFill="1" applyBorder="1" applyAlignment="1">
      <alignment horizontal="left"/>
    </xf>
    <xf numFmtId="0" fontId="1" fillId="5" borderId="4" xfId="0" applyFont="1" applyFill="1" applyBorder="1" applyAlignment="1">
      <alignment horizontal="left"/>
    </xf>
    <xf numFmtId="2" fontId="2" fillId="3" borderId="5" xfId="0" applyNumberFormat="1" applyFont="1" applyFill="1" applyBorder="1" applyAlignment="1"/>
    <xf numFmtId="0" fontId="5" fillId="0" borderId="4" xfId="0" applyFont="1" applyBorder="1" applyAlignment="1">
      <alignment wrapText="1"/>
    </xf>
    <xf numFmtId="0" fontId="0" fillId="0" borderId="4" xfId="0" applyBorder="1" applyAlignment="1">
      <alignment wrapText="1"/>
    </xf>
    <xf numFmtId="0" fontId="2" fillId="0" borderId="4" xfId="0" applyFont="1" applyBorder="1" applyAlignment="1">
      <alignment wrapText="1"/>
    </xf>
    <xf numFmtId="0" fontId="0" fillId="5" borderId="4" xfId="0" applyFill="1" applyBorder="1" applyAlignment="1">
      <alignment horizontal="left"/>
    </xf>
    <xf numFmtId="0" fontId="0" fillId="0" borderId="5" xfId="0" applyBorder="1"/>
    <xf numFmtId="2" fontId="0" fillId="0" borderId="4" xfId="0" applyNumberFormat="1" applyBorder="1"/>
    <xf numFmtId="0" fontId="0" fillId="0" borderId="5" xfId="0" applyBorder="1"/>
    <xf numFmtId="0" fontId="0" fillId="2" borderId="5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2" xfId="0" applyFont="1" applyBorder="1" applyAlignment="1">
      <alignment horizontal="center"/>
    </xf>
    <xf numFmtId="2" fontId="6" fillId="0" borderId="0" xfId="0" applyNumberFormat="1" applyFont="1" applyAlignment="1">
      <alignment horizontal="center" vertical="center" wrapText="1"/>
    </xf>
    <xf numFmtId="2" fontId="6" fillId="0" borderId="0" xfId="0" applyNumberFormat="1" applyFont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 vertical="center" wrapText="1"/>
    </xf>
  </cellXfs>
  <cellStyles count="1">
    <cellStyle name="Обычный" xfId="0" builtinId="0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160476355743112E-2"/>
          <c:y val="6.3730180136468501E-2"/>
          <c:w val="0.93636457631444292"/>
          <c:h val="0.89246428831109059"/>
        </c:manualLayout>
      </c:layout>
      <c:scatterChart>
        <c:scatterStyle val="lineMarker"/>
        <c:varyColors val="0"/>
        <c:ser>
          <c:idx val="0"/>
          <c:order val="0"/>
          <c:xVal>
            <c:numRef>
              <c:f>Линейность!$A$21:$A$23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Линейность!$B$21:$B$23</c:f>
              <c:numCache>
                <c:formatCode>0.0000</c:formatCode>
                <c:ptCount val="3"/>
                <c:pt idx="0">
                  <c:v>0</c:v>
                </c:pt>
                <c:pt idx="1">
                  <c:v>2.6400887122638361E-7</c:v>
                </c:pt>
                <c:pt idx="2">
                  <c:v>0</c:v>
                </c:pt>
              </c:numCache>
            </c:numRef>
          </c:yVal>
          <c:smooth val="0"/>
        </c:ser>
        <c:ser>
          <c:idx val="1"/>
          <c:order val="1"/>
          <c:xVal>
            <c:numRef>
              <c:f>Линейность!$A$21:$A$23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Линейность!$C$21:$C$23</c:f>
              <c:numCache>
                <c:formatCode>0.0000</c:formatCode>
                <c:ptCount val="3"/>
                <c:pt idx="0">
                  <c:v>0</c:v>
                </c:pt>
                <c:pt idx="1">
                  <c:v>-2.4120160111352866E-4</c:v>
                </c:pt>
                <c:pt idx="2">
                  <c:v>1.6940658945086007E-19</c:v>
                </c:pt>
              </c:numCache>
            </c:numRef>
          </c:yVal>
          <c:smooth val="0"/>
        </c:ser>
        <c:ser>
          <c:idx val="2"/>
          <c:order val="2"/>
          <c:xVal>
            <c:numRef>
              <c:f>Линейность!$A$21:$A$23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Линейность!$D$21:$D$23</c:f>
              <c:numCache>
                <c:formatCode>0.0000</c:formatCode>
                <c:ptCount val="3"/>
                <c:pt idx="0">
                  <c:v>0</c:v>
                </c:pt>
                <c:pt idx="1">
                  <c:v>-1.8166916859740923E-7</c:v>
                </c:pt>
                <c:pt idx="2">
                  <c:v>0</c:v>
                </c:pt>
              </c:numCache>
            </c:numRef>
          </c:yVal>
          <c:smooth val="0"/>
        </c:ser>
        <c:ser>
          <c:idx val="3"/>
          <c:order val="3"/>
          <c:xVal>
            <c:numRef>
              <c:f>Линейность!$A$21:$A$23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Линейность!$E$21:$E$23</c:f>
              <c:numCache>
                <c:formatCode>0.0000</c:formatCode>
                <c:ptCount val="3"/>
                <c:pt idx="0">
                  <c:v>0</c:v>
                </c:pt>
                <c:pt idx="1">
                  <c:v>-2.1899646025821915E-10</c:v>
                </c:pt>
                <c:pt idx="2">
                  <c:v>0</c:v>
                </c:pt>
              </c:numCache>
            </c:numRef>
          </c:yVal>
          <c:smooth val="0"/>
        </c:ser>
        <c:ser>
          <c:idx val="4"/>
          <c:order val="4"/>
          <c:xVal>
            <c:numRef>
              <c:f>Линейность!$A$21:$A$23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Линейность!$F$21:$F$23</c:f>
              <c:numCache>
                <c:formatCode>0.0000</c:formatCode>
                <c:ptCount val="3"/>
                <c:pt idx="0">
                  <c:v>0</c:v>
                </c:pt>
                <c:pt idx="1">
                  <c:v>4.6200189483725021E-3</c:v>
                </c:pt>
                <c:pt idx="2">
                  <c:v>0</c:v>
                </c:pt>
              </c:numCache>
            </c:numRef>
          </c:yVal>
          <c:smooth val="0"/>
        </c:ser>
        <c:ser>
          <c:idx val="5"/>
          <c:order val="5"/>
          <c:xVal>
            <c:numRef>
              <c:f>Линейность!$A$21:$A$23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Линейность!$G$21:$G$23</c:f>
              <c:numCache>
                <c:formatCode>0.0000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</c:ser>
        <c:ser>
          <c:idx val="6"/>
          <c:order val="6"/>
          <c:xVal>
            <c:numRef>
              <c:f>Линейность!$A$21:$A$23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Линейность!$H$21:$H$23</c:f>
              <c:numCache>
                <c:formatCode>0.0000</c:formatCode>
                <c:ptCount val="3"/>
                <c:pt idx="0">
                  <c:v>0</c:v>
                </c:pt>
                <c:pt idx="1">
                  <c:v>3.8124262153272372E-3</c:v>
                </c:pt>
                <c:pt idx="2">
                  <c:v>0</c:v>
                </c:pt>
              </c:numCache>
            </c:numRef>
          </c:yVal>
          <c:smooth val="0"/>
        </c:ser>
        <c:ser>
          <c:idx val="7"/>
          <c:order val="7"/>
          <c:xVal>
            <c:numRef>
              <c:f>Линейность!$A$21:$A$23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Линейность!$I$21:$I$23</c:f>
              <c:numCache>
                <c:formatCode>0.0000</c:formatCode>
                <c:ptCount val="3"/>
                <c:pt idx="0">
                  <c:v>8.4703294725430034E-20</c:v>
                </c:pt>
                <c:pt idx="1">
                  <c:v>-1.9836425781249984E-4</c:v>
                </c:pt>
                <c:pt idx="2">
                  <c:v>0</c:v>
                </c:pt>
              </c:numCache>
            </c:numRef>
          </c:yVal>
          <c:smooth val="0"/>
        </c:ser>
        <c:ser>
          <c:idx val="8"/>
          <c:order val="8"/>
          <c:xVal>
            <c:numRef>
              <c:f>Линейность!$A$21:$A$23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Линейность!$J$21:$J$23</c:f>
              <c:numCache>
                <c:formatCode>0.0000</c:formatCode>
                <c:ptCount val="3"/>
                <c:pt idx="0">
                  <c:v>0</c:v>
                </c:pt>
                <c:pt idx="1">
                  <c:v>3.9752634236586148E-3</c:v>
                </c:pt>
                <c:pt idx="2">
                  <c:v>0</c:v>
                </c:pt>
              </c:numCache>
            </c:numRef>
          </c:yVal>
          <c:smooth val="0"/>
        </c:ser>
        <c:ser>
          <c:idx val="9"/>
          <c:order val="9"/>
          <c:xVal>
            <c:numRef>
              <c:f>Линейность!$A$21:$A$23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Линейность!$K$21:$K$23</c:f>
              <c:numCache>
                <c:formatCode>0.0000</c:formatCode>
                <c:ptCount val="3"/>
                <c:pt idx="0">
                  <c:v>0</c:v>
                </c:pt>
                <c:pt idx="1">
                  <c:v>-6.1716454169413737E-7</c:v>
                </c:pt>
                <c:pt idx="2">
                  <c:v>0</c:v>
                </c:pt>
              </c:numCache>
            </c:numRef>
          </c:yVal>
          <c:smooth val="0"/>
        </c:ser>
        <c:ser>
          <c:idx val="10"/>
          <c:order val="10"/>
          <c:xVal>
            <c:numRef>
              <c:f>Линейность!$A$21:$A$23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Линейность!$L$21:$L$23</c:f>
              <c:numCache>
                <c:formatCode>0.0000</c:formatCode>
                <c:ptCount val="3"/>
                <c:pt idx="0">
                  <c:v>0</c:v>
                </c:pt>
                <c:pt idx="1">
                  <c:v>-1.7861969681121082E-7</c:v>
                </c:pt>
                <c:pt idx="2">
                  <c:v>0</c:v>
                </c:pt>
              </c:numCache>
            </c:numRef>
          </c:yVal>
          <c:smooth val="0"/>
        </c:ser>
        <c:ser>
          <c:idx val="11"/>
          <c:order val="11"/>
          <c:xVal>
            <c:numRef>
              <c:f>Линейность!$A$21:$A$23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Линейность!$M$21:$M$23</c:f>
              <c:numCache>
                <c:formatCode>0.0000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</c:ser>
        <c:ser>
          <c:idx val="12"/>
          <c:order val="12"/>
          <c:xVal>
            <c:numRef>
              <c:f>Линейность!$A$21:$A$23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Линейность!$N$21:$N$23</c:f>
              <c:numCache>
                <c:formatCode>0.0000</c:formatCode>
                <c:ptCount val="3"/>
                <c:pt idx="0">
                  <c:v>0</c:v>
                </c:pt>
                <c:pt idx="1">
                  <c:v>-1.4802684330493463E-7</c:v>
                </c:pt>
                <c:pt idx="2">
                  <c:v>-8.2718061255302767E-23</c:v>
                </c:pt>
              </c:numCache>
            </c:numRef>
          </c:yVal>
          <c:smooth val="0"/>
        </c:ser>
        <c:ser>
          <c:idx val="13"/>
          <c:order val="13"/>
          <c:xVal>
            <c:numRef>
              <c:f>Линейность!$A$21:$A$23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Линейность!$O$21:$O$23</c:f>
              <c:numCache>
                <c:formatCode>0.0000</c:formatCode>
                <c:ptCount val="3"/>
                <c:pt idx="0">
                  <c:v>-1.6940658945086007E-19</c:v>
                </c:pt>
                <c:pt idx="1">
                  <c:v>6.7901611328124978E-4</c:v>
                </c:pt>
                <c:pt idx="2">
                  <c:v>0</c:v>
                </c:pt>
              </c:numCache>
            </c:numRef>
          </c:yVal>
          <c:smooth val="0"/>
        </c:ser>
        <c:ser>
          <c:idx val="14"/>
          <c:order val="14"/>
          <c:xVal>
            <c:numRef>
              <c:f>Линейность!$A$21:$A$23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Линейность!$P$21:$P$23</c:f>
              <c:numCache>
                <c:formatCode>0.0000</c:formatCode>
                <c:ptCount val="3"/>
                <c:pt idx="0">
                  <c:v>0</c:v>
                </c:pt>
                <c:pt idx="1">
                  <c:v>-1.0349310086146868E-6</c:v>
                </c:pt>
                <c:pt idx="2">
                  <c:v>0</c:v>
                </c:pt>
              </c:numCache>
            </c:numRef>
          </c:yVal>
          <c:smooth val="0"/>
        </c:ser>
        <c:ser>
          <c:idx val="15"/>
          <c:order val="15"/>
          <c:xVal>
            <c:numRef>
              <c:f>Линейность!$A$21:$A$23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Линейность!$Q$21:$Q$23</c:f>
              <c:numCache>
                <c:formatCode>0.0000</c:formatCode>
                <c:ptCount val="3"/>
                <c:pt idx="0">
                  <c:v>0</c:v>
                </c:pt>
                <c:pt idx="1">
                  <c:v>9.8006667763894835E-4</c:v>
                </c:pt>
                <c:pt idx="2">
                  <c:v>-2.5146290621612041E-20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75032"/>
        <c:axId val="222451504"/>
      </c:scatterChart>
      <c:valAx>
        <c:axId val="166675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2451504"/>
        <c:crosses val="autoZero"/>
        <c:crossBetween val="midCat"/>
      </c:valAx>
      <c:valAx>
        <c:axId val="222451504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666750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208324966724804E-3"/>
          <c:y val="1.9265154014095821E-2"/>
          <c:w val="0.94433660981675305"/>
          <c:h val="0.92990051234044502"/>
        </c:manualLayout>
      </c:layout>
      <c:scatterChart>
        <c:scatterStyle val="lineMarker"/>
        <c:varyColors val="0"/>
        <c:ser>
          <c:idx val="0"/>
          <c:order val="0"/>
          <c:xVal>
            <c:numRef>
              <c:f>Погрешность!$A$15:$A$17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Погрешность!$B$15:$B$17</c:f>
              <c:numCache>
                <c:formatCode>0.00</c:formatCode>
                <c:ptCount val="3"/>
                <c:pt idx="0">
                  <c:v>1.7714452261872182E-2</c:v>
                </c:pt>
                <c:pt idx="1">
                  <c:v>-6.5399577066941397E-3</c:v>
                </c:pt>
                <c:pt idx="2">
                  <c:v>-2.387353352138355E-2</c:v>
                </c:pt>
              </c:numCache>
            </c:numRef>
          </c:yVal>
          <c:smooth val="0"/>
        </c:ser>
        <c:ser>
          <c:idx val="1"/>
          <c:order val="1"/>
          <c:xVal>
            <c:numRef>
              <c:f>Погрешность!$A$15:$A$17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Погрешность!$C$15:$C$17</c:f>
              <c:numCache>
                <c:formatCode>0.00</c:formatCode>
                <c:ptCount val="3"/>
                <c:pt idx="0">
                  <c:v>1.8024878068407801E-2</c:v>
                </c:pt>
                <c:pt idx="1">
                  <c:v>-2.3467917192331752E-3</c:v>
                </c:pt>
                <c:pt idx="2">
                  <c:v>-2.1810385645650854E-2</c:v>
                </c:pt>
              </c:numCache>
            </c:numRef>
          </c:yVal>
          <c:smooth val="0"/>
        </c:ser>
        <c:ser>
          <c:idx val="2"/>
          <c:order val="2"/>
          <c:xVal>
            <c:numRef>
              <c:f>Погрешность!$A$15:$A$17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Погрешность!$D$15:$D$17</c:f>
              <c:numCache>
                <c:formatCode>0.00</c:formatCode>
                <c:ptCount val="3"/>
                <c:pt idx="0">
                  <c:v>1.8874707848137717E-2</c:v>
                </c:pt>
                <c:pt idx="1">
                  <c:v>2.987488348146738E-3</c:v>
                </c:pt>
                <c:pt idx="2">
                  <c:v>-1.9961133295174349E-2</c:v>
                </c:pt>
              </c:numCache>
            </c:numRef>
          </c:yVal>
          <c:smooth val="0"/>
        </c:ser>
        <c:ser>
          <c:idx val="3"/>
          <c:order val="3"/>
          <c:xVal>
            <c:numRef>
              <c:f>Погрешность!$A$15:$A$17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Погрешность!$E$15:$E$17</c:f>
              <c:numCache>
                <c:formatCode>0.00</c:formatCode>
                <c:ptCount val="3"/>
                <c:pt idx="0">
                  <c:v>2.0346448879049461E-2</c:v>
                </c:pt>
                <c:pt idx="1">
                  <c:v>8.6523829317489542E-3</c:v>
                </c:pt>
                <c:pt idx="2">
                  <c:v>-1.7813517122853284E-2</c:v>
                </c:pt>
              </c:numCache>
            </c:numRef>
          </c:yVal>
          <c:smooth val="0"/>
        </c:ser>
        <c:ser>
          <c:idx val="4"/>
          <c:order val="4"/>
          <c:xVal>
            <c:numRef>
              <c:f>Погрешность!$A$15:$A$17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Погрешность!$F$15:$F$17</c:f>
              <c:numCache>
                <c:formatCode>0.00</c:formatCode>
                <c:ptCount val="3"/>
                <c:pt idx="0">
                  <c:v>1.6994909806689051E-2</c:v>
                </c:pt>
                <c:pt idx="1">
                  <c:v>1.264845590111115E-2</c:v>
                </c:pt>
                <c:pt idx="2">
                  <c:v>-1.5139628429805541E-2</c:v>
                </c:pt>
              </c:numCache>
            </c:numRef>
          </c:yVal>
          <c:smooth val="0"/>
        </c:ser>
        <c:ser>
          <c:idx val="5"/>
          <c:order val="5"/>
          <c:xVal>
            <c:numRef>
              <c:f>Погрешность!$A$15:$A$17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Погрешность!$G$15:$G$17</c:f>
              <c:numCache>
                <c:formatCode>0.00</c:formatCode>
                <c:ptCount val="3"/>
                <c:pt idx="0">
                  <c:v>1.4068478285667041E-2</c:v>
                </c:pt>
                <c:pt idx="1">
                  <c:v>1.463147519662387E-2</c:v>
                </c:pt>
                <c:pt idx="2">
                  <c:v>-1.1935623324648148E-2</c:v>
                </c:pt>
              </c:numCache>
            </c:numRef>
          </c:yVal>
          <c:smooth val="0"/>
        </c:ser>
        <c:ser>
          <c:idx val="6"/>
          <c:order val="6"/>
          <c:xVal>
            <c:numRef>
              <c:f>Погрешность!$A$15:$A$17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Погрешность!$H$15:$H$17</c:f>
              <c:numCache>
                <c:formatCode>0.00</c:formatCode>
                <c:ptCount val="3"/>
                <c:pt idx="0">
                  <c:v>1.2056225478049853E-2</c:v>
                </c:pt>
                <c:pt idx="1">
                  <c:v>1.7636385520597046E-2</c:v>
                </c:pt>
                <c:pt idx="2">
                  <c:v>-7.513250623434331E-3</c:v>
                </c:pt>
              </c:numCache>
            </c:numRef>
          </c:yVal>
          <c:smooth val="0"/>
        </c:ser>
        <c:ser>
          <c:idx val="7"/>
          <c:order val="7"/>
          <c:xVal>
            <c:numRef>
              <c:f>Погрешность!$A$15:$A$17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Погрешность!$I$15:$I$17</c:f>
              <c:numCache>
                <c:formatCode>0.00</c:formatCode>
                <c:ptCount val="3"/>
                <c:pt idx="0">
                  <c:v>1.0355072792131992E-2</c:v>
                </c:pt>
                <c:pt idx="1">
                  <c:v>1.8742848027316968E-2</c:v>
                </c:pt>
                <c:pt idx="2">
                  <c:v>-1.7815220112726848E-3</c:v>
                </c:pt>
              </c:numCache>
            </c:numRef>
          </c:yVal>
          <c:smooth val="0"/>
        </c:ser>
        <c:ser>
          <c:idx val="8"/>
          <c:order val="8"/>
          <c:xVal>
            <c:numRef>
              <c:f>Погрешность!$A$15:$A$17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Погрешность!$J$15:$J$17</c:f>
              <c:numCache>
                <c:formatCode>0.00</c:formatCode>
                <c:ptCount val="3"/>
                <c:pt idx="0">
                  <c:v>1.005919292719426E-2</c:v>
                </c:pt>
                <c:pt idx="1">
                  <c:v>1.8379508181503613E-2</c:v>
                </c:pt>
                <c:pt idx="2">
                  <c:v>3.288813999722251E-3</c:v>
                </c:pt>
              </c:numCache>
            </c:numRef>
          </c:yVal>
          <c:smooth val="0"/>
        </c:ser>
        <c:ser>
          <c:idx val="9"/>
          <c:order val="9"/>
          <c:xVal>
            <c:numRef>
              <c:f>Погрешность!$A$15:$A$17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Погрешность!$K$15:$K$17</c:f>
              <c:numCache>
                <c:formatCode>0.00</c:formatCode>
                <c:ptCount val="3"/>
                <c:pt idx="0">
                  <c:v>8.7685055202868512E-3</c:v>
                </c:pt>
                <c:pt idx="1">
                  <c:v>1.6497589872879147E-2</c:v>
                </c:pt>
                <c:pt idx="2">
                  <c:v>9.6944400242371387E-3</c:v>
                </c:pt>
              </c:numCache>
            </c:numRef>
          </c:yVal>
          <c:smooth val="0"/>
        </c:ser>
        <c:ser>
          <c:idx val="10"/>
          <c:order val="10"/>
          <c:xVal>
            <c:numRef>
              <c:f>Погрешность!$A$15:$A$17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Погрешность!$L$15:$L$17</c:f>
              <c:numCache>
                <c:formatCode>0.00</c:formatCode>
                <c:ptCount val="3"/>
                <c:pt idx="0">
                  <c:v>5.3194315746551979E-3</c:v>
                </c:pt>
                <c:pt idx="1">
                  <c:v>1.4333582259556648E-2</c:v>
                </c:pt>
                <c:pt idx="2">
                  <c:v>1.3642311096191406E-2</c:v>
                </c:pt>
              </c:numCache>
            </c:numRef>
          </c:yVal>
          <c:smooth val="0"/>
        </c:ser>
        <c:ser>
          <c:idx val="11"/>
          <c:order val="11"/>
          <c:xVal>
            <c:numRef>
              <c:f>Погрешность!$A$15:$A$17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Погрешность!$M$15:$M$17</c:f>
              <c:numCache>
                <c:formatCode>0.00</c:formatCode>
                <c:ptCount val="3"/>
                <c:pt idx="0">
                  <c:v>2.6799211598316219E-4</c:v>
                </c:pt>
                <c:pt idx="1">
                  <c:v>1.2269632612545286E-2</c:v>
                </c:pt>
                <c:pt idx="2">
                  <c:v>1.6071212535004875E-2</c:v>
                </c:pt>
              </c:numCache>
            </c:numRef>
          </c:yVal>
          <c:smooth val="0"/>
        </c:ser>
        <c:ser>
          <c:idx val="12"/>
          <c:order val="12"/>
          <c:xVal>
            <c:numRef>
              <c:f>Погрешность!$A$15:$A$17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Погрешность!$N$15:$N$17</c:f>
              <c:numCache>
                <c:formatCode>0.00</c:formatCode>
                <c:ptCount val="3"/>
                <c:pt idx="0">
                  <c:v>-4.8949501731154754E-3</c:v>
                </c:pt>
                <c:pt idx="1">
                  <c:v>9.8750948088578237E-3</c:v>
                </c:pt>
                <c:pt idx="2">
                  <c:v>1.9505607838530281E-2</c:v>
                </c:pt>
              </c:numCache>
            </c:numRef>
          </c:yVal>
          <c:smooth val="0"/>
        </c:ser>
        <c:ser>
          <c:idx val="13"/>
          <c:order val="13"/>
          <c:xVal>
            <c:numRef>
              <c:f>Погрешность!$A$15:$A$17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Погрешность!$O$15:$O$17</c:f>
              <c:numCache>
                <c:formatCode>0.00</c:formatCode>
                <c:ptCount val="3"/>
                <c:pt idx="0">
                  <c:v>-1.1367412528606735E-2</c:v>
                </c:pt>
                <c:pt idx="1">
                  <c:v>7.8273490098535129E-3</c:v>
                </c:pt>
                <c:pt idx="2">
                  <c:v>2.0199211276308304E-2</c:v>
                </c:pt>
              </c:numCache>
            </c:numRef>
          </c:yVal>
          <c:smooth val="0"/>
        </c:ser>
        <c:ser>
          <c:idx val="14"/>
          <c:order val="14"/>
          <c:xVal>
            <c:numRef>
              <c:f>Погрешность!$A$15:$A$17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Погрешность!$P$15:$P$17</c:f>
              <c:numCache>
                <c:formatCode>0.00</c:formatCode>
                <c:ptCount val="3"/>
                <c:pt idx="0">
                  <c:v>-1.4308052833635898E-2</c:v>
                </c:pt>
                <c:pt idx="1">
                  <c:v>7.2975480086787852E-3</c:v>
                </c:pt>
                <c:pt idx="2">
                  <c:v>1.9458313377533898E-2</c:v>
                </c:pt>
              </c:numCache>
            </c:numRef>
          </c:yVal>
          <c:smooth val="0"/>
        </c:ser>
        <c:ser>
          <c:idx val="15"/>
          <c:order val="15"/>
          <c:xVal>
            <c:numRef>
              <c:f>Погрешность!$A$15:$A$17</c:f>
              <c:numCache>
                <c:formatCode>General</c:formatCode>
                <c:ptCount val="3"/>
                <c:pt idx="0">
                  <c:v>-2.5</c:v>
                </c:pt>
                <c:pt idx="1">
                  <c:v>0</c:v>
                </c:pt>
                <c:pt idx="2">
                  <c:v>2.5</c:v>
                </c:pt>
              </c:numCache>
            </c:numRef>
          </c:xVal>
          <c:yVal>
            <c:numRef>
              <c:f>Погрешность!$Q$15:$Q$17</c:f>
              <c:numCache>
                <c:formatCode>0.00</c:formatCode>
                <c:ptCount val="3"/>
                <c:pt idx="0">
                  <c:v>-1.6401801446468411E-2</c:v>
                </c:pt>
                <c:pt idx="1">
                  <c:v>6.060012577071742E-3</c:v>
                </c:pt>
                <c:pt idx="2">
                  <c:v>1.6387433421858333E-2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670504"/>
        <c:axId val="222651152"/>
      </c:scatterChart>
      <c:valAx>
        <c:axId val="222670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2651152"/>
        <c:crosses val="autoZero"/>
        <c:crossBetween val="midCat"/>
      </c:valAx>
      <c:valAx>
        <c:axId val="22265115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226705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АЧХ1</c:v>
          </c:tx>
          <c:val>
            <c:numRef>
              <c:f>АЧХ!$B$11:$B$28</c:f>
              <c:numCache>
                <c:formatCode>0.0000</c:formatCode>
                <c:ptCount val="18"/>
                <c:pt idx="0">
                  <c:v>0</c:v>
                </c:pt>
                <c:pt idx="1">
                  <c:v>5.1997719167874372</c:v>
                </c:pt>
                <c:pt idx="2">
                  <c:v>1.9988267209136825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576288"/>
        <c:axId val="166324640"/>
      </c:lineChart>
      <c:catAx>
        <c:axId val="167576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6324640"/>
        <c:crosses val="autoZero"/>
        <c:auto val="1"/>
        <c:lblAlgn val="ctr"/>
        <c:lblOffset val="100"/>
        <c:noMultiLvlLbl val="0"/>
      </c:catAx>
      <c:valAx>
        <c:axId val="166324640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6757628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208910</xdr:colOff>
      <xdr:row>28</xdr:row>
      <xdr:rowOff>108857</xdr:rowOff>
    </xdr:from>
    <xdr:to>
      <xdr:col>12</xdr:col>
      <xdr:colOff>1102180</xdr:colOff>
      <xdr:row>54</xdr:row>
      <xdr:rowOff>149679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212911</xdr:colOff>
      <xdr:row>24</xdr:row>
      <xdr:rowOff>67236</xdr:rowOff>
    </xdr:from>
    <xdr:to>
      <xdr:col>16</xdr:col>
      <xdr:colOff>750794</xdr:colOff>
      <xdr:row>45</xdr:row>
      <xdr:rowOff>89647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993320</xdr:colOff>
      <xdr:row>36</xdr:row>
      <xdr:rowOff>149679</xdr:rowOff>
    </xdr:from>
    <xdr:to>
      <xdr:col>13</xdr:col>
      <xdr:colOff>1006928</xdr:colOff>
      <xdr:row>53</xdr:row>
      <xdr:rowOff>108857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R11"/>
  <sheetViews>
    <sheetView workbookViewId="0">
      <selection activeCell="E23" sqref="E23"/>
    </sheetView>
  </sheetViews>
  <sheetFormatPr defaultRowHeight="15" x14ac:dyDescent="0.25"/>
  <cols>
    <col min="1" max="1" width="23.140625" customWidth="1"/>
    <col min="2" max="2" width="18.42578125" customWidth="1"/>
    <col min="3" max="3" width="16.42578125" customWidth="1"/>
    <col min="4" max="4" width="18.7109375" customWidth="1"/>
    <col min="5" max="5" width="12.5703125" customWidth="1"/>
    <col min="6" max="6" width="12.85546875" customWidth="1"/>
    <col min="7" max="7" width="15.85546875" customWidth="1"/>
    <col min="8" max="8" width="16.42578125" customWidth="1"/>
    <col min="9" max="9" width="17" customWidth="1"/>
    <col min="10" max="10" width="11" customWidth="1"/>
    <col min="11" max="11" width="10" customWidth="1"/>
    <col min="12" max="12" width="9.5703125" customWidth="1"/>
    <col min="13" max="13" width="14.7109375" customWidth="1"/>
    <col min="14" max="14" width="12.42578125" customWidth="1"/>
    <col min="15" max="15" width="14.42578125" customWidth="1"/>
    <col min="16" max="16" width="15.85546875" customWidth="1"/>
    <col min="17" max="17" width="16.42578125" customWidth="1"/>
    <col min="18" max="18" width="18.7109375" customWidth="1"/>
    <col min="268" max="268" width="13.42578125" customWidth="1"/>
    <col min="269" max="269" width="11" customWidth="1"/>
    <col min="270" max="270" width="14" customWidth="1"/>
    <col min="271" max="271" width="11.7109375" customWidth="1"/>
    <col min="273" max="273" width="11.5703125" customWidth="1"/>
    <col min="274" max="274" width="12" customWidth="1"/>
  </cols>
  <sheetData>
    <row r="1" spans="1:226" x14ac:dyDescent="0.25">
      <c r="A1" s="66" t="s">
        <v>0</v>
      </c>
      <c r="B1" s="66"/>
      <c r="C1" s="67" t="s">
        <v>78</v>
      </c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8" t="s">
        <v>79</v>
      </c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7" t="s">
        <v>80</v>
      </c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8" t="s">
        <v>81</v>
      </c>
      <c r="AT1" s="68"/>
      <c r="AU1" s="68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7" t="s">
        <v>82</v>
      </c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8" t="s">
        <v>83</v>
      </c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7" t="s">
        <v>84</v>
      </c>
      <c r="CJ1" s="67"/>
      <c r="CK1" s="67"/>
      <c r="CL1" s="67"/>
      <c r="CM1" s="67"/>
      <c r="CN1" s="67"/>
      <c r="CO1" s="67"/>
      <c r="CP1" s="67"/>
      <c r="CQ1" s="67"/>
      <c r="CR1" s="67"/>
      <c r="CS1" s="67"/>
      <c r="CT1" s="67"/>
      <c r="CU1" s="67"/>
      <c r="CV1" s="67"/>
      <c r="CW1" s="68" t="s">
        <v>85</v>
      </c>
      <c r="CX1" s="68"/>
      <c r="CY1" s="68"/>
      <c r="CZ1" s="68"/>
      <c r="DA1" s="68"/>
      <c r="DB1" s="68"/>
      <c r="DC1" s="68"/>
      <c r="DD1" s="68"/>
      <c r="DE1" s="68"/>
      <c r="DF1" s="68"/>
      <c r="DG1" s="68"/>
      <c r="DH1" s="68"/>
      <c r="DI1" s="68"/>
      <c r="DJ1" s="68"/>
      <c r="DK1" s="67" t="s">
        <v>86</v>
      </c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8" t="s">
        <v>87</v>
      </c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8"/>
      <c r="EK1" s="68"/>
      <c r="EL1" s="68"/>
      <c r="EM1" s="67" t="s">
        <v>88</v>
      </c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8" t="s">
        <v>89</v>
      </c>
      <c r="FB1" s="68"/>
      <c r="FC1" s="68"/>
      <c r="FD1" s="68"/>
      <c r="FE1" s="68"/>
      <c r="FF1" s="68"/>
      <c r="FG1" s="68"/>
      <c r="FH1" s="68"/>
      <c r="FI1" s="68"/>
      <c r="FJ1" s="68"/>
      <c r="FK1" s="68"/>
      <c r="FL1" s="68"/>
      <c r="FM1" s="68"/>
      <c r="FN1" s="68"/>
      <c r="FO1" s="67" t="s">
        <v>90</v>
      </c>
      <c r="FP1" s="67"/>
      <c r="FQ1" s="67"/>
      <c r="FR1" s="67"/>
      <c r="FS1" s="67"/>
      <c r="FT1" s="67"/>
      <c r="FU1" s="67"/>
      <c r="FV1" s="67"/>
      <c r="FW1" s="67"/>
      <c r="FX1" s="67"/>
      <c r="FY1" s="67"/>
      <c r="FZ1" s="67"/>
      <c r="GA1" s="67"/>
      <c r="GB1" s="67"/>
      <c r="GC1" s="68" t="s">
        <v>91</v>
      </c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7" t="s">
        <v>92</v>
      </c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8" t="s">
        <v>93</v>
      </c>
      <c r="HF1" s="68"/>
      <c r="HG1" s="68"/>
      <c r="HH1" s="68"/>
      <c r="HI1" s="68"/>
      <c r="HJ1" s="68"/>
      <c r="HK1" s="68"/>
      <c r="HL1" s="68"/>
      <c r="HM1" s="68"/>
      <c r="HN1" s="68"/>
      <c r="HO1" s="68"/>
      <c r="HP1" s="68"/>
      <c r="HQ1" s="68"/>
      <c r="HR1" s="68"/>
    </row>
    <row r="2" spans="1:226" x14ac:dyDescent="0.25">
      <c r="A2" s="64" t="s">
        <v>1</v>
      </c>
      <c r="B2" s="64" t="s">
        <v>2</v>
      </c>
      <c r="C2" s="64" t="s">
        <v>3</v>
      </c>
      <c r="D2" s="64" t="s">
        <v>48</v>
      </c>
      <c r="E2" s="64" t="s">
        <v>49</v>
      </c>
      <c r="F2" s="64" t="s">
        <v>40</v>
      </c>
      <c r="G2" s="64" t="s">
        <v>50</v>
      </c>
      <c r="H2" s="64" t="s">
        <v>99</v>
      </c>
      <c r="I2" s="64" t="s">
        <v>100</v>
      </c>
      <c r="J2" s="64" t="s">
        <v>101</v>
      </c>
      <c r="K2" s="64" t="s">
        <v>102</v>
      </c>
      <c r="L2" s="64" t="s">
        <v>103</v>
      </c>
      <c r="M2" s="64" t="s">
        <v>104</v>
      </c>
      <c r="N2" s="64" t="s">
        <v>105</v>
      </c>
      <c r="O2" s="64" t="s">
        <v>106</v>
      </c>
      <c r="P2" s="64" t="s">
        <v>107</v>
      </c>
      <c r="Q2" s="64" t="s">
        <v>3</v>
      </c>
      <c r="R2" s="64" t="s">
        <v>48</v>
      </c>
      <c r="S2" s="64" t="s">
        <v>49</v>
      </c>
      <c r="T2" s="64" t="s">
        <v>40</v>
      </c>
      <c r="U2" s="64" t="s">
        <v>50</v>
      </c>
      <c r="V2" s="64" t="s">
        <v>99</v>
      </c>
      <c r="W2" s="64" t="s">
        <v>100</v>
      </c>
      <c r="X2" s="64" t="s">
        <v>101</v>
      </c>
      <c r="Y2" s="64" t="s">
        <v>102</v>
      </c>
      <c r="Z2" s="64" t="s">
        <v>103</v>
      </c>
      <c r="AA2" s="64" t="s">
        <v>104</v>
      </c>
      <c r="AB2" s="64" t="s">
        <v>105</v>
      </c>
      <c r="AC2" s="64" t="s">
        <v>106</v>
      </c>
      <c r="AD2" s="64" t="s">
        <v>107</v>
      </c>
      <c r="AE2" s="64" t="s">
        <v>3</v>
      </c>
      <c r="AF2" s="64" t="s">
        <v>48</v>
      </c>
      <c r="AG2" s="64" t="s">
        <v>49</v>
      </c>
      <c r="AH2" s="64" t="s">
        <v>40</v>
      </c>
      <c r="AI2" s="64" t="s">
        <v>50</v>
      </c>
      <c r="AJ2" s="64" t="s">
        <v>99</v>
      </c>
      <c r="AK2" s="64" t="s">
        <v>100</v>
      </c>
      <c r="AL2" s="64" t="s">
        <v>101</v>
      </c>
      <c r="AM2" s="64" t="s">
        <v>102</v>
      </c>
      <c r="AN2" s="64" t="s">
        <v>103</v>
      </c>
      <c r="AO2" s="64" t="s">
        <v>104</v>
      </c>
      <c r="AP2" s="64" t="s">
        <v>105</v>
      </c>
      <c r="AQ2" s="64" t="s">
        <v>106</v>
      </c>
      <c r="AR2" s="64" t="s">
        <v>107</v>
      </c>
      <c r="AS2" s="64" t="s">
        <v>3</v>
      </c>
      <c r="AT2" s="64" t="s">
        <v>48</v>
      </c>
      <c r="AU2" s="64" t="s">
        <v>49</v>
      </c>
      <c r="AV2" s="64" t="s">
        <v>40</v>
      </c>
      <c r="AW2" s="64" t="s">
        <v>50</v>
      </c>
      <c r="AX2" s="64" t="s">
        <v>99</v>
      </c>
      <c r="AY2" s="64" t="s">
        <v>100</v>
      </c>
      <c r="AZ2" s="64" t="s">
        <v>101</v>
      </c>
      <c r="BA2" s="64" t="s">
        <v>102</v>
      </c>
      <c r="BB2" s="64" t="s">
        <v>103</v>
      </c>
      <c r="BC2" s="64" t="s">
        <v>104</v>
      </c>
      <c r="BD2" s="64" t="s">
        <v>105</v>
      </c>
      <c r="BE2" s="64" t="s">
        <v>106</v>
      </c>
      <c r="BF2" s="64" t="s">
        <v>107</v>
      </c>
      <c r="BG2" s="64" t="s">
        <v>3</v>
      </c>
      <c r="BH2" s="64" t="s">
        <v>48</v>
      </c>
      <c r="BI2" s="64" t="s">
        <v>49</v>
      </c>
      <c r="BJ2" s="64" t="s">
        <v>40</v>
      </c>
      <c r="BK2" s="64" t="s">
        <v>50</v>
      </c>
      <c r="BL2" s="64" t="s">
        <v>99</v>
      </c>
      <c r="BM2" s="64" t="s">
        <v>100</v>
      </c>
      <c r="BN2" s="64" t="s">
        <v>101</v>
      </c>
      <c r="BO2" s="64" t="s">
        <v>102</v>
      </c>
      <c r="BP2" s="64" t="s">
        <v>103</v>
      </c>
      <c r="BQ2" s="64" t="s">
        <v>104</v>
      </c>
      <c r="BR2" s="64" t="s">
        <v>105</v>
      </c>
      <c r="BS2" s="64" t="s">
        <v>106</v>
      </c>
      <c r="BT2" s="64" t="s">
        <v>107</v>
      </c>
      <c r="BU2" s="64" t="s">
        <v>3</v>
      </c>
      <c r="BV2" s="64" t="s">
        <v>48</v>
      </c>
      <c r="BW2" s="64" t="s">
        <v>49</v>
      </c>
      <c r="BX2" s="64" t="s">
        <v>40</v>
      </c>
      <c r="BY2" s="64" t="s">
        <v>50</v>
      </c>
      <c r="BZ2" s="64" t="s">
        <v>99</v>
      </c>
      <c r="CA2" s="64" t="s">
        <v>100</v>
      </c>
      <c r="CB2" s="64" t="s">
        <v>101</v>
      </c>
      <c r="CC2" s="64" t="s">
        <v>102</v>
      </c>
      <c r="CD2" s="64" t="s">
        <v>103</v>
      </c>
      <c r="CE2" s="64" t="s">
        <v>104</v>
      </c>
      <c r="CF2" s="64" t="s">
        <v>105</v>
      </c>
      <c r="CG2" s="64" t="s">
        <v>106</v>
      </c>
      <c r="CH2" s="64" t="s">
        <v>107</v>
      </c>
      <c r="CI2" s="64" t="s">
        <v>3</v>
      </c>
      <c r="CJ2" s="64" t="s">
        <v>48</v>
      </c>
      <c r="CK2" s="64" t="s">
        <v>49</v>
      </c>
      <c r="CL2" s="64" t="s">
        <v>40</v>
      </c>
      <c r="CM2" s="64" t="s">
        <v>50</v>
      </c>
      <c r="CN2" s="64" t="s">
        <v>99</v>
      </c>
      <c r="CO2" s="64" t="s">
        <v>100</v>
      </c>
      <c r="CP2" s="64" t="s">
        <v>101</v>
      </c>
      <c r="CQ2" s="64" t="s">
        <v>102</v>
      </c>
      <c r="CR2" s="64" t="s">
        <v>103</v>
      </c>
      <c r="CS2" s="64" t="s">
        <v>104</v>
      </c>
      <c r="CT2" s="64" t="s">
        <v>105</v>
      </c>
      <c r="CU2" s="64" t="s">
        <v>106</v>
      </c>
      <c r="CV2" s="64" t="s">
        <v>107</v>
      </c>
      <c r="CW2" s="64" t="s">
        <v>3</v>
      </c>
      <c r="CX2" s="64" t="s">
        <v>48</v>
      </c>
      <c r="CY2" s="64" t="s">
        <v>49</v>
      </c>
      <c r="CZ2" s="64" t="s">
        <v>40</v>
      </c>
      <c r="DA2" s="64" t="s">
        <v>50</v>
      </c>
      <c r="DB2" s="64" t="s">
        <v>99</v>
      </c>
      <c r="DC2" s="64" t="s">
        <v>100</v>
      </c>
      <c r="DD2" s="64" t="s">
        <v>101</v>
      </c>
      <c r="DE2" s="64" t="s">
        <v>102</v>
      </c>
      <c r="DF2" s="64" t="s">
        <v>103</v>
      </c>
      <c r="DG2" s="64" t="s">
        <v>104</v>
      </c>
      <c r="DH2" s="64" t="s">
        <v>105</v>
      </c>
      <c r="DI2" s="64" t="s">
        <v>106</v>
      </c>
      <c r="DJ2" s="64" t="s">
        <v>107</v>
      </c>
      <c r="DK2" s="64" t="s">
        <v>3</v>
      </c>
      <c r="DL2" s="64" t="s">
        <v>48</v>
      </c>
      <c r="DM2" s="64" t="s">
        <v>49</v>
      </c>
      <c r="DN2" s="64" t="s">
        <v>40</v>
      </c>
      <c r="DO2" s="64" t="s">
        <v>50</v>
      </c>
      <c r="DP2" s="64" t="s">
        <v>99</v>
      </c>
      <c r="DQ2" s="64" t="s">
        <v>100</v>
      </c>
      <c r="DR2" s="64" t="s">
        <v>101</v>
      </c>
      <c r="DS2" s="64" t="s">
        <v>102</v>
      </c>
      <c r="DT2" s="64" t="s">
        <v>103</v>
      </c>
      <c r="DU2" s="64" t="s">
        <v>104</v>
      </c>
      <c r="DV2" s="64" t="s">
        <v>105</v>
      </c>
      <c r="DW2" s="64" t="s">
        <v>106</v>
      </c>
      <c r="DX2" s="64" t="s">
        <v>107</v>
      </c>
      <c r="DY2" s="64" t="s">
        <v>3</v>
      </c>
      <c r="DZ2" s="64" t="s">
        <v>48</v>
      </c>
      <c r="EA2" s="64" t="s">
        <v>49</v>
      </c>
      <c r="EB2" s="64" t="s">
        <v>40</v>
      </c>
      <c r="EC2" s="64" t="s">
        <v>50</v>
      </c>
      <c r="ED2" s="64" t="s">
        <v>99</v>
      </c>
      <c r="EE2" s="64" t="s">
        <v>100</v>
      </c>
      <c r="EF2" s="64" t="s">
        <v>101</v>
      </c>
      <c r="EG2" s="64" t="s">
        <v>102</v>
      </c>
      <c r="EH2" s="64" t="s">
        <v>103</v>
      </c>
      <c r="EI2" s="64" t="s">
        <v>104</v>
      </c>
      <c r="EJ2" s="64" t="s">
        <v>105</v>
      </c>
      <c r="EK2" s="64" t="s">
        <v>106</v>
      </c>
      <c r="EL2" s="64" t="s">
        <v>107</v>
      </c>
      <c r="EM2" s="64" t="s">
        <v>3</v>
      </c>
      <c r="EN2" s="64" t="s">
        <v>48</v>
      </c>
      <c r="EO2" s="64" t="s">
        <v>49</v>
      </c>
      <c r="EP2" s="64" t="s">
        <v>40</v>
      </c>
      <c r="EQ2" s="64" t="s">
        <v>50</v>
      </c>
      <c r="ER2" s="64" t="s">
        <v>99</v>
      </c>
      <c r="ES2" s="64" t="s">
        <v>100</v>
      </c>
      <c r="ET2" s="64" t="s">
        <v>101</v>
      </c>
      <c r="EU2" s="64" t="s">
        <v>102</v>
      </c>
      <c r="EV2" s="64" t="s">
        <v>103</v>
      </c>
      <c r="EW2" s="64" t="s">
        <v>104</v>
      </c>
      <c r="EX2" s="64" t="s">
        <v>105</v>
      </c>
      <c r="EY2" s="64" t="s">
        <v>106</v>
      </c>
      <c r="EZ2" s="64" t="s">
        <v>107</v>
      </c>
      <c r="FA2" s="64" t="s">
        <v>3</v>
      </c>
      <c r="FB2" s="64" t="s">
        <v>48</v>
      </c>
      <c r="FC2" s="64" t="s">
        <v>49</v>
      </c>
      <c r="FD2" s="64" t="s">
        <v>40</v>
      </c>
      <c r="FE2" s="64" t="s">
        <v>50</v>
      </c>
      <c r="FF2" s="64" t="s">
        <v>99</v>
      </c>
      <c r="FG2" s="64" t="s">
        <v>100</v>
      </c>
      <c r="FH2" s="64" t="s">
        <v>101</v>
      </c>
      <c r="FI2" s="64" t="s">
        <v>102</v>
      </c>
      <c r="FJ2" s="64" t="s">
        <v>103</v>
      </c>
      <c r="FK2" s="64" t="s">
        <v>104</v>
      </c>
      <c r="FL2" s="64" t="s">
        <v>105</v>
      </c>
      <c r="FM2" s="64" t="s">
        <v>106</v>
      </c>
      <c r="FN2" s="64" t="s">
        <v>107</v>
      </c>
      <c r="FO2" s="64" t="s">
        <v>3</v>
      </c>
      <c r="FP2" s="64" t="s">
        <v>48</v>
      </c>
      <c r="FQ2" s="64" t="s">
        <v>49</v>
      </c>
      <c r="FR2" s="64" t="s">
        <v>40</v>
      </c>
      <c r="FS2" s="64" t="s">
        <v>50</v>
      </c>
      <c r="FT2" s="64" t="s">
        <v>99</v>
      </c>
      <c r="FU2" s="64" t="s">
        <v>100</v>
      </c>
      <c r="FV2" s="64" t="s">
        <v>101</v>
      </c>
      <c r="FW2" s="64" t="s">
        <v>102</v>
      </c>
      <c r="FX2" s="64" t="s">
        <v>103</v>
      </c>
      <c r="FY2" s="64" t="s">
        <v>104</v>
      </c>
      <c r="FZ2" s="64" t="s">
        <v>105</v>
      </c>
      <c r="GA2" s="64" t="s">
        <v>106</v>
      </c>
      <c r="GB2" s="64" t="s">
        <v>107</v>
      </c>
      <c r="GC2" s="64" t="s">
        <v>3</v>
      </c>
      <c r="GD2" s="64" t="s">
        <v>48</v>
      </c>
      <c r="GE2" s="64" t="s">
        <v>49</v>
      </c>
      <c r="GF2" s="64" t="s">
        <v>40</v>
      </c>
      <c r="GG2" s="64" t="s">
        <v>50</v>
      </c>
      <c r="GH2" s="64" t="s">
        <v>99</v>
      </c>
      <c r="GI2" s="64" t="s">
        <v>100</v>
      </c>
      <c r="GJ2" s="64" t="s">
        <v>101</v>
      </c>
      <c r="GK2" s="64" t="s">
        <v>102</v>
      </c>
      <c r="GL2" s="64" t="s">
        <v>103</v>
      </c>
      <c r="GM2" s="64" t="s">
        <v>104</v>
      </c>
      <c r="GN2" s="64" t="s">
        <v>105</v>
      </c>
      <c r="GO2" s="64" t="s">
        <v>106</v>
      </c>
      <c r="GP2" s="64" t="s">
        <v>107</v>
      </c>
      <c r="GQ2" s="64" t="s">
        <v>3</v>
      </c>
      <c r="GR2" s="64" t="s">
        <v>48</v>
      </c>
      <c r="GS2" s="64" t="s">
        <v>49</v>
      </c>
      <c r="GT2" s="64" t="s">
        <v>40</v>
      </c>
      <c r="GU2" s="64" t="s">
        <v>50</v>
      </c>
      <c r="GV2" s="64" t="s">
        <v>99</v>
      </c>
      <c r="GW2" s="64" t="s">
        <v>100</v>
      </c>
      <c r="GX2" s="64" t="s">
        <v>101</v>
      </c>
      <c r="GY2" s="64" t="s">
        <v>102</v>
      </c>
      <c r="GZ2" s="64" t="s">
        <v>103</v>
      </c>
      <c r="HA2" s="64" t="s">
        <v>104</v>
      </c>
      <c r="HB2" s="64" t="s">
        <v>105</v>
      </c>
      <c r="HC2" s="64" t="s">
        <v>106</v>
      </c>
      <c r="HD2" s="64" t="s">
        <v>107</v>
      </c>
      <c r="HE2" s="64" t="s">
        <v>3</v>
      </c>
      <c r="HF2" s="64" t="s">
        <v>48</v>
      </c>
      <c r="HG2" s="64" t="s">
        <v>49</v>
      </c>
      <c r="HH2" s="64" t="s">
        <v>40</v>
      </c>
      <c r="HI2" s="64" t="s">
        <v>50</v>
      </c>
      <c r="HJ2" s="64" t="s">
        <v>99</v>
      </c>
      <c r="HK2" s="64" t="s">
        <v>100</v>
      </c>
      <c r="HL2" s="64" t="s">
        <v>101</v>
      </c>
      <c r="HM2" s="64" t="s">
        <v>102</v>
      </c>
      <c r="HN2" s="64" t="s">
        <v>103</v>
      </c>
      <c r="HO2" s="64" t="s">
        <v>104</v>
      </c>
      <c r="HP2" s="64" t="s">
        <v>105</v>
      </c>
      <c r="HQ2" s="64" t="s">
        <v>106</v>
      </c>
      <c r="HR2" s="64" t="s">
        <v>107</v>
      </c>
    </row>
    <row r="3" spans="1:226" x14ac:dyDescent="0.25">
      <c r="A3" s="66" t="s">
        <v>97</v>
      </c>
      <c r="B3" s="64" t="s">
        <v>94</v>
      </c>
      <c r="C3" s="64">
        <v>-2.4991142773869064</v>
      </c>
      <c r="D3" s="64">
        <v>4.2598724324443418E-8</v>
      </c>
      <c r="E3" s="64">
        <v>2.4991142858235813</v>
      </c>
      <c r="F3" s="64">
        <v>1.2946128845214844E-3</v>
      </c>
      <c r="G3" s="64">
        <v>2.0639458404823373E-4</v>
      </c>
      <c r="H3" s="64">
        <v>-0.24365957410177161</v>
      </c>
      <c r="I3" s="64">
        <v>5.3097082811960634</v>
      </c>
      <c r="J3" s="64">
        <v>0.37</v>
      </c>
      <c r="K3" s="64">
        <v>-2.4998164176940918</v>
      </c>
      <c r="L3" s="64">
        <v>0.71</v>
      </c>
      <c r="M3" s="64">
        <v>-2.4985218048095703</v>
      </c>
      <c r="N3" s="64">
        <v>4</v>
      </c>
      <c r="O3" s="64">
        <v>7.5090614634957742</v>
      </c>
      <c r="P3" s="64">
        <v>0.90689968200000004</v>
      </c>
      <c r="Q3" s="64">
        <v>-2.4990987560965796</v>
      </c>
      <c r="R3" s="64">
        <v>4.2052653492197741E-8</v>
      </c>
      <c r="S3" s="64">
        <v>2.499098764425157</v>
      </c>
      <c r="T3" s="64">
        <v>1.4564990997314453E-3</v>
      </c>
      <c r="U3" s="64">
        <v>2.0506743645005597E-4</v>
      </c>
      <c r="V3" s="64">
        <v>0.99917001041675158</v>
      </c>
      <c r="W3" s="64">
        <v>6.6682035787099565</v>
      </c>
      <c r="X3" s="64">
        <v>0.76</v>
      </c>
      <c r="Y3" s="64">
        <v>-2.4997305870056152</v>
      </c>
      <c r="Z3" s="64">
        <v>0.46</v>
      </c>
      <c r="AA3" s="64">
        <v>-2.4982740879058838</v>
      </c>
      <c r="AB3" s="64">
        <v>4</v>
      </c>
      <c r="AC3" s="64">
        <v>9.4302639376557895</v>
      </c>
      <c r="AD3" s="64">
        <v>0.90689968200000004</v>
      </c>
      <c r="AE3" s="64">
        <v>-2.4990562646075931</v>
      </c>
      <c r="AF3" s="64">
        <v>4.6461177968384587E-8</v>
      </c>
      <c r="AG3" s="64">
        <v>2.4990562738094408</v>
      </c>
      <c r="AH3" s="64">
        <v>1.3756752014160156E-3</v>
      </c>
      <c r="AI3" s="64">
        <v>2.155485513019853E-4</v>
      </c>
      <c r="AJ3" s="64">
        <v>-0.57374085849629275</v>
      </c>
      <c r="AK3" s="64">
        <v>5.0658184220842895</v>
      </c>
      <c r="AL3" s="64">
        <v>0.33</v>
      </c>
      <c r="AM3" s="64">
        <v>-2.49973464012146</v>
      </c>
      <c r="AN3" s="64">
        <v>0.17</v>
      </c>
      <c r="AO3" s="64">
        <v>-2.4983589649200439</v>
      </c>
      <c r="AP3" s="64">
        <v>4</v>
      </c>
      <c r="AQ3" s="64">
        <v>7.1641491170153957</v>
      </c>
      <c r="AR3" s="64">
        <v>0.90689968200000004</v>
      </c>
      <c r="AS3" s="64">
        <v>-2.4989826775560475</v>
      </c>
      <c r="AT3" s="64">
        <v>5.1010053157917347E-8</v>
      </c>
      <c r="AU3" s="64">
        <v>2.4989826876591184</v>
      </c>
      <c r="AV3" s="64">
        <v>1.5375614166259766E-3</v>
      </c>
      <c r="AW3" s="64">
        <v>2.2585405278169649E-4</v>
      </c>
      <c r="AX3" s="64">
        <v>0.87197434616062353</v>
      </c>
      <c r="AY3" s="64">
        <v>6.3573650145427099</v>
      </c>
      <c r="AZ3" s="64">
        <v>0.22</v>
      </c>
      <c r="BA3" s="64">
        <v>-2.4997265338897705</v>
      </c>
      <c r="BB3" s="64">
        <v>0.42</v>
      </c>
      <c r="BC3" s="64">
        <v>-2.4981889724731445</v>
      </c>
      <c r="BD3" s="64">
        <v>4</v>
      </c>
      <c r="BE3" s="64">
        <v>8.9906718245028525</v>
      </c>
      <c r="BF3" s="64">
        <v>0.90689968200000004</v>
      </c>
      <c r="BG3" s="64">
        <v>-2.4991502545096655</v>
      </c>
      <c r="BH3" s="64">
        <v>6.6611209932355824E-8</v>
      </c>
      <c r="BI3" s="64">
        <v>2.4991502677018227</v>
      </c>
      <c r="BJ3" s="64">
        <v>1.537322998046875E-3</v>
      </c>
      <c r="BK3" s="64">
        <v>2.5809147590022386E-4</v>
      </c>
      <c r="BL3" s="64">
        <v>-0.42153635117495131</v>
      </c>
      <c r="BM3" s="64">
        <v>3.8790536942647997</v>
      </c>
      <c r="BN3" s="64">
        <v>0.28999999999999998</v>
      </c>
      <c r="BO3" s="64">
        <v>-2.4999675750732422</v>
      </c>
      <c r="BP3" s="64">
        <v>0.84</v>
      </c>
      <c r="BQ3" s="64">
        <v>-2.4984302520751953</v>
      </c>
      <c r="BR3" s="64">
        <v>4</v>
      </c>
      <c r="BS3" s="64">
        <v>5.4858103435907308</v>
      </c>
      <c r="BT3" s="64">
        <v>0.90689968200000004</v>
      </c>
      <c r="BU3" s="64">
        <v>-2.4992965760857166</v>
      </c>
      <c r="BV3" s="64">
        <v>7.6674173105786045E-8</v>
      </c>
      <c r="BW3" s="64">
        <v>2.4992965912699256</v>
      </c>
      <c r="BX3" s="64">
        <v>1.5375614166259766E-3</v>
      </c>
      <c r="BY3" s="64">
        <v>2.7690101680164707E-4</v>
      </c>
      <c r="BZ3" s="64">
        <v>0.51145141479297818</v>
      </c>
      <c r="CA3" s="64">
        <v>3.6662729331693047</v>
      </c>
      <c r="CB3" s="64">
        <v>0.36</v>
      </c>
      <c r="CC3" s="64">
        <v>-2.4999628067016602</v>
      </c>
      <c r="CD3" s="64">
        <v>0.97</v>
      </c>
      <c r="CE3" s="64">
        <v>-2.4984252452850342</v>
      </c>
      <c r="CF3" s="64">
        <v>4</v>
      </c>
      <c r="CG3" s="64">
        <v>5.1848929054380717</v>
      </c>
      <c r="CH3" s="64">
        <v>0.90689968200000004</v>
      </c>
      <c r="CI3" s="64">
        <v>-2.4993971887260975</v>
      </c>
      <c r="CJ3" s="64">
        <v>6.3855043656227747E-8</v>
      </c>
      <c r="CK3" s="64">
        <v>2.4993972013711545</v>
      </c>
      <c r="CL3" s="64">
        <v>1.3754367828369141E-3</v>
      </c>
      <c r="CM3" s="64">
        <v>2.5269555527596393E-4</v>
      </c>
      <c r="CN3" s="64">
        <v>0.44521805488021043</v>
      </c>
      <c r="CO3" s="64">
        <v>4.4848282078648829</v>
      </c>
      <c r="CP3" s="64">
        <v>0.18</v>
      </c>
      <c r="CQ3" s="64">
        <v>-2.5001220703125</v>
      </c>
      <c r="CR3" s="64">
        <v>0.34</v>
      </c>
      <c r="CS3" s="64">
        <v>-2.4987466335296631</v>
      </c>
      <c r="CT3" s="64">
        <v>4</v>
      </c>
      <c r="CU3" s="64">
        <v>6.3425048764620593</v>
      </c>
      <c r="CV3" s="64">
        <v>0.90689968200000004</v>
      </c>
      <c r="CW3" s="64">
        <v>-2.4994822463603934</v>
      </c>
      <c r="CX3" s="64">
        <v>3.0055557158762279E-8</v>
      </c>
      <c r="CY3" s="64">
        <v>2.4994822523120184</v>
      </c>
      <c r="CZ3" s="64">
        <v>1.2137889862060547E-3</v>
      </c>
      <c r="DA3" s="64">
        <v>1.7336538627639106E-4</v>
      </c>
      <c r="DB3" s="64">
        <v>-0.2615981088349314</v>
      </c>
      <c r="DC3" s="64">
        <v>6.2860662852431899</v>
      </c>
      <c r="DD3" s="64">
        <v>0.54</v>
      </c>
      <c r="DE3" s="64">
        <v>-2.5000452995300293</v>
      </c>
      <c r="DF3" s="64">
        <v>0.23</v>
      </c>
      <c r="DG3" s="64">
        <v>-2.4988315105438232</v>
      </c>
      <c r="DH3" s="64">
        <v>4</v>
      </c>
      <c r="DI3" s="64">
        <v>8.889840194547725</v>
      </c>
      <c r="DJ3" s="64">
        <v>0.90689968200000004</v>
      </c>
      <c r="DK3" s="64">
        <v>-2.4994970403536403</v>
      </c>
      <c r="DL3" s="64">
        <v>3.7492364774579681E-8</v>
      </c>
      <c r="DM3" s="64">
        <v>2.4994970477778642</v>
      </c>
      <c r="DN3" s="64">
        <v>1.2948513031005859E-3</v>
      </c>
      <c r="DO3" s="64">
        <v>1.9362945223952806E-4</v>
      </c>
      <c r="DP3" s="64">
        <v>0.9939790844567773</v>
      </c>
      <c r="DQ3" s="64">
        <v>6.757641916100253</v>
      </c>
      <c r="DR3" s="64">
        <v>0.04</v>
      </c>
      <c r="DS3" s="64">
        <v>-2.5001142024993896</v>
      </c>
      <c r="DT3" s="64">
        <v>0.3</v>
      </c>
      <c r="DU3" s="64">
        <v>-2.4988193511962891</v>
      </c>
      <c r="DV3" s="64">
        <v>4</v>
      </c>
      <c r="DW3" s="64">
        <v>9.5567488473889721</v>
      </c>
      <c r="DX3" s="64">
        <v>0.90689968200000004</v>
      </c>
      <c r="DY3" s="64">
        <v>-2.4995615747239857</v>
      </c>
      <c r="DZ3" s="64">
        <v>4.287422859168215E-8</v>
      </c>
      <c r="EA3" s="64">
        <v>2.4995615832137044</v>
      </c>
      <c r="EB3" s="64">
        <v>1.2137889862060547E-3</v>
      </c>
      <c r="EC3" s="64">
        <v>2.0706092966004511E-4</v>
      </c>
      <c r="ED3" s="64">
        <v>0.14745408585558176</v>
      </c>
      <c r="EE3" s="64">
        <v>4.4486395700532348</v>
      </c>
      <c r="EF3" s="64">
        <v>0.21</v>
      </c>
      <c r="EG3" s="64">
        <v>-2.5001189708709717</v>
      </c>
      <c r="EH3" s="64">
        <v>0.59</v>
      </c>
      <c r="EI3" s="64">
        <v>-2.4989051818847656</v>
      </c>
      <c r="EJ3" s="64">
        <v>4</v>
      </c>
      <c r="EK3" s="64">
        <v>6.2913264140651304</v>
      </c>
      <c r="EL3" s="64">
        <v>0.90689968200000004</v>
      </c>
      <c r="EM3" s="64">
        <v>-2.4997340284212672</v>
      </c>
      <c r="EN3" s="64">
        <v>9.4231125620706507E-8</v>
      </c>
      <c r="EO3" s="64">
        <v>2.4997340470791105</v>
      </c>
      <c r="EP3" s="64">
        <v>1.7800331115722656E-3</v>
      </c>
      <c r="EQ3" s="64">
        <v>3.0697088725269454E-4</v>
      </c>
      <c r="ER3" s="64">
        <v>-9.7430136988479743E-2</v>
      </c>
      <c r="ES3" s="64">
        <v>3.9364170818752955</v>
      </c>
      <c r="ET3" s="64">
        <v>7.0000000000000007E-2</v>
      </c>
      <c r="EU3" s="64">
        <v>-2.5006003379821777</v>
      </c>
      <c r="EV3" s="64">
        <v>0.83000000000000007</v>
      </c>
      <c r="EW3" s="64">
        <v>-2.4988203048706055</v>
      </c>
      <c r="EX3" s="64">
        <v>4</v>
      </c>
      <c r="EY3" s="64">
        <v>5.5669344243329819</v>
      </c>
      <c r="EZ3" s="64">
        <v>0.90689968200000004</v>
      </c>
      <c r="FA3" s="64">
        <v>-2.4999866003942008</v>
      </c>
      <c r="FB3" s="64">
        <v>1.5907701182088745E-7</v>
      </c>
      <c r="FC3" s="64">
        <v>2.4999866318884028</v>
      </c>
      <c r="FD3" s="64">
        <v>2.2656917572021484E-3</v>
      </c>
      <c r="FE3" s="64">
        <v>3.9884459607833158E-4</v>
      </c>
      <c r="FF3" s="64">
        <v>6.9143437958217743E-2</v>
      </c>
      <c r="FG3" s="64">
        <v>3.0022240789501167</v>
      </c>
      <c r="FH3" s="64">
        <v>0</v>
      </c>
      <c r="FI3" s="64">
        <v>-2.5010900497436523</v>
      </c>
      <c r="FJ3" s="64">
        <v>0.76</v>
      </c>
      <c r="FK3" s="64">
        <v>-2.4988243579864502</v>
      </c>
      <c r="FL3" s="64">
        <v>4</v>
      </c>
      <c r="FM3" s="64">
        <v>4.2457860097250366</v>
      </c>
      <c r="FN3" s="64">
        <v>0.90689968200000004</v>
      </c>
      <c r="FO3" s="64">
        <v>-2.5002447475086558</v>
      </c>
      <c r="FP3" s="64">
        <v>1.271025809310131E-7</v>
      </c>
      <c r="FQ3" s="64">
        <v>2.5002447726699346</v>
      </c>
      <c r="FR3" s="64">
        <v>1.8610954284667969E-3</v>
      </c>
      <c r="FS3" s="64">
        <v>3.5651448908987287E-4</v>
      </c>
      <c r="FT3" s="64">
        <v>0.48637924176565561</v>
      </c>
      <c r="FU3" s="64">
        <v>2.9075678603022963</v>
      </c>
      <c r="FV3" s="64">
        <v>0.17</v>
      </c>
      <c r="FW3" s="64">
        <v>-2.5010170936584473</v>
      </c>
      <c r="FX3" s="64">
        <v>0.86</v>
      </c>
      <c r="FY3" s="64">
        <v>-2.4991559982299805</v>
      </c>
      <c r="FZ3" s="64">
        <v>4</v>
      </c>
      <c r="GA3" s="64">
        <v>4.1119219015506285</v>
      </c>
      <c r="GB3" s="64">
        <v>0.90689968200000004</v>
      </c>
      <c r="GC3" s="64">
        <v>-2.5005683706264303</v>
      </c>
      <c r="GD3" s="64">
        <v>9.1349902686450822E-8</v>
      </c>
      <c r="GE3" s="64">
        <v>2.5005683887077539</v>
      </c>
      <c r="GF3" s="64">
        <v>1.6181468963623047E-3</v>
      </c>
      <c r="GG3" s="64">
        <v>3.0224146420776025E-4</v>
      </c>
      <c r="GH3" s="64">
        <v>-0.25714587344853757</v>
      </c>
      <c r="GI3" s="64">
        <v>3.2466520408915978</v>
      </c>
      <c r="GJ3" s="64">
        <v>0.1</v>
      </c>
      <c r="GK3" s="64">
        <v>-2.5015082359313965</v>
      </c>
      <c r="GL3" s="64">
        <v>0.79</v>
      </c>
      <c r="GM3" s="64">
        <v>-2.4998900890350342</v>
      </c>
      <c r="GN3" s="64">
        <v>4</v>
      </c>
      <c r="GO3" s="64">
        <v>4.5914593485251372</v>
      </c>
      <c r="GP3" s="64">
        <v>0.90689968200000004</v>
      </c>
      <c r="GQ3" s="64">
        <v>-2.5007154026416818</v>
      </c>
      <c r="GR3" s="64">
        <v>7.4493710741970076E-8</v>
      </c>
      <c r="GS3" s="64">
        <v>2.5007154173857118</v>
      </c>
      <c r="GT3" s="64">
        <v>1.537322998046875E-3</v>
      </c>
      <c r="GU3" s="64">
        <v>2.7293536000666914E-4</v>
      </c>
      <c r="GV3" s="64">
        <v>0.57080124489940465</v>
      </c>
      <c r="GW3" s="64">
        <v>3.4503409478469318</v>
      </c>
      <c r="GX3" s="64">
        <v>0.03</v>
      </c>
      <c r="GY3" s="64">
        <v>-2.5013446807861328</v>
      </c>
      <c r="GZ3" s="64">
        <v>0.89</v>
      </c>
      <c r="HA3" s="64">
        <v>-2.4998073577880859</v>
      </c>
      <c r="HB3" s="64">
        <v>4</v>
      </c>
      <c r="HC3" s="64">
        <v>4.8795189632456921</v>
      </c>
      <c r="HD3" s="64">
        <v>0.90689968200000004</v>
      </c>
      <c r="HE3" s="64">
        <v>-2.5008200900723234</v>
      </c>
      <c r="HF3" s="64">
        <v>3.8661151416981902E-8</v>
      </c>
      <c r="HG3" s="64">
        <v>2.5008200977239397</v>
      </c>
      <c r="HH3" s="64">
        <v>1.3756752014160156E-3</v>
      </c>
      <c r="HI3" s="64">
        <v>1.9662439171420695E-4</v>
      </c>
      <c r="HJ3" s="64">
        <v>5.2188223923342845E-2</v>
      </c>
      <c r="HK3" s="64">
        <v>6.3673301271138545</v>
      </c>
      <c r="HL3" s="64">
        <v>0.27</v>
      </c>
      <c r="HM3" s="64">
        <v>-2.5015099048614502</v>
      </c>
      <c r="HN3" s="64">
        <v>0.36</v>
      </c>
      <c r="HO3" s="64">
        <v>-2.5001342296600342</v>
      </c>
      <c r="HP3" s="64">
        <v>4</v>
      </c>
      <c r="HQ3" s="64">
        <v>9.0047646218515087</v>
      </c>
      <c r="HR3" s="64">
        <v>0.90689968200000004</v>
      </c>
    </row>
    <row r="4" spans="1:226" x14ac:dyDescent="0.25">
      <c r="A4" s="66"/>
      <c r="B4" s="64" t="s">
        <v>95</v>
      </c>
      <c r="C4" s="64">
        <v>-3.2699788533470695E-4</v>
      </c>
      <c r="D4" s="64">
        <v>1.4105022570835227E-7</v>
      </c>
      <c r="E4" s="64">
        <v>4.9652648942860047E-4</v>
      </c>
      <c r="F4" s="64">
        <v>2.022924309130758E-3</v>
      </c>
      <c r="G4" s="64">
        <v>3.7556653965489556E-4</v>
      </c>
      <c r="H4" s="64">
        <v>0.34290608531375122</v>
      </c>
      <c r="I4" s="64">
        <v>2.74667307515073</v>
      </c>
      <c r="J4" s="64">
        <v>1.72</v>
      </c>
      <c r="K4" s="64">
        <v>-1.2930372031405568E-3</v>
      </c>
      <c r="L4" s="64">
        <v>1.06</v>
      </c>
      <c r="M4" s="64">
        <v>7.2988710599020123E-4</v>
      </c>
      <c r="N4" s="64">
        <v>4</v>
      </c>
      <c r="O4" s="64">
        <v>3.8843823142746765</v>
      </c>
      <c r="P4" s="64">
        <v>0.90689968200000004</v>
      </c>
      <c r="Q4" s="64">
        <v>-1.1733958596165876E-4</v>
      </c>
      <c r="R4" s="64">
        <v>2.0874537044735982E-7</v>
      </c>
      <c r="S4" s="64">
        <v>4.6945063007789231E-4</v>
      </c>
      <c r="T4" s="64">
        <v>2.265681978315115E-3</v>
      </c>
      <c r="U4" s="64">
        <v>4.5688660567733851E-4</v>
      </c>
      <c r="V4" s="64">
        <v>0.14958316615920619</v>
      </c>
      <c r="W4" s="64">
        <v>2.1338542007661148</v>
      </c>
      <c r="X4" s="64">
        <v>1.75</v>
      </c>
      <c r="Y4" s="64">
        <v>-1.2088838266208768E-3</v>
      </c>
      <c r="Z4" s="64">
        <v>1.19</v>
      </c>
      <c r="AA4" s="64">
        <v>1.0567981516942382E-3</v>
      </c>
      <c r="AB4" s="64">
        <v>4</v>
      </c>
      <c r="AC4" s="64">
        <v>3.0177255508436365</v>
      </c>
      <c r="AD4" s="64">
        <v>0.90689968200000004</v>
      </c>
      <c r="AE4" s="64">
        <v>1.4937441740733688E-4</v>
      </c>
      <c r="AF4" s="64">
        <v>2.4799557839154855E-7</v>
      </c>
      <c r="AG4" s="64">
        <v>5.1747244162456162E-4</v>
      </c>
      <c r="AH4" s="64">
        <v>2.2656891960650682E-3</v>
      </c>
      <c r="AI4" s="64">
        <v>4.9799154449804521E-4</v>
      </c>
      <c r="AJ4" s="64">
        <v>-0.1854924083034154</v>
      </c>
      <c r="AK4" s="64">
        <v>2.1349091330574215</v>
      </c>
      <c r="AL4" s="64">
        <v>1.78</v>
      </c>
      <c r="AM4" s="64">
        <v>-1.0478624608367682E-3</v>
      </c>
      <c r="AN4" s="64">
        <v>1.0900000000000001</v>
      </c>
      <c r="AO4" s="64">
        <v>1.2178267352283001E-3</v>
      </c>
      <c r="AP4" s="64">
        <v>4</v>
      </c>
      <c r="AQ4" s="64">
        <v>3.0192174503973845</v>
      </c>
      <c r="AR4" s="64">
        <v>0.90689968200000004</v>
      </c>
      <c r="AS4" s="64">
        <v>4.3261914658744772E-4</v>
      </c>
      <c r="AT4" s="64">
        <v>1.9975241609783067E-7</v>
      </c>
      <c r="AU4" s="64">
        <v>6.2038169874013838E-4</v>
      </c>
      <c r="AV4" s="64">
        <v>1.9420263706706464E-3</v>
      </c>
      <c r="AW4" s="64">
        <v>4.4693670256293637E-4</v>
      </c>
      <c r="AX4" s="64">
        <v>-0.40488981230160903</v>
      </c>
      <c r="AY4" s="64">
        <v>2.3417985351721025</v>
      </c>
      <c r="AZ4" s="64">
        <v>1.81</v>
      </c>
      <c r="BA4" s="64">
        <v>-5.6398246670141816E-4</v>
      </c>
      <c r="BB4" s="64">
        <v>1.1200000000000001</v>
      </c>
      <c r="BC4" s="64">
        <v>1.3780439039692283E-3</v>
      </c>
      <c r="BD4" s="64">
        <v>4</v>
      </c>
      <c r="BE4" s="64">
        <v>3.3118032487785869</v>
      </c>
      <c r="BF4" s="64">
        <v>0.90689968200000004</v>
      </c>
      <c r="BG4" s="64">
        <v>6.3242279505555752E-4</v>
      </c>
      <c r="BH4" s="64">
        <v>1.2346727219801561E-7</v>
      </c>
      <c r="BI4" s="64">
        <v>7.2261054087207276E-4</v>
      </c>
      <c r="BJ4" s="64">
        <v>2.1038589184172451E-3</v>
      </c>
      <c r="BK4" s="64">
        <v>3.5137910040014563E-4</v>
      </c>
      <c r="BL4" s="64">
        <v>-0.95269502119906713</v>
      </c>
      <c r="BM4" s="64">
        <v>4.6443879232427241</v>
      </c>
      <c r="BN4" s="64">
        <v>1.97</v>
      </c>
      <c r="BO4" s="64">
        <v>-8.0592016456648707E-4</v>
      </c>
      <c r="BP4" s="64">
        <v>1.02</v>
      </c>
      <c r="BQ4" s="64">
        <v>1.2979387538507581E-3</v>
      </c>
      <c r="BR4" s="64">
        <v>4</v>
      </c>
      <c r="BS4" s="64">
        <v>6.5681563899572986</v>
      </c>
      <c r="BT4" s="64">
        <v>0.90689968200000004</v>
      </c>
      <c r="BU4" s="64">
        <v>7.3157375983119353E-4</v>
      </c>
      <c r="BV4" s="64">
        <v>7.2082965591421449E-8</v>
      </c>
      <c r="BW4" s="64">
        <v>7.78811653225445E-4</v>
      </c>
      <c r="BX4" s="64">
        <v>1.6183689440367743E-3</v>
      </c>
      <c r="BY4" s="64">
        <v>2.6848271004185995E-4</v>
      </c>
      <c r="BZ4" s="64">
        <v>-0.38404932560279775</v>
      </c>
      <c r="CA4" s="64">
        <v>4.4101131353922858</v>
      </c>
      <c r="CB4" s="64">
        <v>1.87</v>
      </c>
      <c r="CC4" s="64">
        <v>-2.4274624593090266E-4</v>
      </c>
      <c r="CD4" s="64">
        <v>1.1500000000000001</v>
      </c>
      <c r="CE4" s="64">
        <v>1.3756226981058717E-3</v>
      </c>
      <c r="CF4" s="64">
        <v>4</v>
      </c>
      <c r="CG4" s="64">
        <v>6.2368418076578545</v>
      </c>
      <c r="CH4" s="64">
        <v>0.90689968200000004</v>
      </c>
      <c r="CI4" s="64">
        <v>8.8181927602985224E-4</v>
      </c>
      <c r="CJ4" s="64">
        <v>4.4048437421203963E-8</v>
      </c>
      <c r="CK4" s="64">
        <v>9.0620317763059021E-4</v>
      </c>
      <c r="CL4" s="64">
        <v>1.1328664550092071E-3</v>
      </c>
      <c r="CM4" s="64">
        <v>2.0987719604855589E-4</v>
      </c>
      <c r="CN4" s="64">
        <v>-0.1509535366727105</v>
      </c>
      <c r="CO4" s="64">
        <v>4.0156100699528317</v>
      </c>
      <c r="CP4" s="64">
        <v>1.33</v>
      </c>
      <c r="CQ4" s="64">
        <v>2.4437546380795538E-4</v>
      </c>
      <c r="CR4" s="64">
        <v>1.05</v>
      </c>
      <c r="CS4" s="64">
        <v>1.3772419188171625E-3</v>
      </c>
      <c r="CT4" s="64">
        <v>4</v>
      </c>
      <c r="CU4" s="64">
        <v>5.678930222116839</v>
      </c>
      <c r="CV4" s="64">
        <v>0.90689968200000004</v>
      </c>
      <c r="CW4" s="64">
        <v>9.371424013658484E-4</v>
      </c>
      <c r="CX4" s="64">
        <v>4.4426684734818244E-8</v>
      </c>
      <c r="CY4" s="64">
        <v>9.6031725573107534E-4</v>
      </c>
      <c r="CZ4" s="64">
        <v>1.3756248808931559E-3</v>
      </c>
      <c r="DA4" s="64">
        <v>2.1077638561949543E-4</v>
      </c>
      <c r="DB4" s="64">
        <v>0.56675355910531455</v>
      </c>
      <c r="DC4" s="64">
        <v>5.3500100281544025</v>
      </c>
      <c r="DD4" s="64">
        <v>1.55</v>
      </c>
      <c r="DE4" s="64">
        <v>4.0621394873596728E-4</v>
      </c>
      <c r="DF4" s="64">
        <v>1.18</v>
      </c>
      <c r="DG4" s="64">
        <v>1.7818388296291232E-3</v>
      </c>
      <c r="DH4" s="64">
        <v>4</v>
      </c>
      <c r="DI4" s="64">
        <v>7.5660567406314616</v>
      </c>
      <c r="DJ4" s="64">
        <v>0.90689968200000004</v>
      </c>
      <c r="DK4" s="64">
        <v>9.1897540907518067E-4</v>
      </c>
      <c r="DL4" s="64">
        <v>5.7775790675026139E-8</v>
      </c>
      <c r="DM4" s="64">
        <v>9.4957993043002045E-4</v>
      </c>
      <c r="DN4" s="64">
        <v>1.4565416786354035E-3</v>
      </c>
      <c r="DO4" s="64">
        <v>2.403659515718192E-4</v>
      </c>
      <c r="DP4" s="64">
        <v>-7.5280193712653154E-2</v>
      </c>
      <c r="DQ4" s="64">
        <v>5.3133246258804032</v>
      </c>
      <c r="DR4" s="64">
        <v>1.03</v>
      </c>
      <c r="DS4" s="64">
        <v>1.6345633775927126E-4</v>
      </c>
      <c r="DT4" s="64">
        <v>1.31</v>
      </c>
      <c r="DU4" s="64">
        <v>1.6199980163946748E-3</v>
      </c>
      <c r="DV4" s="64">
        <v>4</v>
      </c>
      <c r="DW4" s="64">
        <v>7.5141757471945727</v>
      </c>
      <c r="DX4" s="64">
        <v>0.90689968200000004</v>
      </c>
      <c r="DY4" s="64">
        <v>8.2487949364395735E-4</v>
      </c>
      <c r="DZ4" s="64">
        <v>7.6908577085405569E-8</v>
      </c>
      <c r="EA4" s="64">
        <v>8.6979881278424699E-4</v>
      </c>
      <c r="EB4" s="64">
        <v>1.699301297776401E-3</v>
      </c>
      <c r="EC4" s="64">
        <v>2.7732395692656192E-4</v>
      </c>
      <c r="ED4" s="64">
        <v>-6.4482814853891957E-2</v>
      </c>
      <c r="EE4" s="64">
        <v>3.9917054972165009</v>
      </c>
      <c r="EF4" s="64">
        <v>1.1599999999999999</v>
      </c>
      <c r="EG4" s="64">
        <v>0</v>
      </c>
      <c r="EH4" s="64">
        <v>1.69</v>
      </c>
      <c r="EI4" s="64">
        <v>1.699301297776401E-3</v>
      </c>
      <c r="EJ4" s="64">
        <v>4</v>
      </c>
      <c r="EK4" s="64">
        <v>5.6451240511504599</v>
      </c>
      <c r="EL4" s="64">
        <v>0.90689968200000004</v>
      </c>
      <c r="EM4" s="64">
        <v>7.166791129778324E-4</v>
      </c>
      <c r="EN4" s="64">
        <v>1.0472511515206642E-7</v>
      </c>
      <c r="EO4" s="64">
        <v>7.8567515075046008E-4</v>
      </c>
      <c r="EP4" s="64">
        <v>1.6183823116762142E-3</v>
      </c>
      <c r="EQ4" s="64">
        <v>3.2361260042227411E-4</v>
      </c>
      <c r="ER4" s="64">
        <v>0.26997642991311294</v>
      </c>
      <c r="ES4" s="64">
        <v>2.7634597168535557</v>
      </c>
      <c r="ET4" s="64">
        <v>1.06</v>
      </c>
      <c r="EU4" s="64">
        <v>1.6183822708626394E-6</v>
      </c>
      <c r="EV4" s="64">
        <v>1.72</v>
      </c>
      <c r="EW4" s="64">
        <v>1.6200006939470768E-3</v>
      </c>
      <c r="EX4" s="64">
        <v>4</v>
      </c>
      <c r="EY4" s="64">
        <v>3.9081222106374587</v>
      </c>
      <c r="EZ4" s="64">
        <v>0.90689968200000004</v>
      </c>
      <c r="FA4" s="64">
        <v>6.1348163062726431E-4</v>
      </c>
      <c r="FB4" s="64">
        <v>1.0652091945139068E-7</v>
      </c>
      <c r="FC4" s="64">
        <v>6.9411359474570917E-4</v>
      </c>
      <c r="FD4" s="64">
        <v>1.8611217092256993E-3</v>
      </c>
      <c r="FE4" s="64">
        <v>3.2637542715619795E-4</v>
      </c>
      <c r="FF4" s="64">
        <v>0.29993219643637126</v>
      </c>
      <c r="FG4" s="64">
        <v>2.8030577790242699</v>
      </c>
      <c r="FH4" s="64">
        <v>1.19</v>
      </c>
      <c r="FI4" s="64">
        <v>-3.2285190536640584E-4</v>
      </c>
      <c r="FJ4" s="64">
        <v>1.75</v>
      </c>
      <c r="FK4" s="64">
        <v>1.5382698038592935E-3</v>
      </c>
      <c r="FL4" s="64">
        <v>4</v>
      </c>
      <c r="FM4" s="64">
        <v>3.964122327202853</v>
      </c>
      <c r="FN4" s="64">
        <v>0.90689968200000004</v>
      </c>
      <c r="FO4" s="64">
        <v>4.9375474044289114E-4</v>
      </c>
      <c r="FP4" s="64">
        <v>7.3050736154541246E-8</v>
      </c>
      <c r="FQ4" s="64">
        <v>5.6222687963963574E-4</v>
      </c>
      <c r="FR4" s="64">
        <v>1.8611232226248831E-3</v>
      </c>
      <c r="FS4" s="64">
        <v>2.7027899688015204E-4</v>
      </c>
      <c r="FT4" s="64">
        <v>0.74889058755461202</v>
      </c>
      <c r="FU4" s="64">
        <v>5.1845458425288564</v>
      </c>
      <c r="FV4" s="64">
        <v>1.32</v>
      </c>
      <c r="FW4" s="64">
        <v>-3.2285295310430229E-4</v>
      </c>
      <c r="FX4" s="64">
        <v>1.94</v>
      </c>
      <c r="FY4" s="64">
        <v>1.5382702695205808E-3</v>
      </c>
      <c r="FZ4" s="64">
        <v>4</v>
      </c>
      <c r="GA4" s="64">
        <v>7.3320550452333073</v>
      </c>
      <c r="GB4" s="64">
        <v>0.90689968200000004</v>
      </c>
      <c r="GC4" s="64">
        <v>3.9136745049267566E-4</v>
      </c>
      <c r="GD4" s="64">
        <v>4.185569507473103E-8</v>
      </c>
      <c r="GE4" s="64">
        <v>4.4113158745496075E-4</v>
      </c>
      <c r="GF4" s="64">
        <v>1.2946975912200287E-3</v>
      </c>
      <c r="GG4" s="64">
        <v>2.0458664441925584E-4</v>
      </c>
      <c r="GH4" s="64">
        <v>0.35244975944392498</v>
      </c>
      <c r="GI4" s="64">
        <v>5.3366848674610985</v>
      </c>
      <c r="GJ4" s="64">
        <v>1.1200000000000001</v>
      </c>
      <c r="GK4" s="64">
        <v>-1.6102225345093757E-4</v>
      </c>
      <c r="GL4" s="64">
        <v>1.62</v>
      </c>
      <c r="GM4" s="64">
        <v>1.1336753377690911E-3</v>
      </c>
      <c r="GN4" s="64">
        <v>4</v>
      </c>
      <c r="GO4" s="64">
        <v>7.5472121176582316</v>
      </c>
      <c r="GP4" s="64">
        <v>0.90689968200000004</v>
      </c>
      <c r="GQ4" s="64">
        <v>3.6487740043393926E-4</v>
      </c>
      <c r="GR4" s="64">
        <v>4.1064660206642351E-8</v>
      </c>
      <c r="GS4" s="64">
        <v>4.1687066388642138E-4</v>
      </c>
      <c r="GT4" s="64">
        <v>1.2946904316777363E-3</v>
      </c>
      <c r="GU4" s="64">
        <v>2.026441714104858E-4</v>
      </c>
      <c r="GV4" s="64">
        <v>1.0223285416741257</v>
      </c>
      <c r="GW4" s="64">
        <v>7.3692406775506685</v>
      </c>
      <c r="GX4" s="64">
        <v>1.92</v>
      </c>
      <c r="GY4" s="64">
        <v>-2.3870148288551718E-4</v>
      </c>
      <c r="GZ4" s="64">
        <v>1.3</v>
      </c>
      <c r="HA4" s="64">
        <v>1.0559889487922192E-3</v>
      </c>
      <c r="HB4" s="64">
        <v>4</v>
      </c>
      <c r="HC4" s="64">
        <v>10.421680110560843</v>
      </c>
      <c r="HD4" s="64">
        <v>0.90689968200000004</v>
      </c>
      <c r="HE4" s="64">
        <v>3.0300062885358709E-4</v>
      </c>
      <c r="HF4" s="64">
        <v>5.6942669648762843E-8</v>
      </c>
      <c r="HG4" s="64">
        <v>3.8492986774860013E-4</v>
      </c>
      <c r="HH4" s="64">
        <v>1.5374401700682938E-3</v>
      </c>
      <c r="HI4" s="64">
        <v>2.3862663231241153E-4</v>
      </c>
      <c r="HJ4" s="64">
        <v>-0.29348104824066118</v>
      </c>
      <c r="HK4" s="64">
        <v>5.5599933827732944</v>
      </c>
      <c r="HL4" s="64">
        <v>1.1500000000000001</v>
      </c>
      <c r="HM4" s="64">
        <v>-4.8387638526037335E-4</v>
      </c>
      <c r="HN4" s="64">
        <v>1.49</v>
      </c>
      <c r="HO4" s="64">
        <v>1.0535637848079205E-3</v>
      </c>
      <c r="HP4" s="64">
        <v>4</v>
      </c>
      <c r="HQ4" s="64">
        <v>7.863018048605448</v>
      </c>
      <c r="HR4" s="64">
        <v>0.90689968200000004</v>
      </c>
    </row>
    <row r="5" spans="1:226" x14ac:dyDescent="0.25">
      <c r="A5" s="66"/>
      <c r="B5" s="64" t="s">
        <v>96</v>
      </c>
      <c r="C5" s="64">
        <v>2.4988063233239308</v>
      </c>
      <c r="D5" s="64">
        <v>6.7496191124200351E-8</v>
      </c>
      <c r="E5" s="64">
        <v>2.4988063366918034</v>
      </c>
      <c r="F5" s="64">
        <v>1.6992092132568359E-3</v>
      </c>
      <c r="G5" s="64">
        <v>2.5980029084702802E-4</v>
      </c>
      <c r="H5" s="64">
        <v>0.61332398211774963</v>
      </c>
      <c r="I5" s="64">
        <v>5.108007776036156</v>
      </c>
      <c r="J5" s="64">
        <v>2.91</v>
      </c>
      <c r="K5" s="64">
        <v>2.4980442523956299</v>
      </c>
      <c r="L5" s="64">
        <v>2.13</v>
      </c>
      <c r="M5" s="64">
        <v>2.4997434616088867</v>
      </c>
      <c r="N5" s="64">
        <v>4</v>
      </c>
      <c r="O5" s="64">
        <v>7.2238138735617534</v>
      </c>
      <c r="P5" s="64">
        <v>0.90689968200000004</v>
      </c>
      <c r="Q5" s="64">
        <v>2.4989094807177175</v>
      </c>
      <c r="R5" s="64">
        <v>8.8395047012868869E-8</v>
      </c>
      <c r="S5" s="64">
        <v>2.4989094982239641</v>
      </c>
      <c r="T5" s="64">
        <v>1.7802715301513672E-3</v>
      </c>
      <c r="U5" s="64">
        <v>2.9731304548046467E-4</v>
      </c>
      <c r="V5" s="64">
        <v>0.48144212408295428</v>
      </c>
      <c r="W5" s="64">
        <v>3.6550560588330789</v>
      </c>
      <c r="X5" s="64">
        <v>2.94</v>
      </c>
      <c r="Y5" s="64">
        <v>2.498126745223999</v>
      </c>
      <c r="Z5" s="64">
        <v>2.29</v>
      </c>
      <c r="AA5" s="64">
        <v>2.4999070167541504</v>
      </c>
      <c r="AB5" s="64">
        <v>4</v>
      </c>
      <c r="AC5" s="64">
        <v>5.1690298496243807</v>
      </c>
      <c r="AD5" s="64">
        <v>0.90689968200000004</v>
      </c>
      <c r="AE5" s="64">
        <v>2.4990019433352413</v>
      </c>
      <c r="AF5" s="64">
        <v>8.4288186062482437E-8</v>
      </c>
      <c r="AG5" s="64">
        <v>2.4990019600275244</v>
      </c>
      <c r="AH5" s="64">
        <v>1.537322998046875E-3</v>
      </c>
      <c r="AI5" s="64">
        <v>2.9032427742523091E-4</v>
      </c>
      <c r="AJ5" s="64">
        <v>-0.34360079632097945</v>
      </c>
      <c r="AK5" s="64">
        <v>2.8883495160319383</v>
      </c>
      <c r="AL5" s="64">
        <v>2.97</v>
      </c>
      <c r="AM5" s="64">
        <v>2.498126745223999</v>
      </c>
      <c r="AN5" s="64">
        <v>2.4500000000000002</v>
      </c>
      <c r="AO5" s="64">
        <v>2.4996640682220459</v>
      </c>
      <c r="AP5" s="64">
        <v>4</v>
      </c>
      <c r="AQ5" s="64">
        <v>4.0847430584371933</v>
      </c>
      <c r="AR5" s="64">
        <v>0.90689968200000004</v>
      </c>
      <c r="AS5" s="64">
        <v>2.4991093241438573</v>
      </c>
      <c r="AT5" s="64">
        <v>7.4390800365395134E-8</v>
      </c>
      <c r="AU5" s="64">
        <v>2.4991093388754466</v>
      </c>
      <c r="AV5" s="64">
        <v>1.5375614166259766E-3</v>
      </c>
      <c r="AW5" s="64">
        <v>2.7274676966995432E-4</v>
      </c>
      <c r="AX5" s="64">
        <v>-0.33469674375752451</v>
      </c>
      <c r="AY5" s="64">
        <v>3.6993219072143337</v>
      </c>
      <c r="AZ5" s="64">
        <v>2.75</v>
      </c>
      <c r="BA5" s="64">
        <v>2.4983644485473633</v>
      </c>
      <c r="BB5" s="64">
        <v>2.61</v>
      </c>
      <c r="BC5" s="64">
        <v>2.4999020099639893</v>
      </c>
      <c r="BD5" s="64">
        <v>4</v>
      </c>
      <c r="BE5" s="64">
        <v>5.2316312127549658</v>
      </c>
      <c r="BF5" s="64">
        <v>0.90689968200000004</v>
      </c>
      <c r="BG5" s="64">
        <v>2.4992430185785097</v>
      </c>
      <c r="BH5" s="64">
        <v>6.2822906422000162E-8</v>
      </c>
      <c r="BI5" s="64">
        <v>2.4992430310186462</v>
      </c>
      <c r="BJ5" s="64">
        <v>1.5375614166259766E-3</v>
      </c>
      <c r="BK5" s="64">
        <v>2.5064498084342352E-4</v>
      </c>
      <c r="BL5" s="64">
        <v>6.1399763396466911E-2</v>
      </c>
      <c r="BM5" s="64">
        <v>4.5870082385322899</v>
      </c>
      <c r="BN5" s="64">
        <v>2.56</v>
      </c>
      <c r="BO5" s="64">
        <v>2.4985353946685791</v>
      </c>
      <c r="BP5" s="64">
        <v>2.09</v>
      </c>
      <c r="BQ5" s="64">
        <v>2.5000729560852051</v>
      </c>
      <c r="BR5" s="64">
        <v>4</v>
      </c>
      <c r="BS5" s="64">
        <v>6.4870092616352881</v>
      </c>
      <c r="BT5" s="64">
        <v>0.90689968200000004</v>
      </c>
      <c r="BU5" s="64">
        <v>2.4994032188337676</v>
      </c>
      <c r="BV5" s="64">
        <v>6.6531845949618388E-8</v>
      </c>
      <c r="BW5" s="64">
        <v>2.4994032320075017</v>
      </c>
      <c r="BX5" s="64">
        <v>1.6183853149414063E-3</v>
      </c>
      <c r="BY5" s="64">
        <v>2.5793767842178156E-4</v>
      </c>
      <c r="BZ5" s="64">
        <v>5.0429297163488039E-3</v>
      </c>
      <c r="CA5" s="64">
        <v>3.9729597341357215</v>
      </c>
      <c r="CB5" s="64">
        <v>2.87</v>
      </c>
      <c r="CC5" s="64">
        <v>2.4985353946685791</v>
      </c>
      <c r="CD5" s="64">
        <v>2.2200000000000002</v>
      </c>
      <c r="CE5" s="64">
        <v>2.5001537799835205</v>
      </c>
      <c r="CF5" s="64">
        <v>4</v>
      </c>
      <c r="CG5" s="64">
        <v>5.618613538764647</v>
      </c>
      <c r="CH5" s="64">
        <v>0.90689968200000004</v>
      </c>
      <c r="CI5" s="64">
        <v>2.4996243374688283</v>
      </c>
      <c r="CJ5" s="64">
        <v>1.2002130335634695E-7</v>
      </c>
      <c r="CK5" s="64">
        <v>2.4996243612317168</v>
      </c>
      <c r="CL5" s="64">
        <v>1.7802715301513672E-3</v>
      </c>
      <c r="CM5" s="64">
        <v>3.4644090889550985E-4</v>
      </c>
      <c r="CN5" s="64">
        <v>0.64593010165409481</v>
      </c>
      <c r="CO5" s="64">
        <v>3.2577495396242573</v>
      </c>
      <c r="CP5" s="64">
        <v>2.9</v>
      </c>
      <c r="CQ5" s="64">
        <v>2.4988622665405273</v>
      </c>
      <c r="CR5" s="64">
        <v>2.02</v>
      </c>
      <c r="CS5" s="64">
        <v>2.5006425380706787</v>
      </c>
      <c r="CT5" s="64">
        <v>4</v>
      </c>
      <c r="CU5" s="64">
        <v>4.6071535817412483</v>
      </c>
      <c r="CV5" s="64">
        <v>0.90689968200000004</v>
      </c>
      <c r="CW5" s="64">
        <v>2.4999109238994364</v>
      </c>
      <c r="CX5" s="64">
        <v>1.9081259628460235E-7</v>
      </c>
      <c r="CY5" s="64">
        <v>2.499910961673887</v>
      </c>
      <c r="CZ5" s="64">
        <v>2.0229816436767578E-3</v>
      </c>
      <c r="DA5" s="64">
        <v>4.3682101172517145E-4</v>
      </c>
      <c r="DB5" s="64">
        <v>-0.14769101491202705</v>
      </c>
      <c r="DC5" s="64">
        <v>2.1803478383034709</v>
      </c>
      <c r="DD5" s="64">
        <v>2.93</v>
      </c>
      <c r="DE5" s="64">
        <v>2.4988646507263184</v>
      </c>
      <c r="DF5" s="64">
        <v>2.2800000000000002</v>
      </c>
      <c r="DG5" s="64">
        <v>2.5008876323699951</v>
      </c>
      <c r="DH5" s="64">
        <v>6</v>
      </c>
      <c r="DI5" s="64">
        <v>3.5354079867166401</v>
      </c>
      <c r="DJ5" s="64">
        <v>0.60459978800000003</v>
      </c>
      <c r="DK5" s="64">
        <v>2.5001644406999861</v>
      </c>
      <c r="DL5" s="64">
        <v>2.370660057721645E-7</v>
      </c>
      <c r="DM5" s="64">
        <v>2.5001644876262912</v>
      </c>
      <c r="DN5" s="64">
        <v>2.1848678588867188E-3</v>
      </c>
      <c r="DO5" s="64">
        <v>4.8689424495691519E-4</v>
      </c>
      <c r="DP5" s="64">
        <v>-0.30244377196037503</v>
      </c>
      <c r="DQ5" s="64">
        <v>2.212505713555839</v>
      </c>
      <c r="DR5" s="64">
        <v>2.96</v>
      </c>
      <c r="DS5" s="64">
        <v>2.4990224838256836</v>
      </c>
      <c r="DT5" s="64">
        <v>2.0499999999999998</v>
      </c>
      <c r="DU5" s="64">
        <v>2.5012073516845703</v>
      </c>
      <c r="DV5" s="64">
        <v>6</v>
      </c>
      <c r="DW5" s="64">
        <v>3.5357665265569431</v>
      </c>
      <c r="DX5" s="64">
        <v>0.60459978800000003</v>
      </c>
      <c r="DY5" s="64">
        <v>2.5004847220012119</v>
      </c>
      <c r="DZ5" s="64">
        <v>2.498920226576187E-7</v>
      </c>
      <c r="EA5" s="64">
        <v>2.5004847714600422</v>
      </c>
      <c r="EB5" s="64">
        <v>2.1848678588867188E-3</v>
      </c>
      <c r="EC5" s="64">
        <v>4.9989201099599377E-4</v>
      </c>
      <c r="ED5" s="64">
        <v>-0.51581363009456771</v>
      </c>
      <c r="EE5" s="64">
        <v>2.3171337710654281</v>
      </c>
      <c r="EF5" s="64">
        <v>2.96</v>
      </c>
      <c r="EG5" s="64">
        <v>2.499267578125</v>
      </c>
      <c r="EH5" s="64">
        <v>2.1800000000000002</v>
      </c>
      <c r="EI5" s="64">
        <v>2.5014524459838867</v>
      </c>
      <c r="EJ5" s="64">
        <v>6</v>
      </c>
      <c r="EK5" s="64">
        <v>3.5362194762984416</v>
      </c>
      <c r="EL5" s="64">
        <v>0.60459978800000003</v>
      </c>
      <c r="EM5" s="64">
        <v>2.5006821155548096</v>
      </c>
      <c r="EN5" s="64">
        <v>1.8753904634050018E-7</v>
      </c>
      <c r="EO5" s="64">
        <v>2.5006821526697585</v>
      </c>
      <c r="EP5" s="64">
        <v>2.0229816436767578E-3</v>
      </c>
      <c r="EQ5" s="64">
        <v>4.3305778637556003E-4</v>
      </c>
      <c r="ER5" s="64">
        <v>-0.62534343753254684</v>
      </c>
      <c r="ES5" s="64">
        <v>2.8645307496493206</v>
      </c>
      <c r="ET5" s="64">
        <v>2.8000000000000003</v>
      </c>
      <c r="EU5" s="64">
        <v>2.4995930194854736</v>
      </c>
      <c r="EV5" s="64">
        <v>2.08</v>
      </c>
      <c r="EW5" s="64">
        <v>2.5016160011291504</v>
      </c>
      <c r="EX5" s="64">
        <v>4</v>
      </c>
      <c r="EY5" s="64">
        <v>4.0510582359799727</v>
      </c>
      <c r="EZ5" s="64">
        <v>0.90689968200000004</v>
      </c>
      <c r="FA5" s="64">
        <v>2.5008035606267502</v>
      </c>
      <c r="FB5" s="64">
        <v>8.1799583720166537E-8</v>
      </c>
      <c r="FC5" s="64">
        <v>2.5008035768145249</v>
      </c>
      <c r="FD5" s="64">
        <v>1.6992092132568359E-3</v>
      </c>
      <c r="FE5" s="64">
        <v>2.8600626517642324E-4</v>
      </c>
      <c r="FF5" s="64">
        <v>-0.37824145234540468</v>
      </c>
      <c r="FG5" s="64">
        <v>4.0029039359335847</v>
      </c>
      <c r="FH5" s="64">
        <v>2.86</v>
      </c>
      <c r="FI5" s="64">
        <v>2.499992847442627</v>
      </c>
      <c r="FJ5" s="64">
        <v>2.5</v>
      </c>
      <c r="FK5" s="64">
        <v>2.5016920566558838</v>
      </c>
      <c r="FL5" s="64">
        <v>4</v>
      </c>
      <c r="FM5" s="64">
        <v>5.6609610350615291</v>
      </c>
      <c r="FN5" s="64">
        <v>0.90689968200000004</v>
      </c>
      <c r="FO5" s="64">
        <v>2.5009752803919265</v>
      </c>
      <c r="FP5" s="64">
        <v>5.4227903743231521E-8</v>
      </c>
      <c r="FQ5" s="64">
        <v>2.5009752911226508</v>
      </c>
      <c r="FR5" s="64">
        <v>1.2948513031005859E-3</v>
      </c>
      <c r="FS5" s="64">
        <v>2.328688552452464E-4</v>
      </c>
      <c r="FT5" s="64">
        <v>0.74220641255362696</v>
      </c>
      <c r="FU5" s="64">
        <v>5.0316842217811359</v>
      </c>
      <c r="FV5" s="64">
        <v>2.4500000000000002</v>
      </c>
      <c r="FW5" s="64">
        <v>2.500478982925415</v>
      </c>
      <c r="FX5" s="64">
        <v>2.11</v>
      </c>
      <c r="FY5" s="64">
        <v>2.5017738342285156</v>
      </c>
      <c r="FZ5" s="64">
        <v>4</v>
      </c>
      <c r="GA5" s="64">
        <v>7.1158760680060213</v>
      </c>
      <c r="GB5" s="64">
        <v>0.90689968200000004</v>
      </c>
      <c r="GC5" s="64">
        <v>2.5010099605638154</v>
      </c>
      <c r="GD5" s="64">
        <v>4.8476044953237833E-8</v>
      </c>
      <c r="GE5" s="64">
        <v>2.5010099701562178</v>
      </c>
      <c r="GF5" s="64">
        <v>1.4564990997314453E-3</v>
      </c>
      <c r="GG5" s="64">
        <v>2.2017276160605752E-4</v>
      </c>
      <c r="GH5" s="64">
        <v>0.34579212947402993</v>
      </c>
      <c r="GI5" s="64">
        <v>5.1870449173812778</v>
      </c>
      <c r="GJ5" s="64">
        <v>2.61</v>
      </c>
      <c r="GK5" s="64">
        <v>2.5002362728118896</v>
      </c>
      <c r="GL5" s="64">
        <v>2.27</v>
      </c>
      <c r="GM5" s="64">
        <v>2.5016927719116211</v>
      </c>
      <c r="GN5" s="64">
        <v>4</v>
      </c>
      <c r="GO5" s="64">
        <v>7.3355892707829788</v>
      </c>
      <c r="GP5" s="64">
        <v>0.90689968200000004</v>
      </c>
      <c r="GQ5" s="64">
        <v>2.5009729156688767</v>
      </c>
      <c r="GR5" s="64">
        <v>3.8388402676834966E-8</v>
      </c>
      <c r="GS5" s="64">
        <v>2.5009729232652562</v>
      </c>
      <c r="GT5" s="64">
        <v>1.3756752014160156E-3</v>
      </c>
      <c r="GU5" s="64">
        <v>1.9592958601710709E-4</v>
      </c>
      <c r="GV5" s="64">
        <v>-0.21700194255553676</v>
      </c>
      <c r="GW5" s="64">
        <v>5.5490152487777582</v>
      </c>
      <c r="GX5" s="64">
        <v>2.09</v>
      </c>
      <c r="GY5" s="64">
        <v>2.5002298355102539</v>
      </c>
      <c r="GZ5" s="64">
        <v>2.56</v>
      </c>
      <c r="HA5" s="64">
        <v>2.5016055107116699</v>
      </c>
      <c r="HB5" s="64">
        <v>4</v>
      </c>
      <c r="HC5" s="64">
        <v>7.8474926226194448</v>
      </c>
      <c r="HD5" s="64">
        <v>0.90689968200000004</v>
      </c>
      <c r="HE5" s="64">
        <v>2.5008193716710929</v>
      </c>
      <c r="HF5" s="64">
        <v>8.70888719237949E-8</v>
      </c>
      <c r="HG5" s="64">
        <v>2.5008193889054859</v>
      </c>
      <c r="HH5" s="64">
        <v>1.6992092132568359E-3</v>
      </c>
      <c r="HI5" s="64">
        <v>2.9510823764136929E-4</v>
      </c>
      <c r="HJ5" s="64">
        <v>0.10315838409527782</v>
      </c>
      <c r="HK5" s="64">
        <v>2.9423852943320115</v>
      </c>
      <c r="HL5" s="64">
        <v>2.2200000000000002</v>
      </c>
      <c r="HM5" s="64">
        <v>2.5000712871551514</v>
      </c>
      <c r="HN5" s="64">
        <v>2.59</v>
      </c>
      <c r="HO5" s="64">
        <v>2.5017704963684082</v>
      </c>
      <c r="HP5" s="64">
        <v>4</v>
      </c>
      <c r="HQ5" s="64">
        <v>4.1611611889623745</v>
      </c>
      <c r="HR5" s="64">
        <v>0.90689968200000004</v>
      </c>
    </row>
    <row r="9" spans="1:226" x14ac:dyDescent="0.25">
      <c r="C9">
        <f>2.5-K5</f>
        <v>1.9557476043701172E-3</v>
      </c>
      <c r="D9">
        <f>2.5-M5</f>
        <v>2.5653839111328125E-4</v>
      </c>
    </row>
    <row r="11" spans="1:226" x14ac:dyDescent="0.25">
      <c r="C11">
        <f>100*C9/5</f>
        <v>3.9114952087402344E-2</v>
      </c>
      <c r="D11" s="37">
        <f>100*D9/5</f>
        <v>5.130767822265625E-3</v>
      </c>
    </row>
  </sheetData>
  <mergeCells count="18">
    <mergeCell ref="GC1:GP1"/>
    <mergeCell ref="GQ1:HD1"/>
    <mergeCell ref="HE1:HR1"/>
    <mergeCell ref="DK1:DX1"/>
    <mergeCell ref="DY1:EL1"/>
    <mergeCell ref="EM1:EZ1"/>
    <mergeCell ref="FA1:FN1"/>
    <mergeCell ref="FO1:GB1"/>
    <mergeCell ref="AS1:BF1"/>
    <mergeCell ref="BG1:BT1"/>
    <mergeCell ref="BU1:CH1"/>
    <mergeCell ref="CI1:CV1"/>
    <mergeCell ref="CW1:DJ1"/>
    <mergeCell ref="A3:A5"/>
    <mergeCell ref="C1:P1"/>
    <mergeCell ref="Q1:AD1"/>
    <mergeCell ref="AE1:AR1"/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S27"/>
  <sheetViews>
    <sheetView zoomScale="70" zoomScaleNormal="70" workbookViewId="0">
      <selection activeCell="B6" sqref="B6"/>
    </sheetView>
  </sheetViews>
  <sheetFormatPr defaultRowHeight="15.75" x14ac:dyDescent="0.25"/>
  <cols>
    <col min="1" max="1" width="31.42578125" style="2" customWidth="1"/>
    <col min="2" max="2" width="24.140625" style="2" customWidth="1"/>
    <col min="3" max="3" width="29.5703125" style="2" customWidth="1"/>
    <col min="4" max="4" width="23.140625" style="2" customWidth="1"/>
    <col min="5" max="10" width="18.7109375" style="2" bestFit="1" customWidth="1"/>
    <col min="11" max="11" width="22.42578125" style="2" customWidth="1"/>
    <col min="12" max="12" width="26.7109375" style="2" customWidth="1"/>
    <col min="13" max="13" width="21.5703125" style="2" customWidth="1"/>
    <col min="14" max="14" width="24" style="2" customWidth="1"/>
    <col min="15" max="15" width="24.140625" style="2" customWidth="1"/>
    <col min="16" max="16" width="23.140625" style="2" customWidth="1"/>
    <col min="17" max="17" width="21.7109375" style="2" customWidth="1"/>
    <col min="18" max="18" width="9.140625" style="2"/>
    <col min="19" max="19" width="22.28515625" style="2" customWidth="1"/>
    <col min="20" max="16384" width="9.140625" style="2"/>
  </cols>
  <sheetData>
    <row r="1" spans="1:45" x14ac:dyDescent="0.25">
      <c r="A1" s="1"/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</row>
    <row r="2" spans="1:45" ht="31.5" x14ac:dyDescent="0.25">
      <c r="A2" s="3" t="s">
        <v>20</v>
      </c>
      <c r="B2" s="54">
        <f>32768*2</f>
        <v>65536</v>
      </c>
      <c r="C2" s="2" t="s">
        <v>21</v>
      </c>
      <c r="F2" s="70" t="s">
        <v>77</v>
      </c>
      <c r="G2" s="71"/>
      <c r="H2" s="71"/>
      <c r="I2" s="71"/>
      <c r="J2" s="71"/>
      <c r="K2" s="71"/>
      <c r="L2" s="71"/>
    </row>
    <row r="3" spans="1:45" x14ac:dyDescent="0.25">
      <c r="A3" s="2" t="s">
        <v>22</v>
      </c>
      <c r="B3" s="52">
        <v>3</v>
      </c>
      <c r="C3" s="4" t="s">
        <v>23</v>
      </c>
      <c r="D3" s="4"/>
      <c r="E3" s="4"/>
      <c r="F3" s="71"/>
      <c r="G3" s="71"/>
      <c r="H3" s="71"/>
      <c r="I3" s="71"/>
      <c r="J3" s="71"/>
      <c r="K3" s="71"/>
      <c r="L3" s="71"/>
      <c r="M3" s="4"/>
      <c r="N3" s="4"/>
      <c r="O3" s="4"/>
      <c r="P3" s="4"/>
      <c r="Q3" s="4"/>
    </row>
    <row r="4" spans="1:45" x14ac:dyDescent="0.25">
      <c r="A4" s="2" t="s">
        <v>24</v>
      </c>
      <c r="B4" s="52">
        <v>5</v>
      </c>
      <c r="C4" s="4"/>
      <c r="D4" s="4"/>
      <c r="E4" s="4"/>
      <c r="F4" s="71"/>
      <c r="G4" s="71"/>
      <c r="H4" s="71"/>
      <c r="I4" s="71"/>
      <c r="J4" s="71"/>
      <c r="K4" s="71"/>
      <c r="L4" s="71"/>
      <c r="M4" s="4"/>
      <c r="N4" s="4"/>
      <c r="O4" s="4"/>
      <c r="P4" s="4"/>
      <c r="Q4" s="4"/>
    </row>
    <row r="5" spans="1:45" x14ac:dyDescent="0.25">
      <c r="A5" s="2" t="s">
        <v>25</v>
      </c>
      <c r="B5" s="52">
        <v>3</v>
      </c>
      <c r="C5" s="4" t="s">
        <v>26</v>
      </c>
      <c r="D5" s="4"/>
      <c r="E5" s="4"/>
      <c r="F5" s="71"/>
      <c r="G5" s="71"/>
      <c r="H5" s="71"/>
      <c r="I5" s="71"/>
      <c r="J5" s="71"/>
      <c r="K5" s="71"/>
      <c r="L5" s="71"/>
      <c r="M5" s="4"/>
      <c r="N5" s="4"/>
      <c r="O5" s="4"/>
      <c r="P5" s="4"/>
      <c r="Q5" s="4"/>
    </row>
    <row r="6" spans="1:45" x14ac:dyDescent="0.25">
      <c r="A6" s="2" t="s">
        <v>27</v>
      </c>
      <c r="B6" s="52">
        <v>21</v>
      </c>
      <c r="C6" s="4" t="s">
        <v>45</v>
      </c>
      <c r="D6" s="4"/>
      <c r="E6" s="4"/>
      <c r="F6" s="71"/>
      <c r="G6" s="71"/>
      <c r="H6" s="71"/>
      <c r="I6" s="71"/>
      <c r="J6" s="71"/>
      <c r="K6" s="71"/>
      <c r="L6" s="71"/>
      <c r="M6" s="4"/>
      <c r="N6" s="4"/>
      <c r="O6" s="4"/>
      <c r="P6" s="4"/>
      <c r="Q6" s="4"/>
    </row>
    <row r="7" spans="1:45" ht="30.75" customHeight="1" x14ac:dyDescent="0.25">
      <c r="A7" s="3" t="s">
        <v>42</v>
      </c>
      <c r="B7" s="52">
        <v>3</v>
      </c>
      <c r="C7" s="12" t="s">
        <v>57</v>
      </c>
      <c r="D7" s="53">
        <v>0.01</v>
      </c>
      <c r="E7" s="4"/>
      <c r="F7" s="71"/>
      <c r="G7" s="71"/>
      <c r="H7" s="71"/>
      <c r="I7" s="71"/>
      <c r="J7" s="71"/>
      <c r="K7" s="71"/>
      <c r="L7" s="71"/>
      <c r="M7" s="4"/>
      <c r="N7" s="4"/>
      <c r="O7" s="4"/>
      <c r="P7" s="4"/>
      <c r="Q7" s="4"/>
    </row>
    <row r="8" spans="1:45" ht="30.75" customHeight="1" x14ac:dyDescent="0.25">
      <c r="A8" s="3" t="s">
        <v>98</v>
      </c>
      <c r="B8" s="52">
        <v>4</v>
      </c>
      <c r="C8" s="4"/>
      <c r="D8" s="4"/>
      <c r="E8" s="4"/>
      <c r="F8" s="71"/>
      <c r="G8" s="71"/>
      <c r="H8" s="71"/>
      <c r="I8" s="71"/>
      <c r="J8" s="71"/>
      <c r="K8" s="71"/>
      <c r="L8" s="71"/>
      <c r="M8" s="4"/>
      <c r="N8" s="4"/>
      <c r="O8" s="4"/>
      <c r="P8" s="4"/>
      <c r="Q8" s="4"/>
    </row>
    <row r="9" spans="1:45" x14ac:dyDescent="0.25">
      <c r="A9" s="2" t="s">
        <v>28</v>
      </c>
      <c r="B9" s="5" t="str">
        <f t="shared" ref="B9:Q9" si="0">ADDRESS(Строка1,COLUMN()+$B$7-2+Col_interval*(COLUMN()-2),4,TRUE,"Данные отчета")</f>
        <v>'Данные отчета'!C3</v>
      </c>
      <c r="C9" s="5" t="str">
        <f t="shared" si="0"/>
        <v>'Данные отчета'!H3</v>
      </c>
      <c r="D9" s="5" t="str">
        <f t="shared" si="0"/>
        <v>'Данные отчета'!M3</v>
      </c>
      <c r="E9" s="5" t="str">
        <f t="shared" si="0"/>
        <v>'Данные отчета'!R3</v>
      </c>
      <c r="F9" s="5" t="str">
        <f t="shared" si="0"/>
        <v>'Данные отчета'!W3</v>
      </c>
      <c r="G9" s="5" t="str">
        <f t="shared" si="0"/>
        <v>'Данные отчета'!AB3</v>
      </c>
      <c r="H9" s="5" t="str">
        <f t="shared" si="0"/>
        <v>'Данные отчета'!AG3</v>
      </c>
      <c r="I9" s="5" t="str">
        <f t="shared" si="0"/>
        <v>'Данные отчета'!AL3</v>
      </c>
      <c r="J9" s="5" t="str">
        <f t="shared" si="0"/>
        <v>'Данные отчета'!AQ3</v>
      </c>
      <c r="K9" s="5" t="str">
        <f t="shared" si="0"/>
        <v>'Данные отчета'!AV3</v>
      </c>
      <c r="L9" s="5" t="str">
        <f t="shared" si="0"/>
        <v>'Данные отчета'!BA3</v>
      </c>
      <c r="M9" s="5" t="str">
        <f t="shared" si="0"/>
        <v>'Данные отчета'!BF3</v>
      </c>
      <c r="N9" s="5" t="str">
        <f t="shared" si="0"/>
        <v>'Данные отчета'!BK3</v>
      </c>
      <c r="O9" s="5" t="str">
        <f t="shared" si="0"/>
        <v>'Данные отчета'!BP3</v>
      </c>
      <c r="P9" s="5" t="str">
        <f t="shared" si="0"/>
        <v>'Данные отчета'!BU3</v>
      </c>
      <c r="Q9" s="5" t="str">
        <f t="shared" si="0"/>
        <v>'Данные отчета'!BZ3</v>
      </c>
    </row>
    <row r="10" spans="1:45" x14ac:dyDescent="0.25">
      <c r="A10" s="2" t="s">
        <v>29</v>
      </c>
      <c r="B10" s="5" t="str">
        <f t="shared" ref="B10:Q10" si="1">ADDRESS(Строка2,COLUMN()+$B$7-2+Col_interval*(COLUMN()-2),4,TRUE,"Данные отчета")</f>
        <v>'Данные отчета'!C5</v>
      </c>
      <c r="C10" s="5" t="str">
        <f t="shared" si="1"/>
        <v>'Данные отчета'!H5</v>
      </c>
      <c r="D10" s="5" t="str">
        <f t="shared" si="1"/>
        <v>'Данные отчета'!M5</v>
      </c>
      <c r="E10" s="5" t="str">
        <f t="shared" si="1"/>
        <v>'Данные отчета'!R5</v>
      </c>
      <c r="F10" s="5" t="str">
        <f t="shared" si="1"/>
        <v>'Данные отчета'!W5</v>
      </c>
      <c r="G10" s="5" t="str">
        <f t="shared" si="1"/>
        <v>'Данные отчета'!AB5</v>
      </c>
      <c r="H10" s="5" t="str">
        <f t="shared" si="1"/>
        <v>'Данные отчета'!AG5</v>
      </c>
      <c r="I10" s="5" t="str">
        <f t="shared" si="1"/>
        <v>'Данные отчета'!AL5</v>
      </c>
      <c r="J10" s="5" t="str">
        <f t="shared" si="1"/>
        <v>'Данные отчета'!AQ5</v>
      </c>
      <c r="K10" s="5" t="str">
        <f t="shared" si="1"/>
        <v>'Данные отчета'!AV5</v>
      </c>
      <c r="L10" s="5" t="str">
        <f t="shared" si="1"/>
        <v>'Данные отчета'!BA5</v>
      </c>
      <c r="M10" s="5" t="str">
        <f t="shared" si="1"/>
        <v>'Данные отчета'!BF5</v>
      </c>
      <c r="N10" s="5" t="str">
        <f t="shared" si="1"/>
        <v>'Данные отчета'!BK5</v>
      </c>
      <c r="O10" s="5" t="str">
        <f t="shared" si="1"/>
        <v>'Данные отчета'!BP5</v>
      </c>
      <c r="P10" s="5" t="str">
        <f t="shared" si="1"/>
        <v>'Данные отчета'!BU5</v>
      </c>
      <c r="Q10" s="5" t="str">
        <f t="shared" si="1"/>
        <v>'Данные отчета'!BZ5</v>
      </c>
    </row>
    <row r="11" spans="1:45" x14ac:dyDescent="0.25">
      <c r="A11" s="2" t="s">
        <v>30</v>
      </c>
      <c r="B11" s="5" t="str">
        <f t="shared" ref="B11:Q11" si="2">ADDRESS(СтрокаY0,COLUMN()+$B$7-2+Col_interval*(COLUMN()-2),4,TRUE,"Данные отчета")</f>
        <v>'Данные отчета'!C3</v>
      </c>
      <c r="C11" s="5" t="str">
        <f t="shared" si="2"/>
        <v>'Данные отчета'!H3</v>
      </c>
      <c r="D11" s="5" t="str">
        <f t="shared" si="2"/>
        <v>'Данные отчета'!M3</v>
      </c>
      <c r="E11" s="5" t="str">
        <f t="shared" si="2"/>
        <v>'Данные отчета'!R3</v>
      </c>
      <c r="F11" s="5" t="str">
        <f t="shared" si="2"/>
        <v>'Данные отчета'!W3</v>
      </c>
      <c r="G11" s="5" t="str">
        <f t="shared" si="2"/>
        <v>'Данные отчета'!AB3</v>
      </c>
      <c r="H11" s="5" t="str">
        <f t="shared" si="2"/>
        <v>'Данные отчета'!AG3</v>
      </c>
      <c r="I11" s="5" t="str">
        <f t="shared" si="2"/>
        <v>'Данные отчета'!AL3</v>
      </c>
      <c r="J11" s="5" t="str">
        <f t="shared" si="2"/>
        <v>'Данные отчета'!AQ3</v>
      </c>
      <c r="K11" s="5" t="str">
        <f t="shared" si="2"/>
        <v>'Данные отчета'!AV3</v>
      </c>
      <c r="L11" s="5" t="str">
        <f t="shared" si="2"/>
        <v>'Данные отчета'!BA3</v>
      </c>
      <c r="M11" s="5" t="str">
        <f t="shared" si="2"/>
        <v>'Данные отчета'!BF3</v>
      </c>
      <c r="N11" s="5" t="str">
        <f t="shared" si="2"/>
        <v>'Данные отчета'!BK3</v>
      </c>
      <c r="O11" s="5" t="str">
        <f t="shared" si="2"/>
        <v>'Данные отчета'!BP3</v>
      </c>
      <c r="P11" s="5" t="str">
        <f t="shared" si="2"/>
        <v>'Данные отчета'!BU3</v>
      </c>
      <c r="Q11" s="5" t="str">
        <f t="shared" si="2"/>
        <v>'Данные отчета'!BZ3</v>
      </c>
      <c r="R11" s="5"/>
    </row>
    <row r="12" spans="1:45" x14ac:dyDescent="0.25">
      <c r="A12" s="2" t="s">
        <v>31</v>
      </c>
      <c r="B12" s="5">
        <f ca="1">INDIRECT(B9)</f>
        <v>-2.4991142773869064</v>
      </c>
      <c r="C12" s="5">
        <f t="shared" ref="C12:Q13" ca="1" si="3">INDIRECT(C9)</f>
        <v>-0.24365957410177161</v>
      </c>
      <c r="D12" s="5">
        <f t="shared" ca="1" si="3"/>
        <v>-2.4985218048095703</v>
      </c>
      <c r="E12" s="5">
        <f t="shared" ca="1" si="3"/>
        <v>4.2052653492197741E-8</v>
      </c>
      <c r="F12" s="5">
        <f t="shared" ca="1" si="3"/>
        <v>6.6682035787099565</v>
      </c>
      <c r="G12" s="5">
        <f t="shared" ca="1" si="3"/>
        <v>4</v>
      </c>
      <c r="H12" s="5">
        <f t="shared" ca="1" si="3"/>
        <v>2.4990562738094408</v>
      </c>
      <c r="I12" s="5">
        <f t="shared" ca="1" si="3"/>
        <v>0.33</v>
      </c>
      <c r="J12" s="5">
        <f t="shared" ca="1" si="3"/>
        <v>7.1641491170153957</v>
      </c>
      <c r="K12" s="5">
        <f t="shared" ca="1" si="3"/>
        <v>1.5375614166259766E-3</v>
      </c>
      <c r="L12" s="5">
        <f t="shared" ca="1" si="3"/>
        <v>-2.4997265338897705</v>
      </c>
      <c r="M12" s="5">
        <f t="shared" ca="1" si="3"/>
        <v>0.90689968200000004</v>
      </c>
      <c r="N12" s="5">
        <f t="shared" ca="1" si="3"/>
        <v>2.5809147590022386E-4</v>
      </c>
      <c r="O12" s="5">
        <f t="shared" ca="1" si="3"/>
        <v>0.84</v>
      </c>
      <c r="P12" s="5">
        <f t="shared" ca="1" si="3"/>
        <v>-2.4992965760857166</v>
      </c>
      <c r="Q12" s="5">
        <f t="shared" ca="1" si="3"/>
        <v>0.51145141479297818</v>
      </c>
    </row>
    <row r="13" spans="1:45" x14ac:dyDescent="0.25">
      <c r="A13" s="2" t="s">
        <v>32</v>
      </c>
      <c r="B13" s="5">
        <f ca="1">INDIRECT(B10)</f>
        <v>2.4988063233239308</v>
      </c>
      <c r="C13" s="5">
        <f t="shared" ca="1" si="3"/>
        <v>0.61332398211774963</v>
      </c>
      <c r="D13" s="5">
        <f t="shared" ca="1" si="3"/>
        <v>2.4997434616088867</v>
      </c>
      <c r="E13" s="5">
        <f t="shared" ca="1" si="3"/>
        <v>8.8395047012868869E-8</v>
      </c>
      <c r="F13" s="5">
        <f t="shared" ca="1" si="3"/>
        <v>3.6550560588330789</v>
      </c>
      <c r="G13" s="5">
        <f t="shared" ca="1" si="3"/>
        <v>4</v>
      </c>
      <c r="H13" s="5">
        <f t="shared" ca="1" si="3"/>
        <v>2.4990019600275244</v>
      </c>
      <c r="I13" s="5">
        <f t="shared" ca="1" si="3"/>
        <v>2.97</v>
      </c>
      <c r="J13" s="5">
        <f t="shared" ca="1" si="3"/>
        <v>4.0847430584371933</v>
      </c>
      <c r="K13" s="5">
        <f t="shared" ca="1" si="3"/>
        <v>1.5375614166259766E-3</v>
      </c>
      <c r="L13" s="5">
        <f t="shared" ca="1" si="3"/>
        <v>2.4983644485473633</v>
      </c>
      <c r="M13" s="5">
        <f t="shared" ca="1" si="3"/>
        <v>0.90689968200000004</v>
      </c>
      <c r="N13" s="5">
        <f t="shared" ca="1" si="3"/>
        <v>2.5064498084342352E-4</v>
      </c>
      <c r="O13" s="5">
        <f t="shared" ca="1" si="3"/>
        <v>2.09</v>
      </c>
      <c r="P13" s="5">
        <f t="shared" ca="1" si="3"/>
        <v>2.4994032188337676</v>
      </c>
      <c r="Q13" s="5">
        <f t="shared" ca="1" si="3"/>
        <v>5.0429297163488039E-3</v>
      </c>
    </row>
    <row r="14" spans="1:45" x14ac:dyDescent="0.25">
      <c r="A14" s="2" t="s">
        <v>33</v>
      </c>
      <c r="B14" s="5">
        <f ca="1">INDIRECT(X1Link)</f>
        <v>-2.5</v>
      </c>
      <c r="C14" s="5" t="str">
        <f>ADDRESS(Строка0+Строка1-СтрокаY0,1,4,TRUE,"Линейность")</f>
        <v>Линейность!A21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45" x14ac:dyDescent="0.25">
      <c r="A15" s="2" t="s">
        <v>34</v>
      </c>
      <c r="B15" s="10">
        <f ca="1">INDIRECT(X2Link)</f>
        <v>2.5</v>
      </c>
      <c r="C15" s="5" t="str">
        <f>ADDRESS(Строка0+Строка2-СтрокаY0,1,4,TRUE,"Линейность")</f>
        <v>Линейность!A23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45" x14ac:dyDescent="0.25">
      <c r="A16" s="2" t="s">
        <v>35</v>
      </c>
      <c r="B16" s="5">
        <f ca="1">B13-B12</f>
        <v>4.9979206007108372</v>
      </c>
      <c r="C16" s="5">
        <f t="shared" ref="C16:Q16" ca="1" si="4">C13-C12</f>
        <v>0.85698355621952127</v>
      </c>
      <c r="D16" s="5">
        <f t="shared" ca="1" si="4"/>
        <v>4.998265266418457</v>
      </c>
      <c r="E16" s="5">
        <f t="shared" ca="1" si="4"/>
        <v>4.6342393520671128E-8</v>
      </c>
      <c r="F16" s="5">
        <f t="shared" ca="1" si="4"/>
        <v>-3.0131475198768776</v>
      </c>
      <c r="G16" s="5">
        <f t="shared" ca="1" si="4"/>
        <v>0</v>
      </c>
      <c r="H16" s="5">
        <f t="shared" ca="1" si="4"/>
        <v>-5.4313781916448534E-5</v>
      </c>
      <c r="I16" s="5">
        <f t="shared" ca="1" si="4"/>
        <v>2.64</v>
      </c>
      <c r="J16" s="5">
        <f t="shared" ca="1" si="4"/>
        <v>-3.0794060585782024</v>
      </c>
      <c r="K16" s="5">
        <f t="shared" ca="1" si="4"/>
        <v>0</v>
      </c>
      <c r="L16" s="5">
        <f t="shared" ca="1" si="4"/>
        <v>4.9980909824371338</v>
      </c>
      <c r="M16" s="5">
        <f t="shared" ca="1" si="4"/>
        <v>0</v>
      </c>
      <c r="N16" s="5">
        <f t="shared" ca="1" si="4"/>
        <v>-7.4464950568003323E-6</v>
      </c>
      <c r="O16" s="5">
        <f t="shared" ca="1" si="4"/>
        <v>1.25</v>
      </c>
      <c r="P16" s="5">
        <f t="shared" ca="1" si="4"/>
        <v>4.9986997949194842</v>
      </c>
      <c r="Q16" s="5">
        <f t="shared" ca="1" si="4"/>
        <v>-0.50640848507662939</v>
      </c>
    </row>
    <row r="17" spans="1:21" x14ac:dyDescent="0.25">
      <c r="A17" s="2" t="s">
        <v>36</v>
      </c>
      <c r="B17" s="5">
        <f ca="1">B15-B14</f>
        <v>5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21" x14ac:dyDescent="0.25">
      <c r="A18" s="6" t="s">
        <v>37</v>
      </c>
      <c r="B18" s="4">
        <f ca="1">B16/$B$17</f>
        <v>0.99958412014216746</v>
      </c>
      <c r="C18" s="4">
        <f ca="1">C16/$B$17</f>
        <v>0.17139671124390427</v>
      </c>
      <c r="D18" s="4">
        <f t="shared" ref="D18:Q18" ca="1" si="5">D16/$B$17</f>
        <v>0.99965305328369136</v>
      </c>
      <c r="E18" s="4">
        <f t="shared" ca="1" si="5"/>
        <v>9.2684787041342249E-9</v>
      </c>
      <c r="F18" s="4">
        <f t="shared" ca="1" si="5"/>
        <v>-0.60262950397537551</v>
      </c>
      <c r="G18" s="4">
        <f t="shared" ca="1" si="5"/>
        <v>0</v>
      </c>
      <c r="H18" s="4">
        <f t="shared" ca="1" si="5"/>
        <v>-1.0862756383289707E-5</v>
      </c>
      <c r="I18" s="4">
        <f t="shared" ca="1" si="5"/>
        <v>0.52800000000000002</v>
      </c>
      <c r="J18" s="4">
        <f t="shared" ca="1" si="5"/>
        <v>-0.61588121171564048</v>
      </c>
      <c r="K18" s="4">
        <f t="shared" ca="1" si="5"/>
        <v>0</v>
      </c>
      <c r="L18" s="4">
        <f t="shared" ca="1" si="5"/>
        <v>0.99961819648742678</v>
      </c>
      <c r="M18" s="4">
        <f t="shared" ca="1" si="5"/>
        <v>0</v>
      </c>
      <c r="N18" s="4">
        <f t="shared" ca="1" si="5"/>
        <v>-1.4892990113600665E-6</v>
      </c>
      <c r="O18" s="4">
        <f t="shared" ca="1" si="5"/>
        <v>0.25</v>
      </c>
      <c r="P18" s="4">
        <f t="shared" ca="1" si="5"/>
        <v>0.99973995898389689</v>
      </c>
      <c r="Q18" s="4">
        <f t="shared" ca="1" si="5"/>
        <v>-0.10128169701532588</v>
      </c>
    </row>
    <row r="19" spans="1:21" x14ac:dyDescent="0.25">
      <c r="A19" s="6" t="s">
        <v>38</v>
      </c>
      <c r="B19" s="4">
        <f ca="1">B12-B18*$B$14</f>
        <v>-1.5397703148778419E-4</v>
      </c>
      <c r="C19" s="4">
        <f t="shared" ref="C19:Q19" ca="1" si="6">C12-C18*$B$14</f>
        <v>0.18483220400798908</v>
      </c>
      <c r="D19" s="4">
        <f t="shared" ca="1" si="6"/>
        <v>6.1082839965820313E-4</v>
      </c>
      <c r="E19" s="4">
        <f t="shared" ca="1" si="6"/>
        <v>6.5223850252533305E-8</v>
      </c>
      <c r="F19" s="4">
        <f t="shared" ca="1" si="6"/>
        <v>5.1616298187715177</v>
      </c>
      <c r="G19" s="4">
        <f t="shared" ca="1" si="6"/>
        <v>4</v>
      </c>
      <c r="H19" s="4">
        <f t="shared" ca="1" si="6"/>
        <v>2.4990291169184826</v>
      </c>
      <c r="I19" s="4">
        <f t="shared" ca="1" si="6"/>
        <v>1.6500000000000001</v>
      </c>
      <c r="J19" s="4">
        <f t="shared" ca="1" si="6"/>
        <v>5.6244460877262945</v>
      </c>
      <c r="K19" s="4">
        <f t="shared" ca="1" si="6"/>
        <v>1.5375614166259766E-3</v>
      </c>
      <c r="L19" s="4">
        <f t="shared" ca="1" si="6"/>
        <v>-6.8104267120361328E-4</v>
      </c>
      <c r="M19" s="4">
        <f t="shared" ca="1" si="6"/>
        <v>0.90689968200000004</v>
      </c>
      <c r="N19" s="4">
        <f t="shared" ca="1" si="6"/>
        <v>2.5436822837182366E-4</v>
      </c>
      <c r="O19" s="4">
        <f t="shared" ca="1" si="6"/>
        <v>1.4649999999999999</v>
      </c>
      <c r="P19" s="4">
        <f t="shared" ca="1" si="6"/>
        <v>5.3321374025472323E-5</v>
      </c>
      <c r="Q19" s="4">
        <f t="shared" ca="1" si="6"/>
        <v>0.25824717225466348</v>
      </c>
    </row>
    <row r="20" spans="1:21" ht="18.75" x14ac:dyDescent="0.3">
      <c r="A20" s="9" t="s">
        <v>44</v>
      </c>
      <c r="B20" s="69" t="s">
        <v>39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</row>
    <row r="21" spans="1:21" x14ac:dyDescent="0.25">
      <c r="A21">
        <v>-2.5</v>
      </c>
      <c r="B21" s="13">
        <f t="shared" ref="B21:Q23" ca="1" si="7">100*(B$18*$A21+B$19-INDIRECT(ADDRESS(СтрокаY0-Строка0+ROW(),COLUMN()+$B$7-2+Col_interval*(COLUMN()-2),4,TRUE,"Данные отчета")))/range</f>
        <v>0</v>
      </c>
      <c r="C21" s="13">
        <f t="shared" ca="1" si="7"/>
        <v>0</v>
      </c>
      <c r="D21" s="13">
        <f t="shared" ca="1" si="7"/>
        <v>0</v>
      </c>
      <c r="E21" s="13">
        <f t="shared" ca="1" si="7"/>
        <v>0</v>
      </c>
      <c r="F21" s="13">
        <f t="shared" ca="1" si="7"/>
        <v>0</v>
      </c>
      <c r="G21" s="13">
        <f t="shared" ca="1" si="7"/>
        <v>0</v>
      </c>
      <c r="H21" s="13">
        <f t="shared" ca="1" si="7"/>
        <v>0</v>
      </c>
      <c r="I21" s="13">
        <f t="shared" ca="1" si="7"/>
        <v>8.4703294725430034E-20</v>
      </c>
      <c r="J21" s="13">
        <f t="shared" ca="1" si="7"/>
        <v>0</v>
      </c>
      <c r="K21" s="13">
        <f t="shared" ca="1" si="7"/>
        <v>0</v>
      </c>
      <c r="L21" s="13">
        <f t="shared" ca="1" si="7"/>
        <v>0</v>
      </c>
      <c r="M21" s="13">
        <f t="shared" ca="1" si="7"/>
        <v>0</v>
      </c>
      <c r="N21" s="13">
        <f t="shared" ca="1" si="7"/>
        <v>0</v>
      </c>
      <c r="O21" s="13">
        <f t="shared" ca="1" si="7"/>
        <v>-1.6940658945086007E-19</v>
      </c>
      <c r="P21" s="13">
        <f t="shared" ca="1" si="7"/>
        <v>0</v>
      </c>
      <c r="Q21" s="13">
        <f t="shared" ca="1" si="7"/>
        <v>0</v>
      </c>
    </row>
    <row r="22" spans="1:21" x14ac:dyDescent="0.25">
      <c r="A22">
        <v>0</v>
      </c>
      <c r="B22" s="13">
        <f t="shared" ca="1" si="7"/>
        <v>2.6400887122638361E-7</v>
      </c>
      <c r="C22" s="13">
        <f t="shared" ca="1" si="7"/>
        <v>-2.4120160111352866E-4</v>
      </c>
      <c r="D22" s="13">
        <f t="shared" ca="1" si="7"/>
        <v>-1.8166916859740923E-7</v>
      </c>
      <c r="E22" s="13">
        <f t="shared" ca="1" si="7"/>
        <v>-2.1899646025821915E-10</v>
      </c>
      <c r="F22" s="13">
        <f t="shared" ca="1" si="7"/>
        <v>4.6200189483725021E-3</v>
      </c>
      <c r="G22" s="13">
        <f t="shared" ca="1" si="7"/>
        <v>0</v>
      </c>
      <c r="H22" s="13">
        <f t="shared" ca="1" si="7"/>
        <v>3.8124262153272372E-3</v>
      </c>
      <c r="I22" s="13">
        <f t="shared" ca="1" si="7"/>
        <v>-1.9836425781249984E-4</v>
      </c>
      <c r="J22" s="13">
        <f t="shared" ca="1" si="7"/>
        <v>3.9752634236586148E-3</v>
      </c>
      <c r="K22" s="13">
        <f t="shared" ca="1" si="7"/>
        <v>-6.1716454169413737E-7</v>
      </c>
      <c r="L22" s="13">
        <f t="shared" ca="1" si="7"/>
        <v>-1.7861969681121082E-7</v>
      </c>
      <c r="M22" s="13">
        <f t="shared" ca="1" si="7"/>
        <v>0</v>
      </c>
      <c r="N22" s="13">
        <f t="shared" ca="1" si="7"/>
        <v>-1.4802684330493463E-7</v>
      </c>
      <c r="O22" s="13">
        <f t="shared" ca="1" si="7"/>
        <v>6.7901611328124978E-4</v>
      </c>
      <c r="P22" s="13">
        <f t="shared" ca="1" si="7"/>
        <v>-1.0349310086146868E-6</v>
      </c>
      <c r="Q22" s="13">
        <f t="shared" ca="1" si="7"/>
        <v>9.8006667763894835E-4</v>
      </c>
    </row>
    <row r="23" spans="1:21" x14ac:dyDescent="0.25">
      <c r="A23">
        <v>2.5</v>
      </c>
      <c r="B23" s="13">
        <f t="shared" ca="1" si="7"/>
        <v>0</v>
      </c>
      <c r="C23" s="13">
        <f t="shared" ca="1" si="7"/>
        <v>1.6940658945086007E-19</v>
      </c>
      <c r="D23" s="13">
        <f t="shared" ca="1" si="7"/>
        <v>0</v>
      </c>
      <c r="E23" s="13">
        <f t="shared" ca="1" si="7"/>
        <v>0</v>
      </c>
      <c r="F23" s="13">
        <f t="shared" ca="1" si="7"/>
        <v>0</v>
      </c>
      <c r="G23" s="13">
        <f t="shared" ca="1" si="7"/>
        <v>0</v>
      </c>
      <c r="H23" s="13">
        <f t="shared" ca="1" si="7"/>
        <v>0</v>
      </c>
      <c r="I23" s="13">
        <f t="shared" ca="1" si="7"/>
        <v>0</v>
      </c>
      <c r="J23" s="13">
        <f t="shared" ca="1" si="7"/>
        <v>0</v>
      </c>
      <c r="K23" s="13">
        <f t="shared" ca="1" si="7"/>
        <v>0</v>
      </c>
      <c r="L23" s="13">
        <f t="shared" ca="1" si="7"/>
        <v>0</v>
      </c>
      <c r="M23" s="13">
        <f t="shared" ca="1" si="7"/>
        <v>0</v>
      </c>
      <c r="N23" s="13">
        <f t="shared" ca="1" si="7"/>
        <v>-8.2718061255302767E-23</v>
      </c>
      <c r="O23" s="13">
        <f t="shared" ca="1" si="7"/>
        <v>0</v>
      </c>
      <c r="P23" s="13">
        <f t="shared" ca="1" si="7"/>
        <v>0</v>
      </c>
      <c r="Q23" s="13">
        <f t="shared" ca="1" si="7"/>
        <v>-2.5146290621612041E-20</v>
      </c>
    </row>
    <row r="24" spans="1:21" x14ac:dyDescent="0.25">
      <c r="A24" s="6" t="s">
        <v>41</v>
      </c>
      <c r="B24" s="51">
        <f t="shared" ref="B24:Q24" ca="1" si="8">IF(IF(ABS(MAXA(B$21:B$23))&gt;ABS(MINA(B$21:B$23)),1,0),MAX(B$21:B$23),MIN(B$21:B$23))</f>
        <v>2.6400887122638361E-7</v>
      </c>
      <c r="C24" s="51">
        <f t="shared" ca="1" si="8"/>
        <v>-2.4120160111352866E-4</v>
      </c>
      <c r="D24" s="51">
        <f t="shared" ca="1" si="8"/>
        <v>-1.8166916859740923E-7</v>
      </c>
      <c r="E24" s="51">
        <f t="shared" ca="1" si="8"/>
        <v>-2.1899646025821915E-10</v>
      </c>
      <c r="F24" s="51">
        <f t="shared" ca="1" si="8"/>
        <v>4.6200189483725021E-3</v>
      </c>
      <c r="G24" s="51">
        <f t="shared" ca="1" si="8"/>
        <v>0</v>
      </c>
      <c r="H24" s="51">
        <f t="shared" ca="1" si="8"/>
        <v>3.8124262153272372E-3</v>
      </c>
      <c r="I24" s="51">
        <f t="shared" ca="1" si="8"/>
        <v>-1.9836425781249984E-4</v>
      </c>
      <c r="J24" s="51">
        <f t="shared" ca="1" si="8"/>
        <v>3.9752634236586148E-3</v>
      </c>
      <c r="K24" s="51">
        <f t="shared" ca="1" si="8"/>
        <v>-6.1716454169413737E-7</v>
      </c>
      <c r="L24" s="51">
        <f t="shared" ca="1" si="8"/>
        <v>-1.7861969681121082E-7</v>
      </c>
      <c r="M24" s="51">
        <f t="shared" ca="1" si="8"/>
        <v>0</v>
      </c>
      <c r="N24" s="51">
        <f t="shared" ca="1" si="8"/>
        <v>-1.4802684330493463E-7</v>
      </c>
      <c r="O24" s="51">
        <f t="shared" ca="1" si="8"/>
        <v>6.7901611328124978E-4</v>
      </c>
      <c r="P24" s="51">
        <f t="shared" ca="1" si="8"/>
        <v>-1.0349310086146868E-6</v>
      </c>
      <c r="Q24" s="51">
        <f t="shared" ca="1" si="8"/>
        <v>9.8006667763894835E-4</v>
      </c>
      <c r="S24" s="7"/>
      <c r="U24" s="8"/>
    </row>
    <row r="25" spans="1:21" x14ac:dyDescent="0.25">
      <c r="A25" s="6" t="s">
        <v>46</v>
      </c>
      <c r="B25" s="14">
        <f ca="1">MAX((B24:Q24))</f>
        <v>4.6200189483725021E-3</v>
      </c>
      <c r="C25" s="6" t="s">
        <v>47</v>
      </c>
      <c r="D25" s="14">
        <f ca="1">MIN((B24:Q24))</f>
        <v>-2.4120160111352866E-4</v>
      </c>
    </row>
    <row r="27" spans="1:21" ht="18.75" x14ac:dyDescent="0.3">
      <c r="A27" s="15" t="s">
        <v>56</v>
      </c>
      <c r="B27" s="16"/>
      <c r="C27" s="16"/>
      <c r="D27" s="16"/>
      <c r="E27" s="16"/>
      <c r="F27" s="16"/>
      <c r="G27" s="16"/>
      <c r="H27" s="16"/>
      <c r="I27" s="16"/>
    </row>
  </sheetData>
  <mergeCells count="2">
    <mergeCell ref="B20:Q20"/>
    <mergeCell ref="F2:L8"/>
  </mergeCells>
  <conditionalFormatting sqref="B21:Q24">
    <cfRule type="cellIs" dxfId="3" priority="2" operator="notBetween">
      <formula>-$D$7</formula>
      <formula>$D$7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Q22"/>
  <sheetViews>
    <sheetView tabSelected="1" zoomScale="70" zoomScaleNormal="70" workbookViewId="0">
      <selection activeCell="B7" sqref="B7"/>
    </sheetView>
  </sheetViews>
  <sheetFormatPr defaultRowHeight="15" x14ac:dyDescent="0.25"/>
  <cols>
    <col min="1" max="1" width="26.7109375" customWidth="1"/>
    <col min="2" max="2" width="23.7109375" customWidth="1"/>
    <col min="3" max="3" width="27.42578125" customWidth="1"/>
    <col min="4" max="4" width="23.140625" customWidth="1"/>
    <col min="5" max="5" width="16.7109375" customWidth="1"/>
    <col min="6" max="6" width="22.5703125" customWidth="1"/>
    <col min="7" max="7" width="21.5703125" customWidth="1"/>
    <col min="8" max="8" width="21.85546875" customWidth="1"/>
    <col min="9" max="9" width="24.7109375" customWidth="1"/>
    <col min="10" max="10" width="23.42578125" customWidth="1"/>
    <col min="11" max="11" width="22.42578125" customWidth="1"/>
    <col min="12" max="12" width="26.7109375" customWidth="1"/>
    <col min="13" max="13" width="21.5703125" customWidth="1"/>
    <col min="14" max="14" width="24" customWidth="1"/>
    <col min="15" max="15" width="24.140625" customWidth="1"/>
    <col min="16" max="16" width="23.140625" customWidth="1"/>
    <col min="17" max="17" width="21.7109375" customWidth="1"/>
  </cols>
  <sheetData>
    <row r="1" spans="1:17" ht="15.75" x14ac:dyDescent="0.25">
      <c r="A1" s="18"/>
      <c r="B1" s="18" t="s">
        <v>4</v>
      </c>
      <c r="C1" s="18" t="s">
        <v>5</v>
      </c>
      <c r="D1" s="18" t="s">
        <v>6</v>
      </c>
      <c r="E1" s="18" t="s">
        <v>7</v>
      </c>
      <c r="F1" s="18" t="s">
        <v>8</v>
      </c>
      <c r="G1" s="18" t="s">
        <v>9</v>
      </c>
      <c r="H1" s="18" t="s">
        <v>10</v>
      </c>
      <c r="I1" s="18" t="s">
        <v>11</v>
      </c>
      <c r="J1" s="18" t="s">
        <v>12</v>
      </c>
      <c r="K1" s="18" t="s">
        <v>13</v>
      </c>
      <c r="L1" s="18" t="s">
        <v>14</v>
      </c>
      <c r="M1" s="18" t="s">
        <v>15</v>
      </c>
      <c r="N1" s="18" t="s">
        <v>16</v>
      </c>
      <c r="O1" s="18" t="s">
        <v>17</v>
      </c>
      <c r="P1" s="18" t="s">
        <v>18</v>
      </c>
      <c r="Q1" s="18" t="s">
        <v>19</v>
      </c>
    </row>
    <row r="2" spans="1:17" ht="31.5" x14ac:dyDescent="0.25">
      <c r="A2" s="19" t="s">
        <v>20</v>
      </c>
      <c r="B2" s="58">
        <v>5</v>
      </c>
      <c r="C2" s="21" t="s">
        <v>21</v>
      </c>
      <c r="D2" s="21"/>
      <c r="E2" s="82" t="s">
        <v>108</v>
      </c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4"/>
    </row>
    <row r="3" spans="1:17" ht="15.75" customHeight="1" x14ac:dyDescent="0.25">
      <c r="A3" s="21" t="s">
        <v>25</v>
      </c>
      <c r="B3" s="55">
        <v>3</v>
      </c>
      <c r="C3" s="23" t="s">
        <v>26</v>
      </c>
      <c r="D3" s="23"/>
      <c r="E3" s="75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7"/>
    </row>
    <row r="4" spans="1:17" ht="15.75" customHeight="1" x14ac:dyDescent="0.25">
      <c r="A4" s="21" t="s">
        <v>27</v>
      </c>
      <c r="B4" s="55">
        <v>15</v>
      </c>
      <c r="C4" s="23" t="s">
        <v>51</v>
      </c>
      <c r="D4" s="23"/>
      <c r="E4" s="75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7"/>
    </row>
    <row r="5" spans="1:17" ht="31.5" x14ac:dyDescent="0.25">
      <c r="A5" s="19" t="s">
        <v>68</v>
      </c>
      <c r="B5" s="55">
        <v>11</v>
      </c>
      <c r="C5" s="19" t="s">
        <v>69</v>
      </c>
      <c r="D5" s="55">
        <v>13</v>
      </c>
      <c r="E5" s="75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7"/>
    </row>
    <row r="6" spans="1:17" ht="47.25" x14ac:dyDescent="0.25">
      <c r="A6" s="19" t="s">
        <v>61</v>
      </c>
      <c r="B6" s="55">
        <v>13</v>
      </c>
      <c r="C6" s="24" t="s">
        <v>57</v>
      </c>
      <c r="D6" s="56">
        <v>2.5000000000000001E-2</v>
      </c>
      <c r="E6" s="75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7"/>
    </row>
    <row r="7" spans="1:17" s="37" customFormat="1" ht="36" customHeight="1" x14ac:dyDescent="0.25">
      <c r="A7" s="39" t="s">
        <v>72</v>
      </c>
      <c r="B7" s="57">
        <v>2</v>
      </c>
      <c r="C7" s="59" t="s">
        <v>70</v>
      </c>
      <c r="D7" s="55">
        <v>3</v>
      </c>
      <c r="E7" s="78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80"/>
    </row>
    <row r="8" spans="1:17" ht="15.75" x14ac:dyDescent="0.25">
      <c r="A8" s="21" t="s">
        <v>52</v>
      </c>
      <c r="B8" s="26" t="str">
        <f t="shared" ref="B8:Q8" si="0">ADDRESS(СтрокаY0,COLUMN()+ColMin-2+ColInterval_2*(COLUMN()-2),4,TRUE,"Данные отчета")</f>
        <v>'Данные отчета'!K3</v>
      </c>
      <c r="C8" s="26" t="str">
        <f t="shared" si="0"/>
        <v>'Данные отчета'!Y3</v>
      </c>
      <c r="D8" s="26" t="str">
        <f t="shared" si="0"/>
        <v>'Данные отчета'!AM3</v>
      </c>
      <c r="E8" s="26" t="str">
        <f t="shared" si="0"/>
        <v>'Данные отчета'!BA3</v>
      </c>
      <c r="F8" s="26" t="str">
        <f t="shared" si="0"/>
        <v>'Данные отчета'!BO3</v>
      </c>
      <c r="G8" s="26" t="str">
        <f t="shared" si="0"/>
        <v>'Данные отчета'!CC3</v>
      </c>
      <c r="H8" s="26" t="str">
        <f t="shared" si="0"/>
        <v>'Данные отчета'!CQ3</v>
      </c>
      <c r="I8" s="26" t="str">
        <f t="shared" si="0"/>
        <v>'Данные отчета'!DE3</v>
      </c>
      <c r="J8" s="26" t="str">
        <f t="shared" si="0"/>
        <v>'Данные отчета'!DS3</v>
      </c>
      <c r="K8" s="26" t="str">
        <f t="shared" si="0"/>
        <v>'Данные отчета'!EG3</v>
      </c>
      <c r="L8" s="26" t="str">
        <f t="shared" si="0"/>
        <v>'Данные отчета'!EU3</v>
      </c>
      <c r="M8" s="26" t="str">
        <f t="shared" si="0"/>
        <v>'Данные отчета'!FI3</v>
      </c>
      <c r="N8" s="26" t="str">
        <f t="shared" si="0"/>
        <v>'Данные отчета'!FW3</v>
      </c>
      <c r="O8" s="26" t="str">
        <f t="shared" si="0"/>
        <v>'Данные отчета'!GK3</v>
      </c>
      <c r="P8" s="26" t="str">
        <f t="shared" si="0"/>
        <v>'Данные отчета'!GY3</v>
      </c>
      <c r="Q8" s="26" t="str">
        <f t="shared" si="0"/>
        <v>'Данные отчета'!HM3</v>
      </c>
    </row>
    <row r="9" spans="1:17" ht="15.75" x14ac:dyDescent="0.25">
      <c r="A9" s="21" t="s">
        <v>53</v>
      </c>
      <c r="B9" s="26" t="str">
        <f t="shared" ref="B9:Q9" si="1">ADDRESS(СтрокаY0,COLUMN()+ColMax-2+ColInterval_2*(COLUMN()-2),4,TRUE,"Данные отчета")</f>
        <v>'Данные отчета'!M3</v>
      </c>
      <c r="C9" s="26" t="str">
        <f t="shared" si="1"/>
        <v>'Данные отчета'!AA3</v>
      </c>
      <c r="D9" s="26" t="str">
        <f t="shared" si="1"/>
        <v>'Данные отчета'!AO3</v>
      </c>
      <c r="E9" s="26" t="str">
        <f t="shared" si="1"/>
        <v>'Данные отчета'!BC3</v>
      </c>
      <c r="F9" s="26" t="str">
        <f t="shared" si="1"/>
        <v>'Данные отчета'!BQ3</v>
      </c>
      <c r="G9" s="26" t="str">
        <f t="shared" si="1"/>
        <v>'Данные отчета'!CE3</v>
      </c>
      <c r="H9" s="26" t="str">
        <f t="shared" si="1"/>
        <v>'Данные отчета'!CS3</v>
      </c>
      <c r="I9" s="26" t="str">
        <f t="shared" si="1"/>
        <v>'Данные отчета'!DG3</v>
      </c>
      <c r="J9" s="26" t="str">
        <f t="shared" si="1"/>
        <v>'Данные отчета'!DU3</v>
      </c>
      <c r="K9" s="26" t="str">
        <f t="shared" si="1"/>
        <v>'Данные отчета'!EI3</v>
      </c>
      <c r="L9" s="26" t="str">
        <f t="shared" si="1"/>
        <v>'Данные отчета'!EW3</v>
      </c>
      <c r="M9" s="26" t="str">
        <f t="shared" si="1"/>
        <v>'Данные отчета'!FK3</v>
      </c>
      <c r="N9" s="26" t="str">
        <f t="shared" si="1"/>
        <v>'Данные отчета'!FY3</v>
      </c>
      <c r="O9" s="26" t="str">
        <f t="shared" si="1"/>
        <v>'Данные отчета'!GM3</v>
      </c>
      <c r="P9" s="26" t="str">
        <f t="shared" si="1"/>
        <v>'Данные отчета'!HA3</v>
      </c>
      <c r="Q9" s="26" t="str">
        <f t="shared" si="1"/>
        <v>'Данные отчета'!HO3</v>
      </c>
    </row>
    <row r="10" spans="1:17" s="37" customFormat="1" ht="15.75" x14ac:dyDescent="0.25">
      <c r="A10" s="41" t="s">
        <v>71</v>
      </c>
      <c r="B10" s="46" t="str">
        <f t="shared" ref="B10:Q10" si="2">ADDRESS(СтрокаY0,COLUMN()+Noise_ColM-2+ColInterval_2*(COLUMN()-2),4,TRUE,"Данные отчета")</f>
        <v>'Данные отчета'!C3</v>
      </c>
      <c r="C10" s="46" t="str">
        <f t="shared" si="2"/>
        <v>'Данные отчета'!Q3</v>
      </c>
      <c r="D10" s="46" t="str">
        <f t="shared" si="2"/>
        <v>'Данные отчета'!AE3</v>
      </c>
      <c r="E10" s="46" t="str">
        <f t="shared" si="2"/>
        <v>'Данные отчета'!AS3</v>
      </c>
      <c r="F10" s="46" t="str">
        <f t="shared" si="2"/>
        <v>'Данные отчета'!BG3</v>
      </c>
      <c r="G10" s="46" t="str">
        <f t="shared" si="2"/>
        <v>'Данные отчета'!BU3</v>
      </c>
      <c r="H10" s="46" t="str">
        <f t="shared" si="2"/>
        <v>'Данные отчета'!CI3</v>
      </c>
      <c r="I10" s="46" t="str">
        <f t="shared" si="2"/>
        <v>'Данные отчета'!CW3</v>
      </c>
      <c r="J10" s="46" t="str">
        <f t="shared" si="2"/>
        <v>'Данные отчета'!DK3</v>
      </c>
      <c r="K10" s="46" t="str">
        <f t="shared" si="2"/>
        <v>'Данные отчета'!DY3</v>
      </c>
      <c r="L10" s="46" t="str">
        <f t="shared" si="2"/>
        <v>'Данные отчета'!EM3</v>
      </c>
      <c r="M10" s="46" t="str">
        <f t="shared" si="2"/>
        <v>'Данные отчета'!FA3</v>
      </c>
      <c r="N10" s="46" t="str">
        <f t="shared" si="2"/>
        <v>'Данные отчета'!FO3</v>
      </c>
      <c r="O10" s="46" t="str">
        <f t="shared" si="2"/>
        <v>'Данные отчета'!GC3</v>
      </c>
      <c r="P10" s="46" t="str">
        <f t="shared" si="2"/>
        <v>'Данные отчета'!GQ3</v>
      </c>
      <c r="Q10" s="46" t="str">
        <f t="shared" si="2"/>
        <v>'Данные отчета'!HE3</v>
      </c>
    </row>
    <row r="11" spans="1:17" s="11" customFormat="1" ht="15.75" x14ac:dyDescent="0.25">
      <c r="A11" s="21" t="s">
        <v>54</v>
      </c>
      <c r="B11" s="26">
        <f ca="1">INDIRECT(B8)</f>
        <v>-2.4998164176940918</v>
      </c>
      <c r="C11" s="26">
        <f t="shared" ref="C11:Q11" ca="1" si="3">INDIRECT(C8)</f>
        <v>-2.4997305870056152</v>
      </c>
      <c r="D11" s="26">
        <f t="shared" ca="1" si="3"/>
        <v>-2.49973464012146</v>
      </c>
      <c r="E11" s="26">
        <f t="shared" ca="1" si="3"/>
        <v>-2.4997265338897705</v>
      </c>
      <c r="F11" s="26">
        <f t="shared" ca="1" si="3"/>
        <v>-2.4999675750732422</v>
      </c>
      <c r="G11" s="26">
        <f t="shared" ca="1" si="3"/>
        <v>-2.4999628067016602</v>
      </c>
      <c r="H11" s="26">
        <f t="shared" ca="1" si="3"/>
        <v>-2.5001220703125</v>
      </c>
      <c r="I11" s="26">
        <f t="shared" ca="1" si="3"/>
        <v>-2.5000452995300293</v>
      </c>
      <c r="J11" s="26">
        <f t="shared" ca="1" si="3"/>
        <v>-2.5001142024993896</v>
      </c>
      <c r="K11" s="26">
        <f t="shared" ca="1" si="3"/>
        <v>-2.5001189708709717</v>
      </c>
      <c r="L11" s="26">
        <f t="shared" ca="1" si="3"/>
        <v>-2.5006003379821777</v>
      </c>
      <c r="M11" s="26">
        <f t="shared" ca="1" si="3"/>
        <v>-2.5010900497436523</v>
      </c>
      <c r="N11" s="26">
        <f t="shared" ca="1" si="3"/>
        <v>-2.5010170936584473</v>
      </c>
      <c r="O11" s="26">
        <f t="shared" ca="1" si="3"/>
        <v>-2.5015082359313965</v>
      </c>
      <c r="P11" s="26">
        <f t="shared" ca="1" si="3"/>
        <v>-2.5013446807861328</v>
      </c>
      <c r="Q11" s="26">
        <f t="shared" ca="1" si="3"/>
        <v>-2.5015099048614502</v>
      </c>
    </row>
    <row r="12" spans="1:17" s="11" customFormat="1" ht="15.75" x14ac:dyDescent="0.25">
      <c r="A12" s="21" t="s">
        <v>55</v>
      </c>
      <c r="B12" s="26">
        <f ca="1">INDIRECT(B9)</f>
        <v>-2.4985218048095703</v>
      </c>
      <c r="C12" s="26">
        <f t="shared" ref="C12:Q12" ca="1" si="4">INDIRECT(C9)</f>
        <v>-2.4982740879058838</v>
      </c>
      <c r="D12" s="26">
        <f t="shared" ca="1" si="4"/>
        <v>-2.4983589649200439</v>
      </c>
      <c r="E12" s="26">
        <f t="shared" ca="1" si="4"/>
        <v>-2.4981889724731445</v>
      </c>
      <c r="F12" s="26">
        <f t="shared" ca="1" si="4"/>
        <v>-2.4984302520751953</v>
      </c>
      <c r="G12" s="26">
        <f t="shared" ca="1" si="4"/>
        <v>-2.4984252452850342</v>
      </c>
      <c r="H12" s="26">
        <f t="shared" ca="1" si="4"/>
        <v>-2.4987466335296631</v>
      </c>
      <c r="I12" s="26">
        <f t="shared" ca="1" si="4"/>
        <v>-2.4988315105438232</v>
      </c>
      <c r="J12" s="26">
        <f t="shared" ca="1" si="4"/>
        <v>-2.4988193511962891</v>
      </c>
      <c r="K12" s="26">
        <f t="shared" ca="1" si="4"/>
        <v>-2.4989051818847656</v>
      </c>
      <c r="L12" s="26">
        <f t="shared" ca="1" si="4"/>
        <v>-2.4988203048706055</v>
      </c>
      <c r="M12" s="26">
        <f t="shared" ca="1" si="4"/>
        <v>-2.4988243579864502</v>
      </c>
      <c r="N12" s="26">
        <f t="shared" ca="1" si="4"/>
        <v>-2.4991559982299805</v>
      </c>
      <c r="O12" s="26">
        <f t="shared" ca="1" si="4"/>
        <v>-2.4998900890350342</v>
      </c>
      <c r="P12" s="26">
        <f t="shared" ca="1" si="4"/>
        <v>-2.4998073577880859</v>
      </c>
      <c r="Q12" s="26">
        <f t="shared" ca="1" si="4"/>
        <v>-2.5001342296600342</v>
      </c>
    </row>
    <row r="13" spans="1:17" s="11" customFormat="1" ht="15.75" x14ac:dyDescent="0.25">
      <c r="A13" s="21" t="s">
        <v>3</v>
      </c>
      <c r="B13" s="26">
        <f ca="1">INDIRECT(B10)</f>
        <v>-2.4991142773869064</v>
      </c>
      <c r="C13" s="26">
        <f t="shared" ref="C13:Q13" ca="1" si="5">INDIRECT(C10)</f>
        <v>-2.4990987560965796</v>
      </c>
      <c r="D13" s="26">
        <f t="shared" ca="1" si="5"/>
        <v>-2.4990562646075931</v>
      </c>
      <c r="E13" s="26">
        <f t="shared" ca="1" si="5"/>
        <v>-2.4989826775560475</v>
      </c>
      <c r="F13" s="26">
        <f t="shared" ca="1" si="5"/>
        <v>-2.4991502545096655</v>
      </c>
      <c r="G13" s="26">
        <f t="shared" ca="1" si="5"/>
        <v>-2.4992965760857166</v>
      </c>
      <c r="H13" s="26">
        <f t="shared" ca="1" si="5"/>
        <v>-2.4993971887260975</v>
      </c>
      <c r="I13" s="26">
        <f t="shared" ca="1" si="5"/>
        <v>-2.4994822463603934</v>
      </c>
      <c r="J13" s="26">
        <f t="shared" ca="1" si="5"/>
        <v>-2.4994970403536403</v>
      </c>
      <c r="K13" s="26">
        <f t="shared" ca="1" si="5"/>
        <v>-2.4995615747239857</v>
      </c>
      <c r="L13" s="26">
        <f t="shared" ca="1" si="5"/>
        <v>-2.4997340284212672</v>
      </c>
      <c r="M13" s="26">
        <f t="shared" ca="1" si="5"/>
        <v>-2.4999866003942008</v>
      </c>
      <c r="N13" s="26">
        <f t="shared" ca="1" si="5"/>
        <v>-2.5002447475086558</v>
      </c>
      <c r="O13" s="26">
        <f t="shared" ca="1" si="5"/>
        <v>-2.5005683706264303</v>
      </c>
      <c r="P13" s="26">
        <f t="shared" ca="1" si="5"/>
        <v>-2.5007154026416818</v>
      </c>
      <c r="Q13" s="26">
        <f t="shared" ca="1" si="5"/>
        <v>-2.5008200900723234</v>
      </c>
    </row>
    <row r="14" spans="1:17" ht="18.75" x14ac:dyDescent="0.3">
      <c r="A14" s="27" t="s">
        <v>44</v>
      </c>
      <c r="B14" s="72" t="s">
        <v>74</v>
      </c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</row>
    <row r="15" spans="1:17" x14ac:dyDescent="0.25">
      <c r="A15" s="28">
        <v>-2.5</v>
      </c>
      <c r="B15" s="65">
        <f t="shared" ref="B15:Q17" si="6">GetY(СтрокаY0_2,Строка0_2,Noise_ColM,ColMin,ColMax,ColInterval_2,range_2,$A15,Noise_RepType,ROW(),COLUMN())</f>
        <v>1.7714452261872182E-2</v>
      </c>
      <c r="C15" s="65">
        <f t="shared" si="6"/>
        <v>1.8024878068407801E-2</v>
      </c>
      <c r="D15" s="65">
        <f t="shared" si="6"/>
        <v>1.8874707848137717E-2</v>
      </c>
      <c r="E15" s="65">
        <f t="shared" si="6"/>
        <v>2.0346448879049461E-2</v>
      </c>
      <c r="F15" s="65">
        <f t="shared" si="6"/>
        <v>1.6994909806689051E-2</v>
      </c>
      <c r="G15" s="65">
        <f t="shared" si="6"/>
        <v>1.4068478285667041E-2</v>
      </c>
      <c r="H15" s="65">
        <f t="shared" si="6"/>
        <v>1.2056225478049853E-2</v>
      </c>
      <c r="I15" s="65">
        <f t="shared" si="6"/>
        <v>1.0355072792131992E-2</v>
      </c>
      <c r="J15" s="65">
        <f t="shared" si="6"/>
        <v>1.005919292719426E-2</v>
      </c>
      <c r="K15" s="65">
        <f t="shared" si="6"/>
        <v>8.7685055202868512E-3</v>
      </c>
      <c r="L15" s="65">
        <f t="shared" si="6"/>
        <v>5.3194315746551979E-3</v>
      </c>
      <c r="M15" s="65">
        <f t="shared" si="6"/>
        <v>2.6799211598316219E-4</v>
      </c>
      <c r="N15" s="65">
        <f t="shared" si="6"/>
        <v>-4.8949501731154754E-3</v>
      </c>
      <c r="O15" s="65">
        <f t="shared" si="6"/>
        <v>-1.1367412528606735E-2</v>
      </c>
      <c r="P15" s="65">
        <f t="shared" si="6"/>
        <v>-1.4308052833635898E-2</v>
      </c>
      <c r="Q15" s="65">
        <f t="shared" si="6"/>
        <v>-1.6401801446468411E-2</v>
      </c>
    </row>
    <row r="16" spans="1:17" x14ac:dyDescent="0.25">
      <c r="A16" s="28">
        <v>0</v>
      </c>
      <c r="B16" s="65">
        <f t="shared" si="6"/>
        <v>-6.5399577066941397E-3</v>
      </c>
      <c r="C16" s="65">
        <f t="shared" si="6"/>
        <v>-2.3467917192331752E-3</v>
      </c>
      <c r="D16" s="65">
        <f t="shared" si="6"/>
        <v>2.987488348146738E-3</v>
      </c>
      <c r="E16" s="65">
        <f t="shared" si="6"/>
        <v>8.6523829317489542E-3</v>
      </c>
      <c r="F16" s="65">
        <f t="shared" si="6"/>
        <v>1.264845590111115E-2</v>
      </c>
      <c r="G16" s="65">
        <f t="shared" si="6"/>
        <v>1.463147519662387E-2</v>
      </c>
      <c r="H16" s="65">
        <f t="shared" si="6"/>
        <v>1.7636385520597046E-2</v>
      </c>
      <c r="I16" s="65">
        <f t="shared" si="6"/>
        <v>1.8742848027316968E-2</v>
      </c>
      <c r="J16" s="65">
        <f t="shared" si="6"/>
        <v>1.8379508181503613E-2</v>
      </c>
      <c r="K16" s="65">
        <f t="shared" si="6"/>
        <v>1.6497589872879147E-2</v>
      </c>
      <c r="L16" s="65">
        <f t="shared" si="6"/>
        <v>1.4333582259556648E-2</v>
      </c>
      <c r="M16" s="65">
        <f t="shared" si="6"/>
        <v>1.2269632612545286E-2</v>
      </c>
      <c r="N16" s="65">
        <f t="shared" si="6"/>
        <v>9.8750948088578237E-3</v>
      </c>
      <c r="O16" s="65">
        <f t="shared" si="6"/>
        <v>7.8273490098535129E-3</v>
      </c>
      <c r="P16" s="65">
        <f t="shared" si="6"/>
        <v>7.2975480086787852E-3</v>
      </c>
      <c r="Q16" s="65">
        <f t="shared" si="6"/>
        <v>6.060012577071742E-3</v>
      </c>
    </row>
    <row r="17" spans="1:17" x14ac:dyDescent="0.25">
      <c r="A17" s="28">
        <v>2.5</v>
      </c>
      <c r="B17" s="65">
        <f t="shared" si="6"/>
        <v>-2.387353352138355E-2</v>
      </c>
      <c r="C17" s="65">
        <f t="shared" si="6"/>
        <v>-2.1810385645650854E-2</v>
      </c>
      <c r="D17" s="65">
        <f t="shared" si="6"/>
        <v>-1.9961133295174349E-2</v>
      </c>
      <c r="E17" s="65">
        <f t="shared" si="6"/>
        <v>-1.7813517122853284E-2</v>
      </c>
      <c r="F17" s="65">
        <f t="shared" si="6"/>
        <v>-1.5139628429805541E-2</v>
      </c>
      <c r="G17" s="65">
        <f t="shared" si="6"/>
        <v>-1.1935623324648148E-2</v>
      </c>
      <c r="H17" s="65">
        <f t="shared" si="6"/>
        <v>-7.513250623434331E-3</v>
      </c>
      <c r="I17" s="65">
        <f t="shared" si="6"/>
        <v>-1.7815220112726848E-3</v>
      </c>
      <c r="J17" s="65">
        <f t="shared" si="6"/>
        <v>3.288813999722251E-3</v>
      </c>
      <c r="K17" s="65">
        <f t="shared" si="6"/>
        <v>9.6944400242371387E-3</v>
      </c>
      <c r="L17" s="65">
        <f t="shared" si="6"/>
        <v>1.3642311096191406E-2</v>
      </c>
      <c r="M17" s="65">
        <f t="shared" si="6"/>
        <v>1.6071212535004875E-2</v>
      </c>
      <c r="N17" s="65">
        <f t="shared" si="6"/>
        <v>1.9505607838530281E-2</v>
      </c>
      <c r="O17" s="65">
        <f t="shared" si="6"/>
        <v>2.0199211276308304E-2</v>
      </c>
      <c r="P17" s="65">
        <f t="shared" si="6"/>
        <v>1.9458313377533898E-2</v>
      </c>
      <c r="Q17" s="65">
        <f t="shared" si="6"/>
        <v>1.6387433421858333E-2</v>
      </c>
    </row>
    <row r="18" spans="1:17" ht="15.75" x14ac:dyDescent="0.25">
      <c r="A18" s="30" t="s">
        <v>73</v>
      </c>
      <c r="B18" s="29">
        <f>MAX((B15:B17))</f>
        <v>1.7714452261872182E-2</v>
      </c>
      <c r="C18" s="29">
        <f t="shared" ref="C18:Q18" si="7">MAX((C15:C17))</f>
        <v>1.8024878068407801E-2</v>
      </c>
      <c r="D18" s="29">
        <f t="shared" si="7"/>
        <v>1.8874707848137717E-2</v>
      </c>
      <c r="E18" s="29">
        <f t="shared" si="7"/>
        <v>2.0346448879049461E-2</v>
      </c>
      <c r="F18" s="29">
        <f t="shared" si="7"/>
        <v>1.6994909806689051E-2</v>
      </c>
      <c r="G18" s="29">
        <f t="shared" si="7"/>
        <v>1.463147519662387E-2</v>
      </c>
      <c r="H18" s="29">
        <f t="shared" si="7"/>
        <v>1.7636385520597046E-2</v>
      </c>
      <c r="I18" s="29">
        <f t="shared" si="7"/>
        <v>1.8742848027316968E-2</v>
      </c>
      <c r="J18" s="29">
        <f t="shared" si="7"/>
        <v>1.8379508181503613E-2</v>
      </c>
      <c r="K18" s="29">
        <f t="shared" si="7"/>
        <v>1.6497589872879147E-2</v>
      </c>
      <c r="L18" s="29">
        <f t="shared" si="7"/>
        <v>1.4333582259556648E-2</v>
      </c>
      <c r="M18" s="29">
        <f t="shared" si="7"/>
        <v>1.6071212535004875E-2</v>
      </c>
      <c r="N18" s="29">
        <f t="shared" si="7"/>
        <v>1.9505607838530281E-2</v>
      </c>
      <c r="O18" s="29">
        <f t="shared" si="7"/>
        <v>2.0199211276308304E-2</v>
      </c>
      <c r="P18" s="29">
        <f t="shared" si="7"/>
        <v>1.9458313377533898E-2</v>
      </c>
      <c r="Q18" s="29">
        <f t="shared" si="7"/>
        <v>1.6387433421858333E-2</v>
      </c>
    </row>
    <row r="19" spans="1:17" ht="15.75" x14ac:dyDescent="0.25">
      <c r="A19" s="30" t="s">
        <v>46</v>
      </c>
      <c r="B19" s="32">
        <f>MAX((B18:Q18))</f>
        <v>2.0346448879049461E-2</v>
      </c>
      <c r="C19" s="30" t="s">
        <v>47</v>
      </c>
      <c r="D19" s="32">
        <f>MIN((B18:Q18))</f>
        <v>1.4333582259556648E-2</v>
      </c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</row>
    <row r="20" spans="1:17" ht="31.5" x14ac:dyDescent="0.25">
      <c r="A20" s="60" t="s">
        <v>75</v>
      </c>
      <c r="B20" s="63">
        <f>100*B19/range_2</f>
        <v>0.40692897758098923</v>
      </c>
      <c r="C20" s="62" t="s">
        <v>76</v>
      </c>
      <c r="D20" s="63">
        <f>100*D19/range_2</f>
        <v>0.28667164519113297</v>
      </c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</row>
    <row r="21" spans="1:17" x14ac:dyDescent="0.25">
      <c r="A21" s="28"/>
      <c r="B21" s="28"/>
      <c r="C21" s="61"/>
      <c r="D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</row>
    <row r="22" spans="1:17" ht="18.75" x14ac:dyDescent="0.3">
      <c r="A22" s="33" t="s">
        <v>56</v>
      </c>
      <c r="B22" s="34"/>
      <c r="C22" s="34"/>
      <c r="D22" s="34"/>
      <c r="E22" s="34"/>
      <c r="F22" s="34"/>
      <c r="G22" s="34"/>
      <c r="H22" s="34"/>
      <c r="I22" s="34"/>
      <c r="J22" s="35"/>
      <c r="K22" s="35"/>
      <c r="L22" s="35"/>
      <c r="M22" s="35"/>
      <c r="N22" s="35"/>
      <c r="O22" s="35"/>
      <c r="P22" s="35"/>
      <c r="Q22" s="35"/>
    </row>
  </sheetData>
  <mergeCells count="2">
    <mergeCell ref="B14:Q14"/>
    <mergeCell ref="E2:Q7"/>
  </mergeCells>
  <conditionalFormatting sqref="B18:Q18">
    <cfRule type="cellIs" dxfId="2" priority="1" operator="greaterThan">
      <formula>$D$6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Q38"/>
  <sheetViews>
    <sheetView zoomScale="70" zoomScaleNormal="70" workbookViewId="0">
      <selection activeCell="B11" sqref="B11"/>
    </sheetView>
  </sheetViews>
  <sheetFormatPr defaultRowHeight="15" x14ac:dyDescent="0.25"/>
  <cols>
    <col min="1" max="1" width="26.7109375" style="17" customWidth="1"/>
    <col min="2" max="2" width="23.7109375" style="17" customWidth="1"/>
    <col min="3" max="3" width="27.42578125" style="17" customWidth="1"/>
    <col min="4" max="4" width="23.140625" style="17" customWidth="1"/>
    <col min="5" max="10" width="14.28515625" style="17" bestFit="1" customWidth="1"/>
    <col min="11" max="11" width="22.42578125" style="17" customWidth="1"/>
    <col min="12" max="12" width="26.7109375" style="17" customWidth="1"/>
    <col min="13" max="13" width="21.5703125" style="17" customWidth="1"/>
    <col min="14" max="14" width="24" style="17" customWidth="1"/>
    <col min="15" max="15" width="24.140625" style="17" customWidth="1"/>
    <col min="16" max="16" width="23.140625" style="17" customWidth="1"/>
    <col min="17" max="17" width="21.7109375" style="17" customWidth="1"/>
    <col min="18" max="16384" width="9.140625" style="17"/>
  </cols>
  <sheetData>
    <row r="1" spans="1:17" ht="15.75" x14ac:dyDescent="0.25">
      <c r="A1" s="18"/>
      <c r="B1" s="18" t="s">
        <v>4</v>
      </c>
      <c r="C1" s="18" t="s">
        <v>5</v>
      </c>
      <c r="D1" s="18" t="s">
        <v>6</v>
      </c>
      <c r="E1" s="18" t="s">
        <v>7</v>
      </c>
      <c r="F1" s="18" t="s">
        <v>8</v>
      </c>
      <c r="G1" s="18" t="s">
        <v>9</v>
      </c>
      <c r="H1" s="18" t="s">
        <v>10</v>
      </c>
      <c r="I1" s="18" t="s">
        <v>11</v>
      </c>
      <c r="J1" s="18" t="s">
        <v>12</v>
      </c>
      <c r="K1" s="18" t="s">
        <v>13</v>
      </c>
      <c r="L1" s="18" t="s">
        <v>14</v>
      </c>
      <c r="M1" s="18" t="s">
        <v>15</v>
      </c>
      <c r="N1" s="18" t="s">
        <v>16</v>
      </c>
      <c r="O1" s="18" t="s">
        <v>17</v>
      </c>
      <c r="P1" s="18" t="s">
        <v>18</v>
      </c>
      <c r="Q1" s="18" t="s">
        <v>19</v>
      </c>
    </row>
    <row r="2" spans="1:17" ht="31.5" x14ac:dyDescent="0.25">
      <c r="A2" s="19" t="s">
        <v>20</v>
      </c>
      <c r="B2" s="20">
        <v>15000</v>
      </c>
      <c r="C2" s="21" t="s">
        <v>21</v>
      </c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</row>
    <row r="3" spans="1:17" ht="15.75" x14ac:dyDescent="0.25">
      <c r="A3" s="21" t="s">
        <v>25</v>
      </c>
      <c r="B3" s="22">
        <v>3</v>
      </c>
      <c r="C3" s="23" t="s">
        <v>26</v>
      </c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</row>
    <row r="4" spans="1:17" ht="15.75" x14ac:dyDescent="0.25">
      <c r="A4" s="21" t="s">
        <v>27</v>
      </c>
      <c r="B4" s="22">
        <v>11</v>
      </c>
      <c r="C4" s="23" t="s">
        <v>51</v>
      </c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</row>
    <row r="5" spans="1:17" ht="31.5" x14ac:dyDescent="0.25">
      <c r="A5" s="19" t="s">
        <v>60</v>
      </c>
      <c r="B5" s="22">
        <v>3</v>
      </c>
      <c r="C5" s="19" t="s">
        <v>63</v>
      </c>
      <c r="D5" s="22">
        <v>7</v>
      </c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</row>
    <row r="6" spans="1:17" ht="31.5" x14ac:dyDescent="0.25">
      <c r="A6" s="19" t="s">
        <v>43</v>
      </c>
      <c r="B6" s="22">
        <v>16</v>
      </c>
      <c r="C6" s="24" t="s">
        <v>57</v>
      </c>
      <c r="D6" s="25">
        <v>0.2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</row>
    <row r="7" spans="1:17" ht="15.75" x14ac:dyDescent="0.25">
      <c r="A7" s="21" t="s">
        <v>62</v>
      </c>
      <c r="B7" s="26" t="str">
        <f>ADDRESS(BaseRow_АЧХ,COLUMN()+ColMin_АЧХ-2+Interval_АЧХ*(COLUMN()-2),4,TRUE,"Данные отчета")</f>
        <v>'Данные отчета'!G3</v>
      </c>
      <c r="C7" s="26" t="str">
        <f t="shared" ref="C7:Q7" si="0">ADDRESS(СтрокаY0,COLUMN()+ColMin-2+Col_interval*(COLUMN()-2),4,TRUE,"Данные отчета")</f>
        <v>'Данные отчета'!P3</v>
      </c>
      <c r="D7" s="26" t="str">
        <f t="shared" si="0"/>
        <v>'Данные отчета'!U3</v>
      </c>
      <c r="E7" s="26" t="str">
        <f t="shared" si="0"/>
        <v>'Данные отчета'!Z3</v>
      </c>
      <c r="F7" s="26" t="str">
        <f t="shared" si="0"/>
        <v>'Данные отчета'!AE3</v>
      </c>
      <c r="G7" s="26" t="str">
        <f t="shared" si="0"/>
        <v>'Данные отчета'!AJ3</v>
      </c>
      <c r="H7" s="26" t="str">
        <f t="shared" si="0"/>
        <v>'Данные отчета'!AO3</v>
      </c>
      <c r="I7" s="26" t="str">
        <f t="shared" si="0"/>
        <v>'Данные отчета'!AT3</v>
      </c>
      <c r="J7" s="26" t="str">
        <f t="shared" si="0"/>
        <v>'Данные отчета'!AY3</v>
      </c>
      <c r="K7" s="26" t="str">
        <f t="shared" si="0"/>
        <v>'Данные отчета'!BD3</v>
      </c>
      <c r="L7" s="26" t="str">
        <f t="shared" si="0"/>
        <v>'Данные отчета'!BI3</v>
      </c>
      <c r="M7" s="26" t="str">
        <f t="shared" si="0"/>
        <v>'Данные отчета'!BN3</v>
      </c>
      <c r="N7" s="26" t="str">
        <f t="shared" si="0"/>
        <v>'Данные отчета'!BS3</v>
      </c>
      <c r="O7" s="26" t="str">
        <f t="shared" si="0"/>
        <v>'Данные отчета'!BX3</v>
      </c>
      <c r="P7" s="26" t="str">
        <f t="shared" si="0"/>
        <v>'Данные отчета'!CC3</v>
      </c>
      <c r="Q7" s="26" t="str">
        <f t="shared" si="0"/>
        <v>'Данные отчета'!CH3</v>
      </c>
    </row>
    <row r="8" spans="1:17" ht="15.75" x14ac:dyDescent="0.25">
      <c r="A8" s="21" t="s">
        <v>59</v>
      </c>
      <c r="B8" s="26">
        <f ca="1">INDIRECT(B7)</f>
        <v>2.0639458404823373E-4</v>
      </c>
      <c r="C8" s="26">
        <f t="shared" ref="C8:F8" ca="1" si="1">INDIRECT(C7)</f>
        <v>0.90689968200000004</v>
      </c>
      <c r="D8" s="26">
        <f t="shared" ca="1" si="1"/>
        <v>2.0506743645005597E-4</v>
      </c>
      <c r="E8" s="26">
        <f t="shared" ca="1" si="1"/>
        <v>0.46</v>
      </c>
      <c r="F8" s="26">
        <f t="shared" ca="1" si="1"/>
        <v>-2.4990562646075931</v>
      </c>
      <c r="G8" s="26">
        <f t="shared" ref="G8" ca="1" si="2">INDIRECT(G7)</f>
        <v>-0.57374085849629275</v>
      </c>
      <c r="H8" s="26">
        <f t="shared" ref="H8" ca="1" si="3">INDIRECT(H7)</f>
        <v>-2.4983589649200439</v>
      </c>
      <c r="I8" s="26">
        <f t="shared" ref="I8:J8" ca="1" si="4">INDIRECT(I7)</f>
        <v>5.1010053157917347E-8</v>
      </c>
      <c r="J8" s="26">
        <f t="shared" ca="1" si="4"/>
        <v>6.3573650145427099</v>
      </c>
      <c r="K8" s="26">
        <f t="shared" ref="K8" ca="1" si="5">INDIRECT(K7)</f>
        <v>4</v>
      </c>
      <c r="L8" s="26">
        <f t="shared" ref="L8" ca="1" si="6">INDIRECT(L7)</f>
        <v>2.4991502677018227</v>
      </c>
      <c r="M8" s="26">
        <f t="shared" ref="M8:N8" ca="1" si="7">INDIRECT(M7)</f>
        <v>0.28999999999999998</v>
      </c>
      <c r="N8" s="26">
        <f t="shared" ca="1" si="7"/>
        <v>5.4858103435907308</v>
      </c>
      <c r="O8" s="26">
        <f t="shared" ref="O8" ca="1" si="8">INDIRECT(O7)</f>
        <v>1.5375614166259766E-3</v>
      </c>
      <c r="P8" s="26">
        <f t="shared" ref="P8" ca="1" si="9">INDIRECT(P7)</f>
        <v>-2.4999628067016602</v>
      </c>
      <c r="Q8" s="26">
        <f t="shared" ref="Q8" ca="1" si="10">INDIRECT(Q7)</f>
        <v>0.90689968200000004</v>
      </c>
    </row>
    <row r="9" spans="1:17" ht="15.75" x14ac:dyDescent="0.25">
      <c r="A9" s="21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</row>
    <row r="10" spans="1:17" ht="18.75" x14ac:dyDescent="0.3">
      <c r="A10" s="27" t="s">
        <v>65</v>
      </c>
      <c r="B10" s="72" t="s">
        <v>58</v>
      </c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</row>
    <row r="11" spans="1:17" ht="15.75" x14ac:dyDescent="0.25">
      <c r="A11" s="28">
        <v>1000</v>
      </c>
      <c r="B11" s="29">
        <f t="shared" ref="B11:B28" ca="1" si="11">20*LOG10(INDIRECT(ADDRESS(Y0_АЧХ+ROW()-Строка0_АЧХ,COLUMN()+ColMin_АЧХ-2+Interval_АЧХ*(COLUMN()-2),4,TRUE,"Данные отчета"))/B$8)</f>
        <v>0</v>
      </c>
      <c r="C11" s="29">
        <f t="shared" ref="C11:Q20" ca="1" si="12">INDIRECT(ADDRESS(Y0_АЧХ+ROW()-Строка0_АЧХ,COLUMN()+ColMin_АЧХ-2+Interval_АЧХ*(COLUMN()-2),4,TRUE,"Данные отчета"))/C$8</f>
        <v>0.83801992114933832</v>
      </c>
      <c r="D11" s="29">
        <f t="shared" ca="1" si="12"/>
        <v>-12183.109167254439</v>
      </c>
      <c r="E11" s="29">
        <f t="shared" ca="1" si="12"/>
        <v>1.9715210478260869</v>
      </c>
      <c r="F11" s="29">
        <f t="shared" ca="1" si="12"/>
        <v>-1.0000961669674013</v>
      </c>
      <c r="G11" s="29">
        <f t="shared" ca="1" si="12"/>
        <v>-0.77599154441793561</v>
      </c>
      <c r="H11" s="29">
        <f t="shared" ca="1" si="12"/>
        <v>1.0006749769083081</v>
      </c>
      <c r="I11" s="29">
        <f t="shared" ca="1" si="12"/>
        <v>78415915.145525664</v>
      </c>
      <c r="J11" s="29">
        <f t="shared" ca="1" si="12"/>
        <v>-0.39320284783129994</v>
      </c>
      <c r="K11" s="29">
        <f t="shared" ca="1" si="12"/>
        <v>5.6642293930053711E-4</v>
      </c>
      <c r="L11" s="29">
        <f t="shared" ca="1" si="12"/>
        <v>1.1634225832190745</v>
      </c>
      <c r="M11" s="29">
        <f t="shared" ca="1" si="12"/>
        <v>2.7241379310344831</v>
      </c>
      <c r="N11" s="29">
        <f t="shared" ca="1" si="12"/>
        <v>0.88948006905608923</v>
      </c>
      <c r="O11" s="29">
        <f t="shared" ca="1" si="12"/>
        <v>0</v>
      </c>
      <c r="P11" s="29">
        <f t="shared" ca="1" si="12"/>
        <v>0</v>
      </c>
      <c r="Q11" s="29">
        <f t="shared" ca="1" si="12"/>
        <v>0</v>
      </c>
    </row>
    <row r="12" spans="1:17" ht="15.75" x14ac:dyDescent="0.25">
      <c r="A12" s="28">
        <v>2000</v>
      </c>
      <c r="B12" s="29">
        <f t="shared" ca="1" si="11"/>
        <v>5.1997719167874372</v>
      </c>
      <c r="C12" s="29">
        <f t="shared" ca="1" si="12"/>
        <v>1.9296511342254501</v>
      </c>
      <c r="D12" s="29">
        <f t="shared" ca="1" si="12"/>
        <v>5.9386646476409286</v>
      </c>
      <c r="E12" s="29">
        <f t="shared" ca="1" si="12"/>
        <v>1.9715210478260869</v>
      </c>
      <c r="F12" s="29">
        <f t="shared" ca="1" si="12"/>
        <v>-3.116423044391662E-4</v>
      </c>
      <c r="G12" s="29">
        <f t="shared" ca="1" si="12"/>
        <v>0.26310403806405203</v>
      </c>
      <c r="H12" s="29">
        <f t="shared" ca="1" si="12"/>
        <v>-1.6259230736643464E-4</v>
      </c>
      <c r="I12" s="29">
        <f t="shared" ca="1" si="12"/>
        <v>78415915.145525664</v>
      </c>
      <c r="J12" s="29">
        <f t="shared" ca="1" si="12"/>
        <v>1.1273210069555581E-4</v>
      </c>
      <c r="K12" s="29">
        <f t="shared" ca="1" si="12"/>
        <v>4.6528042730642483E-4</v>
      </c>
      <c r="L12" s="29">
        <f t="shared" ca="1" si="12"/>
        <v>2.0745234528440255</v>
      </c>
      <c r="M12" s="29">
        <f t="shared" ca="1" si="12"/>
        <v>5.5862068965517251</v>
      </c>
      <c r="N12" s="29">
        <f t="shared" ca="1" si="12"/>
        <v>1.8997521711148593</v>
      </c>
      <c r="O12" s="29">
        <f t="shared" ca="1" si="12"/>
        <v>0</v>
      </c>
      <c r="P12" s="29">
        <f t="shared" ca="1" si="12"/>
        <v>0</v>
      </c>
      <c r="Q12" s="29">
        <f t="shared" ca="1" si="12"/>
        <v>0</v>
      </c>
    </row>
    <row r="13" spans="1:17" ht="15.75" x14ac:dyDescent="0.25">
      <c r="A13" s="28">
        <v>3000</v>
      </c>
      <c r="B13" s="29">
        <f t="shared" ca="1" si="11"/>
        <v>1.9988267209136825</v>
      </c>
      <c r="C13" s="29">
        <f t="shared" ca="1" si="12"/>
        <v>3.241813905498756</v>
      </c>
      <c r="D13" s="29">
        <f t="shared" ca="1" si="12"/>
        <v>12189.473431247761</v>
      </c>
      <c r="E13" s="29">
        <f t="shared" ca="1" si="12"/>
        <v>1.9715210478260869</v>
      </c>
      <c r="F13" s="29">
        <f t="shared" ca="1" si="12"/>
        <v>-1.0001388393710147</v>
      </c>
      <c r="G13" s="29">
        <f t="shared" ca="1" si="12"/>
        <v>-1.1258220363580198</v>
      </c>
      <c r="H13" s="29">
        <f t="shared" ca="1" si="12"/>
        <v>-1.0002024071854265</v>
      </c>
      <c r="I13" s="29">
        <f t="shared" ca="1" si="12"/>
        <v>117623872.7182885</v>
      </c>
      <c r="J13" s="29">
        <f t="shared" ca="1" si="12"/>
        <v>0.39335197992161941</v>
      </c>
      <c r="K13" s="29">
        <f t="shared" ca="1" si="12"/>
        <v>4.2480230331420898E-4</v>
      </c>
      <c r="L13" s="29">
        <f t="shared" ca="1" si="12"/>
        <v>2.0133580148456578</v>
      </c>
      <c r="M13" s="29">
        <f t="shared" ca="1" si="12"/>
        <v>7.8275862068965525</v>
      </c>
      <c r="N13" s="29">
        <f t="shared" ca="1" si="12"/>
        <v>1.4305074603586965</v>
      </c>
      <c r="O13" s="29">
        <f t="shared" ca="1" si="12"/>
        <v>0</v>
      </c>
      <c r="P13" s="29">
        <f t="shared" ca="1" si="12"/>
        <v>0</v>
      </c>
      <c r="Q13" s="29">
        <f t="shared" ca="1" si="12"/>
        <v>0</v>
      </c>
    </row>
    <row r="14" spans="1:17" ht="15.75" x14ac:dyDescent="0.25">
      <c r="A14" s="28">
        <v>4000</v>
      </c>
      <c r="B14" s="29" t="e">
        <f t="shared" ca="1" si="11"/>
        <v>#NUM!</v>
      </c>
      <c r="C14" s="29">
        <f t="shared" ca="1" si="12"/>
        <v>0</v>
      </c>
      <c r="D14" s="29">
        <f t="shared" ca="1" si="12"/>
        <v>0</v>
      </c>
      <c r="E14" s="29">
        <f t="shared" ca="1" si="12"/>
        <v>0</v>
      </c>
      <c r="F14" s="29">
        <f t="shared" ca="1" si="12"/>
        <v>0</v>
      </c>
      <c r="G14" s="29">
        <f t="shared" ca="1" si="12"/>
        <v>0</v>
      </c>
      <c r="H14" s="29">
        <f t="shared" ca="1" si="12"/>
        <v>0</v>
      </c>
      <c r="I14" s="29">
        <f t="shared" ca="1" si="12"/>
        <v>0</v>
      </c>
      <c r="J14" s="29">
        <f t="shared" ca="1" si="12"/>
        <v>0</v>
      </c>
      <c r="K14" s="29">
        <f t="shared" ca="1" si="12"/>
        <v>0</v>
      </c>
      <c r="L14" s="29">
        <f t="shared" ca="1" si="12"/>
        <v>0</v>
      </c>
      <c r="M14" s="29">
        <f t="shared" ca="1" si="12"/>
        <v>0</v>
      </c>
      <c r="N14" s="29">
        <f t="shared" ca="1" si="12"/>
        <v>0</v>
      </c>
      <c r="O14" s="29">
        <f t="shared" ca="1" si="12"/>
        <v>0</v>
      </c>
      <c r="P14" s="29">
        <f t="shared" ca="1" si="12"/>
        <v>0</v>
      </c>
      <c r="Q14" s="29">
        <f t="shared" ca="1" si="12"/>
        <v>0</v>
      </c>
    </row>
    <row r="15" spans="1:17" ht="15.75" x14ac:dyDescent="0.25">
      <c r="A15" s="28">
        <v>5000</v>
      </c>
      <c r="B15" s="29" t="e">
        <f t="shared" ca="1" si="11"/>
        <v>#NUM!</v>
      </c>
      <c r="C15" s="29">
        <f t="shared" ca="1" si="12"/>
        <v>0</v>
      </c>
      <c r="D15" s="29">
        <f t="shared" ca="1" si="12"/>
        <v>0</v>
      </c>
      <c r="E15" s="29">
        <f t="shared" ca="1" si="12"/>
        <v>0</v>
      </c>
      <c r="F15" s="29">
        <f t="shared" ca="1" si="12"/>
        <v>0</v>
      </c>
      <c r="G15" s="29">
        <f t="shared" ca="1" si="12"/>
        <v>0</v>
      </c>
      <c r="H15" s="29">
        <f t="shared" ca="1" si="12"/>
        <v>0</v>
      </c>
      <c r="I15" s="29">
        <f t="shared" ca="1" si="12"/>
        <v>0</v>
      </c>
      <c r="J15" s="29">
        <f t="shared" ca="1" si="12"/>
        <v>0</v>
      </c>
      <c r="K15" s="29">
        <f t="shared" ca="1" si="12"/>
        <v>0</v>
      </c>
      <c r="L15" s="29">
        <f t="shared" ca="1" si="12"/>
        <v>0</v>
      </c>
      <c r="M15" s="29">
        <f t="shared" ca="1" si="12"/>
        <v>0</v>
      </c>
      <c r="N15" s="29">
        <f t="shared" ca="1" si="12"/>
        <v>0</v>
      </c>
      <c r="O15" s="29">
        <f t="shared" ca="1" si="12"/>
        <v>0</v>
      </c>
      <c r="P15" s="29">
        <f t="shared" ca="1" si="12"/>
        <v>0</v>
      </c>
      <c r="Q15" s="29">
        <f t="shared" ca="1" si="12"/>
        <v>0</v>
      </c>
    </row>
    <row r="16" spans="1:17" ht="15.75" x14ac:dyDescent="0.25">
      <c r="A16" s="28">
        <v>6000</v>
      </c>
      <c r="B16" s="29" t="e">
        <f t="shared" ca="1" si="11"/>
        <v>#NUM!</v>
      </c>
      <c r="C16" s="29">
        <f t="shared" ca="1" si="12"/>
        <v>0</v>
      </c>
      <c r="D16" s="29">
        <f t="shared" ca="1" si="12"/>
        <v>0</v>
      </c>
      <c r="E16" s="29">
        <f t="shared" ca="1" si="12"/>
        <v>0</v>
      </c>
      <c r="F16" s="29">
        <f t="shared" ca="1" si="12"/>
        <v>0</v>
      </c>
      <c r="G16" s="29">
        <f t="shared" ca="1" si="12"/>
        <v>0</v>
      </c>
      <c r="H16" s="29">
        <f t="shared" ca="1" si="12"/>
        <v>0</v>
      </c>
      <c r="I16" s="29">
        <f t="shared" ca="1" si="12"/>
        <v>0</v>
      </c>
      <c r="J16" s="29">
        <f t="shared" ca="1" si="12"/>
        <v>0</v>
      </c>
      <c r="K16" s="29">
        <f t="shared" ca="1" si="12"/>
        <v>0</v>
      </c>
      <c r="L16" s="29">
        <f t="shared" ca="1" si="12"/>
        <v>0</v>
      </c>
      <c r="M16" s="29">
        <f t="shared" ca="1" si="12"/>
        <v>0</v>
      </c>
      <c r="N16" s="29">
        <f t="shared" ca="1" si="12"/>
        <v>0</v>
      </c>
      <c r="O16" s="29">
        <f t="shared" ca="1" si="12"/>
        <v>0</v>
      </c>
      <c r="P16" s="29">
        <f t="shared" ca="1" si="12"/>
        <v>0</v>
      </c>
      <c r="Q16" s="29">
        <f t="shared" ca="1" si="12"/>
        <v>0</v>
      </c>
    </row>
    <row r="17" spans="1:17" ht="15.75" x14ac:dyDescent="0.25">
      <c r="A17" s="28">
        <v>7000</v>
      </c>
      <c r="B17" s="29" t="e">
        <f t="shared" ca="1" si="11"/>
        <v>#NUM!</v>
      </c>
      <c r="C17" s="29">
        <f t="shared" ca="1" si="12"/>
        <v>0</v>
      </c>
      <c r="D17" s="29">
        <f t="shared" ca="1" si="12"/>
        <v>0</v>
      </c>
      <c r="E17" s="29">
        <f t="shared" ca="1" si="12"/>
        <v>0</v>
      </c>
      <c r="F17" s="29">
        <f t="shared" ca="1" si="12"/>
        <v>0</v>
      </c>
      <c r="G17" s="29">
        <f t="shared" ca="1" si="12"/>
        <v>0</v>
      </c>
      <c r="H17" s="29">
        <f t="shared" ca="1" si="12"/>
        <v>0</v>
      </c>
      <c r="I17" s="29">
        <f t="shared" ca="1" si="12"/>
        <v>0</v>
      </c>
      <c r="J17" s="29">
        <f t="shared" ca="1" si="12"/>
        <v>0</v>
      </c>
      <c r="K17" s="29">
        <f t="shared" ca="1" si="12"/>
        <v>0</v>
      </c>
      <c r="L17" s="29">
        <f t="shared" ca="1" si="12"/>
        <v>0</v>
      </c>
      <c r="M17" s="29">
        <f t="shared" ca="1" si="12"/>
        <v>0</v>
      </c>
      <c r="N17" s="29">
        <f t="shared" ca="1" si="12"/>
        <v>0</v>
      </c>
      <c r="O17" s="29">
        <f t="shared" ca="1" si="12"/>
        <v>0</v>
      </c>
      <c r="P17" s="29">
        <f t="shared" ca="1" si="12"/>
        <v>0</v>
      </c>
      <c r="Q17" s="29">
        <f t="shared" ca="1" si="12"/>
        <v>0</v>
      </c>
    </row>
    <row r="18" spans="1:17" ht="15.75" x14ac:dyDescent="0.25">
      <c r="A18" s="28">
        <v>8000</v>
      </c>
      <c r="B18" s="29" t="e">
        <f t="shared" ca="1" si="11"/>
        <v>#NUM!</v>
      </c>
      <c r="C18" s="29">
        <f t="shared" ca="1" si="12"/>
        <v>0</v>
      </c>
      <c r="D18" s="29">
        <f t="shared" ca="1" si="12"/>
        <v>0</v>
      </c>
      <c r="E18" s="29">
        <f t="shared" ca="1" si="12"/>
        <v>0</v>
      </c>
      <c r="F18" s="29">
        <f t="shared" ca="1" si="12"/>
        <v>0</v>
      </c>
      <c r="G18" s="29">
        <f t="shared" ca="1" si="12"/>
        <v>0</v>
      </c>
      <c r="H18" s="29">
        <f t="shared" ca="1" si="12"/>
        <v>0</v>
      </c>
      <c r="I18" s="29">
        <f t="shared" ca="1" si="12"/>
        <v>0</v>
      </c>
      <c r="J18" s="29">
        <f t="shared" ca="1" si="12"/>
        <v>0</v>
      </c>
      <c r="K18" s="29">
        <f t="shared" ca="1" si="12"/>
        <v>0</v>
      </c>
      <c r="L18" s="29">
        <f t="shared" ca="1" si="12"/>
        <v>0</v>
      </c>
      <c r="M18" s="29">
        <f t="shared" ca="1" si="12"/>
        <v>0</v>
      </c>
      <c r="N18" s="29">
        <f t="shared" ca="1" si="12"/>
        <v>0</v>
      </c>
      <c r="O18" s="29">
        <f t="shared" ca="1" si="12"/>
        <v>0</v>
      </c>
      <c r="P18" s="29">
        <f t="shared" ca="1" si="12"/>
        <v>0</v>
      </c>
      <c r="Q18" s="29">
        <f t="shared" ca="1" si="12"/>
        <v>0</v>
      </c>
    </row>
    <row r="19" spans="1:17" ht="15.75" x14ac:dyDescent="0.25">
      <c r="A19" s="28">
        <v>9000</v>
      </c>
      <c r="B19" s="29" t="e">
        <f t="shared" ca="1" si="11"/>
        <v>#NUM!</v>
      </c>
      <c r="C19" s="29">
        <f t="shared" ca="1" si="12"/>
        <v>0</v>
      </c>
      <c r="D19" s="29">
        <f t="shared" ca="1" si="12"/>
        <v>0</v>
      </c>
      <c r="E19" s="29">
        <f t="shared" ca="1" si="12"/>
        <v>0</v>
      </c>
      <c r="F19" s="29">
        <f t="shared" ca="1" si="12"/>
        <v>0</v>
      </c>
      <c r="G19" s="29">
        <f t="shared" ca="1" si="12"/>
        <v>0</v>
      </c>
      <c r="H19" s="29">
        <f t="shared" ca="1" si="12"/>
        <v>0</v>
      </c>
      <c r="I19" s="29">
        <f t="shared" ca="1" si="12"/>
        <v>0</v>
      </c>
      <c r="J19" s="29">
        <f t="shared" ca="1" si="12"/>
        <v>0</v>
      </c>
      <c r="K19" s="29">
        <f t="shared" ca="1" si="12"/>
        <v>0</v>
      </c>
      <c r="L19" s="29">
        <f t="shared" ca="1" si="12"/>
        <v>0</v>
      </c>
      <c r="M19" s="29">
        <f t="shared" ca="1" si="12"/>
        <v>0</v>
      </c>
      <c r="N19" s="29">
        <f t="shared" ca="1" si="12"/>
        <v>0</v>
      </c>
      <c r="O19" s="29">
        <f t="shared" ca="1" si="12"/>
        <v>0</v>
      </c>
      <c r="P19" s="29">
        <f t="shared" ca="1" si="12"/>
        <v>0</v>
      </c>
      <c r="Q19" s="29">
        <f t="shared" ca="1" si="12"/>
        <v>0</v>
      </c>
    </row>
    <row r="20" spans="1:17" ht="15.75" x14ac:dyDescent="0.25">
      <c r="A20" s="28">
        <v>10000</v>
      </c>
      <c r="B20" s="29" t="e">
        <f t="shared" ca="1" si="11"/>
        <v>#NUM!</v>
      </c>
      <c r="C20" s="29">
        <f t="shared" ca="1" si="12"/>
        <v>0</v>
      </c>
      <c r="D20" s="29">
        <f t="shared" ca="1" si="12"/>
        <v>0</v>
      </c>
      <c r="E20" s="29">
        <f t="shared" ca="1" si="12"/>
        <v>0</v>
      </c>
      <c r="F20" s="29">
        <f t="shared" ca="1" si="12"/>
        <v>0</v>
      </c>
      <c r="G20" s="29">
        <f t="shared" ca="1" si="12"/>
        <v>0</v>
      </c>
      <c r="H20" s="29">
        <f t="shared" ca="1" si="12"/>
        <v>0</v>
      </c>
      <c r="I20" s="29">
        <f t="shared" ca="1" si="12"/>
        <v>0</v>
      </c>
      <c r="J20" s="29">
        <f t="shared" ca="1" si="12"/>
        <v>0</v>
      </c>
      <c r="K20" s="29">
        <f t="shared" ca="1" si="12"/>
        <v>0</v>
      </c>
      <c r="L20" s="29">
        <f t="shared" ca="1" si="12"/>
        <v>0</v>
      </c>
      <c r="M20" s="29">
        <f t="shared" ca="1" si="12"/>
        <v>0</v>
      </c>
      <c r="N20" s="29">
        <f t="shared" ca="1" si="12"/>
        <v>0</v>
      </c>
      <c r="O20" s="29">
        <f t="shared" ca="1" si="12"/>
        <v>0</v>
      </c>
      <c r="P20" s="29">
        <f t="shared" ca="1" si="12"/>
        <v>0</v>
      </c>
      <c r="Q20" s="29">
        <f t="shared" ca="1" si="12"/>
        <v>0</v>
      </c>
    </row>
    <row r="21" spans="1:17" ht="15.75" x14ac:dyDescent="0.25">
      <c r="A21" s="28">
        <v>11000</v>
      </c>
      <c r="B21" s="29" t="e">
        <f t="shared" ca="1" si="11"/>
        <v>#NUM!</v>
      </c>
      <c r="C21" s="29">
        <f t="shared" ref="C21:Q28" ca="1" si="13">INDIRECT(ADDRESS(Y0_АЧХ+ROW()-Строка0_АЧХ,COLUMN()+ColMin_АЧХ-2+Interval_АЧХ*(COLUMN()-2),4,TRUE,"Данные отчета"))/C$8</f>
        <v>0</v>
      </c>
      <c r="D21" s="29">
        <f t="shared" ca="1" si="13"/>
        <v>0</v>
      </c>
      <c r="E21" s="29">
        <f t="shared" ca="1" si="13"/>
        <v>0</v>
      </c>
      <c r="F21" s="29">
        <f t="shared" ca="1" si="13"/>
        <v>0</v>
      </c>
      <c r="G21" s="29">
        <f t="shared" ca="1" si="13"/>
        <v>0</v>
      </c>
      <c r="H21" s="29">
        <f t="shared" ca="1" si="13"/>
        <v>0</v>
      </c>
      <c r="I21" s="29">
        <f t="shared" ca="1" si="13"/>
        <v>0</v>
      </c>
      <c r="J21" s="29">
        <f t="shared" ca="1" si="13"/>
        <v>0</v>
      </c>
      <c r="K21" s="29">
        <f t="shared" ca="1" si="13"/>
        <v>0</v>
      </c>
      <c r="L21" s="29">
        <f t="shared" ca="1" si="13"/>
        <v>0</v>
      </c>
      <c r="M21" s="29">
        <f t="shared" ca="1" si="13"/>
        <v>0</v>
      </c>
      <c r="N21" s="29">
        <f t="shared" ca="1" si="13"/>
        <v>0</v>
      </c>
      <c r="O21" s="29">
        <f t="shared" ca="1" si="13"/>
        <v>0</v>
      </c>
      <c r="P21" s="29">
        <f t="shared" ca="1" si="13"/>
        <v>0</v>
      </c>
      <c r="Q21" s="29">
        <f t="shared" ca="1" si="13"/>
        <v>0</v>
      </c>
    </row>
    <row r="22" spans="1:17" ht="15.75" x14ac:dyDescent="0.25">
      <c r="A22" s="28">
        <v>12000</v>
      </c>
      <c r="B22" s="29" t="e">
        <f t="shared" ca="1" si="11"/>
        <v>#NUM!</v>
      </c>
      <c r="C22" s="29">
        <f t="shared" ca="1" si="13"/>
        <v>0</v>
      </c>
      <c r="D22" s="29">
        <f t="shared" ca="1" si="13"/>
        <v>0</v>
      </c>
      <c r="E22" s="29">
        <f t="shared" ca="1" si="13"/>
        <v>0</v>
      </c>
      <c r="F22" s="29">
        <f t="shared" ca="1" si="13"/>
        <v>0</v>
      </c>
      <c r="G22" s="29">
        <f t="shared" ca="1" si="13"/>
        <v>0</v>
      </c>
      <c r="H22" s="29">
        <f t="shared" ca="1" si="13"/>
        <v>0</v>
      </c>
      <c r="I22" s="29">
        <f t="shared" ca="1" si="13"/>
        <v>0</v>
      </c>
      <c r="J22" s="29">
        <f t="shared" ca="1" si="13"/>
        <v>0</v>
      </c>
      <c r="K22" s="29">
        <f t="shared" ca="1" si="13"/>
        <v>0</v>
      </c>
      <c r="L22" s="29">
        <f t="shared" ca="1" si="13"/>
        <v>0</v>
      </c>
      <c r="M22" s="29">
        <f t="shared" ca="1" si="13"/>
        <v>0</v>
      </c>
      <c r="N22" s="29">
        <f t="shared" ca="1" si="13"/>
        <v>0</v>
      </c>
      <c r="O22" s="29">
        <f t="shared" ca="1" si="13"/>
        <v>0</v>
      </c>
      <c r="P22" s="29">
        <f t="shared" ca="1" si="13"/>
        <v>0</v>
      </c>
      <c r="Q22" s="29">
        <f t="shared" ca="1" si="13"/>
        <v>0</v>
      </c>
    </row>
    <row r="23" spans="1:17" ht="15.75" x14ac:dyDescent="0.25">
      <c r="A23" s="28">
        <v>13000</v>
      </c>
      <c r="B23" s="29" t="e">
        <f t="shared" ca="1" si="11"/>
        <v>#NUM!</v>
      </c>
      <c r="C23" s="29">
        <f t="shared" ca="1" si="13"/>
        <v>0</v>
      </c>
      <c r="D23" s="29">
        <f t="shared" ca="1" si="13"/>
        <v>0</v>
      </c>
      <c r="E23" s="29">
        <f t="shared" ca="1" si="13"/>
        <v>0</v>
      </c>
      <c r="F23" s="29">
        <f t="shared" ca="1" si="13"/>
        <v>0</v>
      </c>
      <c r="G23" s="29">
        <f t="shared" ca="1" si="13"/>
        <v>0</v>
      </c>
      <c r="H23" s="29">
        <f t="shared" ca="1" si="13"/>
        <v>0</v>
      </c>
      <c r="I23" s="29">
        <f t="shared" ca="1" si="13"/>
        <v>0</v>
      </c>
      <c r="J23" s="29">
        <f t="shared" ca="1" si="13"/>
        <v>0</v>
      </c>
      <c r="K23" s="29">
        <f t="shared" ca="1" si="13"/>
        <v>0</v>
      </c>
      <c r="L23" s="29">
        <f t="shared" ca="1" si="13"/>
        <v>0</v>
      </c>
      <c r="M23" s="29">
        <f t="shared" ca="1" si="13"/>
        <v>0</v>
      </c>
      <c r="N23" s="29">
        <f t="shared" ca="1" si="13"/>
        <v>0</v>
      </c>
      <c r="O23" s="29">
        <f t="shared" ca="1" si="13"/>
        <v>0</v>
      </c>
      <c r="P23" s="29">
        <f t="shared" ca="1" si="13"/>
        <v>0</v>
      </c>
      <c r="Q23" s="29">
        <f t="shared" ca="1" si="13"/>
        <v>0</v>
      </c>
    </row>
    <row r="24" spans="1:17" ht="15.75" x14ac:dyDescent="0.25">
      <c r="A24" s="28">
        <v>14000</v>
      </c>
      <c r="B24" s="29" t="e">
        <f t="shared" ca="1" si="11"/>
        <v>#NUM!</v>
      </c>
      <c r="C24" s="29">
        <f t="shared" ca="1" si="13"/>
        <v>0</v>
      </c>
      <c r="D24" s="29">
        <f t="shared" ca="1" si="13"/>
        <v>0</v>
      </c>
      <c r="E24" s="29">
        <f t="shared" ca="1" si="13"/>
        <v>0</v>
      </c>
      <c r="F24" s="29">
        <f t="shared" ca="1" si="13"/>
        <v>0</v>
      </c>
      <c r="G24" s="29">
        <f t="shared" ca="1" si="13"/>
        <v>0</v>
      </c>
      <c r="H24" s="29">
        <f t="shared" ca="1" si="13"/>
        <v>0</v>
      </c>
      <c r="I24" s="29">
        <f t="shared" ca="1" si="13"/>
        <v>0</v>
      </c>
      <c r="J24" s="29">
        <f t="shared" ca="1" si="13"/>
        <v>0</v>
      </c>
      <c r="K24" s="29">
        <f t="shared" ca="1" si="13"/>
        <v>0</v>
      </c>
      <c r="L24" s="29">
        <f t="shared" ca="1" si="13"/>
        <v>0</v>
      </c>
      <c r="M24" s="29">
        <f t="shared" ca="1" si="13"/>
        <v>0</v>
      </c>
      <c r="N24" s="29">
        <f t="shared" ca="1" si="13"/>
        <v>0</v>
      </c>
      <c r="O24" s="29">
        <f t="shared" ca="1" si="13"/>
        <v>0</v>
      </c>
      <c r="P24" s="29">
        <f t="shared" ca="1" si="13"/>
        <v>0</v>
      </c>
      <c r="Q24" s="29">
        <f t="shared" ca="1" si="13"/>
        <v>0</v>
      </c>
    </row>
    <row r="25" spans="1:17" ht="15.75" x14ac:dyDescent="0.25">
      <c r="A25" s="28">
        <v>15000</v>
      </c>
      <c r="B25" s="29" t="e">
        <f t="shared" ca="1" si="11"/>
        <v>#NUM!</v>
      </c>
      <c r="C25" s="29">
        <f t="shared" ca="1" si="13"/>
        <v>0</v>
      </c>
      <c r="D25" s="29">
        <f t="shared" ca="1" si="13"/>
        <v>0</v>
      </c>
      <c r="E25" s="29">
        <f t="shared" ca="1" si="13"/>
        <v>0</v>
      </c>
      <c r="F25" s="29">
        <f t="shared" ca="1" si="13"/>
        <v>0</v>
      </c>
      <c r="G25" s="29">
        <f t="shared" ca="1" si="13"/>
        <v>0</v>
      </c>
      <c r="H25" s="29">
        <f t="shared" ca="1" si="13"/>
        <v>0</v>
      </c>
      <c r="I25" s="29">
        <f t="shared" ca="1" si="13"/>
        <v>0</v>
      </c>
      <c r="J25" s="29">
        <f t="shared" ca="1" si="13"/>
        <v>0</v>
      </c>
      <c r="K25" s="29">
        <f t="shared" ca="1" si="13"/>
        <v>0</v>
      </c>
      <c r="L25" s="29">
        <f t="shared" ca="1" si="13"/>
        <v>0</v>
      </c>
      <c r="M25" s="29">
        <f t="shared" ca="1" si="13"/>
        <v>0</v>
      </c>
      <c r="N25" s="29">
        <f t="shared" ca="1" si="13"/>
        <v>0</v>
      </c>
      <c r="O25" s="29">
        <f t="shared" ca="1" si="13"/>
        <v>0</v>
      </c>
      <c r="P25" s="29">
        <f t="shared" ca="1" si="13"/>
        <v>0</v>
      </c>
      <c r="Q25" s="29">
        <f t="shared" ca="1" si="13"/>
        <v>0</v>
      </c>
    </row>
    <row r="26" spans="1:17" ht="15.75" x14ac:dyDescent="0.25">
      <c r="A26" s="28">
        <v>16000</v>
      </c>
      <c r="B26" s="29" t="e">
        <f t="shared" ca="1" si="11"/>
        <v>#NUM!</v>
      </c>
      <c r="C26" s="29">
        <f t="shared" ca="1" si="13"/>
        <v>0</v>
      </c>
      <c r="D26" s="29">
        <f t="shared" ca="1" si="13"/>
        <v>0</v>
      </c>
      <c r="E26" s="29">
        <f t="shared" ca="1" si="13"/>
        <v>0</v>
      </c>
      <c r="F26" s="29">
        <f t="shared" ca="1" si="13"/>
        <v>0</v>
      </c>
      <c r="G26" s="29">
        <f t="shared" ca="1" si="13"/>
        <v>0</v>
      </c>
      <c r="H26" s="29">
        <f t="shared" ca="1" si="13"/>
        <v>0</v>
      </c>
      <c r="I26" s="29">
        <f t="shared" ca="1" si="13"/>
        <v>0</v>
      </c>
      <c r="J26" s="29">
        <f t="shared" ca="1" si="13"/>
        <v>0</v>
      </c>
      <c r="K26" s="29">
        <f t="shared" ca="1" si="13"/>
        <v>0</v>
      </c>
      <c r="L26" s="29">
        <f t="shared" ca="1" si="13"/>
        <v>0</v>
      </c>
      <c r="M26" s="29">
        <f t="shared" ca="1" si="13"/>
        <v>0</v>
      </c>
      <c r="N26" s="29">
        <f t="shared" ca="1" si="13"/>
        <v>0</v>
      </c>
      <c r="O26" s="29">
        <f t="shared" ca="1" si="13"/>
        <v>0</v>
      </c>
      <c r="P26" s="29">
        <f t="shared" ca="1" si="13"/>
        <v>0</v>
      </c>
      <c r="Q26" s="29">
        <f t="shared" ca="1" si="13"/>
        <v>0</v>
      </c>
    </row>
    <row r="27" spans="1:17" ht="15.75" x14ac:dyDescent="0.25">
      <c r="A27" s="28">
        <v>17000</v>
      </c>
      <c r="B27" s="29" t="e">
        <f t="shared" ca="1" si="11"/>
        <v>#NUM!</v>
      </c>
      <c r="C27" s="29">
        <f t="shared" ca="1" si="13"/>
        <v>0</v>
      </c>
      <c r="D27" s="29">
        <f t="shared" ca="1" si="13"/>
        <v>0</v>
      </c>
      <c r="E27" s="29">
        <f t="shared" ca="1" si="13"/>
        <v>0</v>
      </c>
      <c r="F27" s="29">
        <f t="shared" ca="1" si="13"/>
        <v>0</v>
      </c>
      <c r="G27" s="29">
        <f t="shared" ca="1" si="13"/>
        <v>0</v>
      </c>
      <c r="H27" s="29">
        <f t="shared" ca="1" si="13"/>
        <v>0</v>
      </c>
      <c r="I27" s="29">
        <f t="shared" ca="1" si="13"/>
        <v>0</v>
      </c>
      <c r="J27" s="29">
        <f t="shared" ca="1" si="13"/>
        <v>0</v>
      </c>
      <c r="K27" s="29">
        <f t="shared" ca="1" si="13"/>
        <v>0</v>
      </c>
      <c r="L27" s="29">
        <f t="shared" ca="1" si="13"/>
        <v>0</v>
      </c>
      <c r="M27" s="29">
        <f t="shared" ca="1" si="13"/>
        <v>0</v>
      </c>
      <c r="N27" s="29">
        <f t="shared" ca="1" si="13"/>
        <v>0</v>
      </c>
      <c r="O27" s="29">
        <f t="shared" ca="1" si="13"/>
        <v>0</v>
      </c>
      <c r="P27" s="29">
        <f t="shared" ca="1" si="13"/>
        <v>0</v>
      </c>
      <c r="Q27" s="29">
        <f t="shared" ca="1" si="13"/>
        <v>0</v>
      </c>
    </row>
    <row r="28" spans="1:17" ht="15.75" x14ac:dyDescent="0.25">
      <c r="A28" s="28">
        <v>18000</v>
      </c>
      <c r="B28" s="29" t="e">
        <f t="shared" ca="1" si="11"/>
        <v>#NUM!</v>
      </c>
      <c r="C28" s="29">
        <f t="shared" ca="1" si="13"/>
        <v>0</v>
      </c>
      <c r="D28" s="29">
        <f t="shared" ca="1" si="13"/>
        <v>0</v>
      </c>
      <c r="E28" s="29">
        <f t="shared" ca="1" si="13"/>
        <v>0</v>
      </c>
      <c r="F28" s="29">
        <f t="shared" ca="1" si="13"/>
        <v>0</v>
      </c>
      <c r="G28" s="29">
        <f t="shared" ca="1" si="13"/>
        <v>0</v>
      </c>
      <c r="H28" s="29">
        <f t="shared" ca="1" si="13"/>
        <v>0</v>
      </c>
      <c r="I28" s="29">
        <f t="shared" ca="1" si="13"/>
        <v>0</v>
      </c>
      <c r="J28" s="29">
        <f t="shared" ca="1" si="13"/>
        <v>0</v>
      </c>
      <c r="K28" s="29">
        <f t="shared" ca="1" si="13"/>
        <v>0</v>
      </c>
      <c r="L28" s="29">
        <f t="shared" ca="1" si="13"/>
        <v>0</v>
      </c>
      <c r="M28" s="29">
        <f t="shared" ca="1" si="13"/>
        <v>0</v>
      </c>
      <c r="N28" s="29">
        <f t="shared" ca="1" si="13"/>
        <v>0</v>
      </c>
      <c r="O28" s="29">
        <f t="shared" ca="1" si="13"/>
        <v>0</v>
      </c>
      <c r="P28" s="29">
        <f t="shared" ca="1" si="13"/>
        <v>0</v>
      </c>
      <c r="Q28" s="29">
        <f t="shared" ca="1" si="13"/>
        <v>0</v>
      </c>
    </row>
    <row r="29" spans="1:17" ht="15.75" x14ac:dyDescent="0.25">
      <c r="A29" s="30" t="s">
        <v>64</v>
      </c>
      <c r="B29" s="31" t="e">
        <f t="shared" ref="B29:Q29" ca="1" si="14">MAXA(B$11:B$28)</f>
        <v>#NUM!</v>
      </c>
      <c r="C29" s="31">
        <f t="shared" ca="1" si="14"/>
        <v>3.241813905498756</v>
      </c>
      <c r="D29" s="31">
        <f t="shared" ca="1" si="14"/>
        <v>12189.473431247761</v>
      </c>
      <c r="E29" s="31">
        <f t="shared" ca="1" si="14"/>
        <v>1.9715210478260869</v>
      </c>
      <c r="F29" s="31">
        <f t="shared" ca="1" si="14"/>
        <v>0</v>
      </c>
      <c r="G29" s="31">
        <f t="shared" ca="1" si="14"/>
        <v>0.26310403806405203</v>
      </c>
      <c r="H29" s="31">
        <f t="shared" ca="1" si="14"/>
        <v>1.0006749769083081</v>
      </c>
      <c r="I29" s="31">
        <f t="shared" ca="1" si="14"/>
        <v>117623872.7182885</v>
      </c>
      <c r="J29" s="31">
        <f t="shared" ca="1" si="14"/>
        <v>0.39335197992161941</v>
      </c>
      <c r="K29" s="31">
        <f t="shared" ca="1" si="14"/>
        <v>5.6642293930053711E-4</v>
      </c>
      <c r="L29" s="31">
        <f t="shared" ca="1" si="14"/>
        <v>2.0745234528440255</v>
      </c>
      <c r="M29" s="31">
        <f t="shared" ca="1" si="14"/>
        <v>7.8275862068965525</v>
      </c>
      <c r="N29" s="31">
        <f t="shared" ca="1" si="14"/>
        <v>1.8997521711148593</v>
      </c>
      <c r="O29" s="31">
        <f t="shared" ca="1" si="14"/>
        <v>0</v>
      </c>
      <c r="P29" s="31">
        <f t="shared" ca="1" si="14"/>
        <v>0</v>
      </c>
      <c r="Q29" s="31">
        <f t="shared" ca="1" si="14"/>
        <v>0</v>
      </c>
    </row>
    <row r="30" spans="1:17" ht="15.75" x14ac:dyDescent="0.25">
      <c r="A30" s="30" t="s">
        <v>46</v>
      </c>
      <c r="B30" s="32" t="e">
        <f ca="1">MAX((B29:Q29))</f>
        <v>#NUM!</v>
      </c>
      <c r="C30" s="30" t="s">
        <v>47</v>
      </c>
      <c r="D30" s="32" t="e">
        <f ca="1">MIN((B29:Q29))</f>
        <v>#NUM!</v>
      </c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</row>
    <row r="31" spans="1:17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</row>
    <row r="32" spans="1:17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</row>
    <row r="33" spans="1:17" ht="18.75" x14ac:dyDescent="0.3">
      <c r="A33" s="33" t="s">
        <v>56</v>
      </c>
      <c r="B33" s="34"/>
      <c r="C33" s="34"/>
      <c r="D33" s="34"/>
      <c r="E33" s="34"/>
      <c r="F33" s="34"/>
      <c r="G33" s="34"/>
      <c r="H33" s="34"/>
      <c r="I33" s="34"/>
      <c r="J33" s="35"/>
      <c r="K33" s="35"/>
      <c r="L33" s="35"/>
      <c r="M33" s="35"/>
      <c r="N33" s="35"/>
      <c r="O33" s="35"/>
      <c r="P33" s="35"/>
      <c r="Q33" s="35"/>
    </row>
    <row r="38" spans="1:17" x14ac:dyDescent="0.25">
      <c r="P38" s="36"/>
      <c r="Q38" s="36"/>
    </row>
  </sheetData>
  <mergeCells count="1">
    <mergeCell ref="B10:Q10"/>
  </mergeCells>
  <conditionalFormatting sqref="B11:Q28">
    <cfRule type="cellIs" dxfId="1" priority="1" operator="greaterThan">
      <formula>$D$6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Q32"/>
  <sheetViews>
    <sheetView zoomScale="70" zoomScaleNormal="70" workbookViewId="0">
      <selection activeCell="B10" sqref="B10"/>
    </sheetView>
  </sheetViews>
  <sheetFormatPr defaultRowHeight="15" x14ac:dyDescent="0.25"/>
  <cols>
    <col min="1" max="1" width="26.7109375" style="37" customWidth="1"/>
    <col min="2" max="2" width="23.7109375" style="37" customWidth="1"/>
    <col min="3" max="3" width="27.42578125" style="37" customWidth="1"/>
    <col min="4" max="4" width="23.140625" style="37" customWidth="1"/>
    <col min="5" max="10" width="14.28515625" style="37" bestFit="1" customWidth="1"/>
    <col min="11" max="11" width="22.42578125" style="37" customWidth="1"/>
    <col min="12" max="12" width="26.7109375" style="37" customWidth="1"/>
    <col min="13" max="13" width="21.5703125" style="37" customWidth="1"/>
    <col min="14" max="14" width="24" style="37" customWidth="1"/>
    <col min="15" max="15" width="24.140625" style="37" customWidth="1"/>
    <col min="16" max="16" width="23.140625" style="37" customWidth="1"/>
    <col min="17" max="17" width="21.7109375" style="37" customWidth="1"/>
    <col min="18" max="16384" width="9.140625" style="37"/>
  </cols>
  <sheetData>
    <row r="1" spans="1:17" ht="15.75" x14ac:dyDescent="0.25">
      <c r="A1" s="38"/>
      <c r="B1" s="38" t="s">
        <v>4</v>
      </c>
      <c r="C1" s="38" t="s">
        <v>5</v>
      </c>
      <c r="D1" s="38" t="s">
        <v>6</v>
      </c>
      <c r="E1" s="38" t="s">
        <v>7</v>
      </c>
      <c r="F1" s="38" t="s">
        <v>8</v>
      </c>
      <c r="G1" s="38" t="s">
        <v>9</v>
      </c>
      <c r="H1" s="38" t="s">
        <v>10</v>
      </c>
      <c r="I1" s="38" t="s">
        <v>11</v>
      </c>
      <c r="J1" s="38" t="s">
        <v>12</v>
      </c>
      <c r="K1" s="38" t="s">
        <v>13</v>
      </c>
      <c r="L1" s="38" t="s">
        <v>14</v>
      </c>
      <c r="M1" s="38" t="s">
        <v>15</v>
      </c>
      <c r="N1" s="38" t="s">
        <v>16</v>
      </c>
      <c r="O1" s="38" t="s">
        <v>17</v>
      </c>
      <c r="P1" s="38" t="s">
        <v>18</v>
      </c>
      <c r="Q1" s="38" t="s">
        <v>19</v>
      </c>
    </row>
    <row r="2" spans="1:17" ht="31.5" x14ac:dyDescent="0.25">
      <c r="A2" s="39" t="s">
        <v>20</v>
      </c>
      <c r="B2" s="40">
        <v>10</v>
      </c>
      <c r="C2" s="41" t="s">
        <v>21</v>
      </c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</row>
    <row r="3" spans="1:17" ht="15.75" x14ac:dyDescent="0.25">
      <c r="A3" s="41" t="s">
        <v>25</v>
      </c>
      <c r="B3" s="42">
        <v>3</v>
      </c>
      <c r="C3" s="43" t="s">
        <v>26</v>
      </c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</row>
    <row r="4" spans="1:17" ht="15.75" x14ac:dyDescent="0.25">
      <c r="A4" s="41" t="s">
        <v>27</v>
      </c>
      <c r="B4" s="42">
        <v>10</v>
      </c>
      <c r="C4" s="43" t="s">
        <v>51</v>
      </c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</row>
    <row r="5" spans="1:17" ht="15.75" x14ac:dyDescent="0.25">
      <c r="A5" s="39" t="s">
        <v>66</v>
      </c>
      <c r="B5" s="42">
        <v>7</v>
      </c>
      <c r="C5" s="39"/>
      <c r="D5" s="42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</row>
    <row r="6" spans="1:17" ht="47.25" x14ac:dyDescent="0.25">
      <c r="A6" s="39" t="s">
        <v>61</v>
      </c>
      <c r="B6" s="42">
        <v>16</v>
      </c>
      <c r="C6" s="44" t="s">
        <v>57</v>
      </c>
      <c r="D6" s="45">
        <v>0.2</v>
      </c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</row>
    <row r="7" spans="1:17" ht="15.75" x14ac:dyDescent="0.25">
      <c r="A7" s="41" t="s">
        <v>30</v>
      </c>
      <c r="B7" s="46" t="str">
        <f t="shared" ref="B7:Q7" si="0">ADDRESS(СтрокаY0,COLUMN()+Col_АХ-2+interval_АХ*(COLUMN()-2),4,TRUE,"Данные отчета")</f>
        <v>'Данные отчета'!G3</v>
      </c>
      <c r="C7" s="46" t="str">
        <f t="shared" si="0"/>
        <v>'Данные отчета'!X3</v>
      </c>
      <c r="D7" s="46" t="str">
        <f t="shared" si="0"/>
        <v>'Данные отчета'!AO3</v>
      </c>
      <c r="E7" s="46" t="str">
        <f t="shared" si="0"/>
        <v>'Данные отчета'!BF3</v>
      </c>
      <c r="F7" s="46" t="str">
        <f t="shared" si="0"/>
        <v>'Данные отчета'!BW3</v>
      </c>
      <c r="G7" s="46" t="str">
        <f t="shared" si="0"/>
        <v>'Данные отчета'!CN3</v>
      </c>
      <c r="H7" s="46" t="str">
        <f t="shared" si="0"/>
        <v>'Данные отчета'!DE3</v>
      </c>
      <c r="I7" s="46" t="str">
        <f t="shared" si="0"/>
        <v>'Данные отчета'!DV3</v>
      </c>
      <c r="J7" s="46" t="str">
        <f t="shared" si="0"/>
        <v>'Данные отчета'!EM3</v>
      </c>
      <c r="K7" s="46" t="str">
        <f t="shared" si="0"/>
        <v>'Данные отчета'!FD3</v>
      </c>
      <c r="L7" s="46" t="str">
        <f t="shared" si="0"/>
        <v>'Данные отчета'!FU3</v>
      </c>
      <c r="M7" s="46" t="str">
        <f t="shared" si="0"/>
        <v>'Данные отчета'!GL3</v>
      </c>
      <c r="N7" s="46" t="str">
        <f t="shared" si="0"/>
        <v>'Данные отчета'!HC3</v>
      </c>
      <c r="O7" s="46" t="str">
        <f t="shared" si="0"/>
        <v>'Данные отчета'!HT3</v>
      </c>
      <c r="P7" s="46" t="str">
        <f t="shared" si="0"/>
        <v>'Данные отчета'!IK3</v>
      </c>
      <c r="Q7" s="46" t="str">
        <f t="shared" si="0"/>
        <v>'Данные отчета'!JB3</v>
      </c>
    </row>
    <row r="8" spans="1:17" ht="15.75" x14ac:dyDescent="0.25">
      <c r="A8" s="41" t="s">
        <v>67</v>
      </c>
      <c r="B8" s="46">
        <f ca="1">INDIRECT(B7)</f>
        <v>2.0639458404823373E-4</v>
      </c>
      <c r="C8" s="46">
        <f t="shared" ref="C8:Q8" ca="1" si="1">INDIRECT(C7)</f>
        <v>0.76</v>
      </c>
      <c r="D8" s="46">
        <f t="shared" ca="1" si="1"/>
        <v>-2.4983589649200439</v>
      </c>
      <c r="E8" s="46">
        <f t="shared" ca="1" si="1"/>
        <v>0.90689968200000004</v>
      </c>
      <c r="F8" s="46">
        <f t="shared" ca="1" si="1"/>
        <v>2.4992965912699256</v>
      </c>
      <c r="G8" s="46">
        <f t="shared" ca="1" si="1"/>
        <v>0.44521805488021043</v>
      </c>
      <c r="H8" s="46">
        <f t="shared" ca="1" si="1"/>
        <v>-2.5000452995300293</v>
      </c>
      <c r="I8" s="46">
        <f t="shared" ca="1" si="1"/>
        <v>4</v>
      </c>
      <c r="J8" s="46">
        <f t="shared" ca="1" si="1"/>
        <v>-2.4997340284212672</v>
      </c>
      <c r="K8" s="46">
        <f t="shared" ca="1" si="1"/>
        <v>2.2656917572021484E-3</v>
      </c>
      <c r="L8" s="46">
        <f t="shared" ca="1" si="1"/>
        <v>2.9075678603022963</v>
      </c>
      <c r="M8" s="46">
        <f t="shared" ca="1" si="1"/>
        <v>0.79</v>
      </c>
      <c r="N8" s="46">
        <f t="shared" ca="1" si="1"/>
        <v>4.8795189632456921</v>
      </c>
      <c r="O8" s="46">
        <f t="shared" ca="1" si="1"/>
        <v>0</v>
      </c>
      <c r="P8" s="46">
        <f t="shared" ca="1" si="1"/>
        <v>0</v>
      </c>
      <c r="Q8" s="46">
        <f t="shared" ca="1" si="1"/>
        <v>0</v>
      </c>
    </row>
    <row r="9" spans="1:17" ht="18.75" x14ac:dyDescent="0.3">
      <c r="A9" s="47" t="s">
        <v>44</v>
      </c>
      <c r="B9" s="81" t="s">
        <v>58</v>
      </c>
      <c r="C9" s="81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</row>
    <row r="10" spans="1:17" ht="15.75" x14ac:dyDescent="0.25">
      <c r="A10" s="35">
        <v>7</v>
      </c>
      <c r="B10" s="48">
        <f ca="1">100*(A10-INDIRECT(ADDRESS(СтрокаY0+ROW()-Строка0_АХ,COLUMN()+Col_АХ-2+interval_АХ*(COLUMN()-2),4,TRUE,"Данные отчета")))/Range_АХ</f>
        <v>69.99793605415951</v>
      </c>
      <c r="C10" s="48">
        <f t="shared" ref="C10:Q10" ca="1" si="2">100*(B10-INDIRECT(ADDRESS(СтрокаY0+ROW()-Строка0_АХ,COLUMN()+Col_АХ-2+interval_АХ*(COLUMN()-2),4,TRUE,"Данные отчета")))/Range_АХ</f>
        <v>692.37936054159513</v>
      </c>
      <c r="D10" s="48">
        <f t="shared" ca="1" si="2"/>
        <v>6948.7771950651513</v>
      </c>
      <c r="E10" s="48">
        <f t="shared" ca="1" si="2"/>
        <v>69478.702953831511</v>
      </c>
      <c r="F10" s="48">
        <f t="shared" ca="1" si="2"/>
        <v>694762.03657240246</v>
      </c>
      <c r="G10" s="48">
        <f t="shared" ca="1" si="2"/>
        <v>6947615.9135434749</v>
      </c>
      <c r="H10" s="48">
        <f t="shared" ca="1" si="2"/>
        <v>69476184.135887742</v>
      </c>
      <c r="I10" s="48">
        <f t="shared" ca="1" si="2"/>
        <v>694761801.35887742</v>
      </c>
      <c r="J10" s="48">
        <f t="shared" ca="1" si="2"/>
        <v>6947618038.5861149</v>
      </c>
      <c r="K10" s="48">
        <f t="shared" ca="1" si="2"/>
        <v>69476180385.838486</v>
      </c>
      <c r="L10" s="48">
        <f t="shared" ca="1" si="2"/>
        <v>694761803829.30933</v>
      </c>
      <c r="M10" s="48">
        <f t="shared" ca="1" si="2"/>
        <v>6947618038285.1934</v>
      </c>
      <c r="N10" s="48">
        <f t="shared" ca="1" si="2"/>
        <v>69476180382803.141</v>
      </c>
      <c r="O10" s="48">
        <f t="shared" ca="1" si="2"/>
        <v>694761803828031.37</v>
      </c>
      <c r="P10" s="48">
        <f t="shared" ca="1" si="2"/>
        <v>6947618038280314</v>
      </c>
      <c r="Q10" s="48">
        <f t="shared" ca="1" si="2"/>
        <v>6.9476180382803136E+16</v>
      </c>
    </row>
    <row r="11" spans="1:17" ht="15.75" x14ac:dyDescent="0.25">
      <c r="A11" s="35">
        <v>7</v>
      </c>
      <c r="B11" s="48">
        <f t="shared" ref="B11:Q11" ca="1" si="3">100*(A11-INDIRECT(ADDRESS(СтрокаY0+ROW()-Строка0_АХ,COLUMN()+Col_АХ-2+interval_АХ*(COLUMN()-2),4,TRUE,"Данные отчета")))/Range_АХ</f>
        <v>69.996244334603446</v>
      </c>
      <c r="C11" s="48">
        <f t="shared" ca="1" si="3"/>
        <v>682.46244334603443</v>
      </c>
      <c r="D11" s="48">
        <f t="shared" ca="1" si="3"/>
        <v>6824.6122551929921</v>
      </c>
      <c r="E11" s="48">
        <f t="shared" ca="1" si="3"/>
        <v>68237.053555109916</v>
      </c>
      <c r="F11" s="48">
        <f t="shared" ca="1" si="3"/>
        <v>682370.52776298276</v>
      </c>
      <c r="G11" s="48">
        <f t="shared" ca="1" si="3"/>
        <v>6823706.7871651929</v>
      </c>
      <c r="H11" s="48">
        <f t="shared" ca="1" si="3"/>
        <v>68237067.867589787</v>
      </c>
      <c r="I11" s="48">
        <f t="shared" ca="1" si="3"/>
        <v>682370638.67589784</v>
      </c>
      <c r="J11" s="48">
        <f t="shared" ca="1" si="3"/>
        <v>6823706386.751811</v>
      </c>
      <c r="K11" s="48">
        <f t="shared" ca="1" si="3"/>
        <v>68237063867.499496</v>
      </c>
      <c r="L11" s="48">
        <f t="shared" ca="1" si="3"/>
        <v>682370638623.14954</v>
      </c>
      <c r="M11" s="48">
        <f t="shared" ca="1" si="3"/>
        <v>6823706386215.2949</v>
      </c>
      <c r="N11" s="48">
        <f t="shared" ca="1" si="3"/>
        <v>68237063862048.727</v>
      </c>
      <c r="O11" s="48">
        <f t="shared" ca="1" si="3"/>
        <v>682370638620487.25</v>
      </c>
      <c r="P11" s="48">
        <f t="shared" ca="1" si="3"/>
        <v>6823706386204873</v>
      </c>
      <c r="Q11" s="48">
        <f t="shared" ca="1" si="3"/>
        <v>6.8237063862048728E+16</v>
      </c>
    </row>
    <row r="12" spans="1:17" ht="15.75" x14ac:dyDescent="0.25">
      <c r="A12" s="35">
        <v>7</v>
      </c>
      <c r="B12" s="48">
        <f t="shared" ref="B12:Q12" ca="1" si="4">100*(A12-INDIRECT(ADDRESS(СтрокаY0+ROW()-Строка0_АХ,COLUMN()+Col_АХ-2+interval_АХ*(COLUMN()-2),4,TRUE,"Данные отчета")))/Range_АХ</f>
        <v>69.997401997091544</v>
      </c>
      <c r="C12" s="48">
        <f t="shared" ca="1" si="4"/>
        <v>670.57401997091551</v>
      </c>
      <c r="D12" s="48">
        <f t="shared" ca="1" si="4"/>
        <v>6680.7435590269351</v>
      </c>
      <c r="E12" s="48">
        <f t="shared" ca="1" si="4"/>
        <v>66798.366593449347</v>
      </c>
      <c r="F12" s="48">
        <f t="shared" ca="1" si="4"/>
        <v>667958.67190217343</v>
      </c>
      <c r="G12" s="48">
        <f t="shared" ca="1" si="4"/>
        <v>6679580.2597207185</v>
      </c>
      <c r="H12" s="48">
        <f t="shared" ca="1" si="4"/>
        <v>66795777.608560681</v>
      </c>
      <c r="I12" s="48">
        <f t="shared" ca="1" si="4"/>
        <v>667957716.08560681</v>
      </c>
      <c r="J12" s="48">
        <f t="shared" ca="1" si="4"/>
        <v>6679577135.849247</v>
      </c>
      <c r="K12" s="48">
        <f t="shared" ca="1" si="4"/>
        <v>66795771358.475479</v>
      </c>
      <c r="L12" s="48">
        <f t="shared" ca="1" si="4"/>
        <v>667957713534.43799</v>
      </c>
      <c r="M12" s="48">
        <f t="shared" ca="1" si="4"/>
        <v>6679577135321.6797</v>
      </c>
      <c r="N12" s="48">
        <f t="shared" ca="1" si="4"/>
        <v>66795771353138.328</v>
      </c>
      <c r="O12" s="48">
        <f t="shared" ca="1" si="4"/>
        <v>667957713531383.25</v>
      </c>
      <c r="P12" s="48">
        <f t="shared" ca="1" si="4"/>
        <v>6679577135313833</v>
      </c>
      <c r="Q12" s="48">
        <f t="shared" ca="1" si="4"/>
        <v>6.6795771353138328E+16</v>
      </c>
    </row>
    <row r="13" spans="1:17" ht="15.75" x14ac:dyDescent="0.25">
      <c r="A13" s="35">
        <v>7</v>
      </c>
      <c r="B13" s="48">
        <f t="shared" ref="B13:Q13" ca="1" si="5">100*(A13-INDIRECT(ADDRESS(СтрокаY0+ROW()-Строка0_АХ,COLUMN()+Col_АХ-2+interval_АХ*(COLUMN()-2),4,TRUE,"Данные отчета")))/Range_АХ</f>
        <v>70</v>
      </c>
      <c r="C13" s="48">
        <f t="shared" ca="1" si="5"/>
        <v>700</v>
      </c>
      <c r="D13" s="48">
        <f t="shared" ca="1" si="5"/>
        <v>7000</v>
      </c>
      <c r="E13" s="48">
        <f t="shared" ca="1" si="5"/>
        <v>70000</v>
      </c>
      <c r="F13" s="48">
        <f t="shared" ca="1" si="5"/>
        <v>700000</v>
      </c>
      <c r="G13" s="48">
        <f t="shared" ca="1" si="5"/>
        <v>7000000</v>
      </c>
      <c r="H13" s="48">
        <f t="shared" ca="1" si="5"/>
        <v>70000000</v>
      </c>
      <c r="I13" s="48">
        <f t="shared" ca="1" si="5"/>
        <v>700000000</v>
      </c>
      <c r="J13" s="48">
        <f t="shared" ca="1" si="5"/>
        <v>7000000000</v>
      </c>
      <c r="K13" s="48">
        <f t="shared" ca="1" si="5"/>
        <v>70000000000</v>
      </c>
      <c r="L13" s="48">
        <f t="shared" ca="1" si="5"/>
        <v>700000000000</v>
      </c>
      <c r="M13" s="48">
        <f t="shared" ca="1" si="5"/>
        <v>7000000000000</v>
      </c>
      <c r="N13" s="48">
        <f t="shared" ca="1" si="5"/>
        <v>70000000000000</v>
      </c>
      <c r="O13" s="48">
        <f t="shared" ca="1" si="5"/>
        <v>700000000000000</v>
      </c>
      <c r="P13" s="48">
        <f t="shared" ca="1" si="5"/>
        <v>7000000000000000</v>
      </c>
      <c r="Q13" s="48">
        <f t="shared" ca="1" si="5"/>
        <v>7E+16</v>
      </c>
    </row>
    <row r="14" spans="1:17" ht="15.75" x14ac:dyDescent="0.25">
      <c r="A14" s="35">
        <v>7</v>
      </c>
      <c r="B14" s="48">
        <f t="shared" ref="B14:Q14" ca="1" si="6">100*(A14-INDIRECT(ADDRESS(СтрокаY0+ROW()-Строка0_АХ,COLUMN()+Col_АХ-2+interval_АХ*(COLUMN()-2),4,TRUE,"Данные отчета")))/Range_АХ</f>
        <v>70</v>
      </c>
      <c r="C14" s="48">
        <f t="shared" ca="1" si="6"/>
        <v>700</v>
      </c>
      <c r="D14" s="48">
        <f t="shared" ca="1" si="6"/>
        <v>7000</v>
      </c>
      <c r="E14" s="48">
        <f t="shared" ca="1" si="6"/>
        <v>70000</v>
      </c>
      <c r="F14" s="48">
        <f t="shared" ca="1" si="6"/>
        <v>700000</v>
      </c>
      <c r="G14" s="48">
        <f t="shared" ca="1" si="6"/>
        <v>7000000</v>
      </c>
      <c r="H14" s="48">
        <f t="shared" ca="1" si="6"/>
        <v>70000000</v>
      </c>
      <c r="I14" s="48">
        <f t="shared" ca="1" si="6"/>
        <v>700000000</v>
      </c>
      <c r="J14" s="48">
        <f t="shared" ca="1" si="6"/>
        <v>7000000000</v>
      </c>
      <c r="K14" s="48">
        <f t="shared" ca="1" si="6"/>
        <v>70000000000</v>
      </c>
      <c r="L14" s="48">
        <f t="shared" ca="1" si="6"/>
        <v>700000000000</v>
      </c>
      <c r="M14" s="48">
        <f t="shared" ca="1" si="6"/>
        <v>7000000000000</v>
      </c>
      <c r="N14" s="48">
        <f t="shared" ca="1" si="6"/>
        <v>70000000000000</v>
      </c>
      <c r="O14" s="48">
        <f t="shared" ca="1" si="6"/>
        <v>700000000000000</v>
      </c>
      <c r="P14" s="48">
        <f t="shared" ca="1" si="6"/>
        <v>7000000000000000</v>
      </c>
      <c r="Q14" s="48">
        <f t="shared" ca="1" si="6"/>
        <v>7E+16</v>
      </c>
    </row>
    <row r="15" spans="1:17" ht="15.75" x14ac:dyDescent="0.25">
      <c r="A15" s="35">
        <v>7</v>
      </c>
      <c r="B15" s="48">
        <f t="shared" ref="B15:Q15" ca="1" si="7">100*(A15-INDIRECT(ADDRESS(СтрокаY0+ROW()-Строка0_АХ,COLUMN()+Col_АХ-2+interval_АХ*(COLUMN()-2),4,TRUE,"Данные отчета")))/Range_АХ</f>
        <v>70</v>
      </c>
      <c r="C15" s="48">
        <f t="shared" ca="1" si="7"/>
        <v>700</v>
      </c>
      <c r="D15" s="48">
        <f t="shared" ca="1" si="7"/>
        <v>7000</v>
      </c>
      <c r="E15" s="48">
        <f t="shared" ca="1" si="7"/>
        <v>70000</v>
      </c>
      <c r="F15" s="48">
        <f t="shared" ca="1" si="7"/>
        <v>700000</v>
      </c>
      <c r="G15" s="48">
        <f t="shared" ca="1" si="7"/>
        <v>7000000</v>
      </c>
      <c r="H15" s="48">
        <f t="shared" ca="1" si="7"/>
        <v>70000000</v>
      </c>
      <c r="I15" s="48">
        <f t="shared" ca="1" si="7"/>
        <v>700000000</v>
      </c>
      <c r="J15" s="48">
        <f t="shared" ca="1" si="7"/>
        <v>7000000000</v>
      </c>
      <c r="K15" s="48">
        <f t="shared" ca="1" si="7"/>
        <v>70000000000</v>
      </c>
      <c r="L15" s="48">
        <f t="shared" ca="1" si="7"/>
        <v>700000000000</v>
      </c>
      <c r="M15" s="48">
        <f t="shared" ca="1" si="7"/>
        <v>7000000000000</v>
      </c>
      <c r="N15" s="48">
        <f t="shared" ca="1" si="7"/>
        <v>70000000000000</v>
      </c>
      <c r="O15" s="48">
        <f t="shared" ca="1" si="7"/>
        <v>700000000000000</v>
      </c>
      <c r="P15" s="48">
        <f t="shared" ca="1" si="7"/>
        <v>7000000000000000</v>
      </c>
      <c r="Q15" s="48">
        <f t="shared" ca="1" si="7"/>
        <v>7E+16</v>
      </c>
    </row>
    <row r="16" spans="1:17" ht="15.75" x14ac:dyDescent="0.25">
      <c r="A16" s="35">
        <v>7</v>
      </c>
      <c r="B16" s="48">
        <f t="shared" ref="B16:Q16" ca="1" si="8">100*(A16-INDIRECT(ADDRESS(СтрокаY0+ROW()-Строка0_АХ,COLUMN()+Col_АХ-2+interval_АХ*(COLUMN()-2),4,TRUE,"Данные отчета")))/Range_АХ</f>
        <v>70</v>
      </c>
      <c r="C16" s="48">
        <f t="shared" ca="1" si="8"/>
        <v>700</v>
      </c>
      <c r="D16" s="48">
        <f t="shared" ca="1" si="8"/>
        <v>7000</v>
      </c>
      <c r="E16" s="48">
        <f t="shared" ca="1" si="8"/>
        <v>70000</v>
      </c>
      <c r="F16" s="48">
        <f t="shared" ca="1" si="8"/>
        <v>700000</v>
      </c>
      <c r="G16" s="48">
        <f t="shared" ca="1" si="8"/>
        <v>7000000</v>
      </c>
      <c r="H16" s="48">
        <f t="shared" ca="1" si="8"/>
        <v>70000000</v>
      </c>
      <c r="I16" s="48">
        <f t="shared" ca="1" si="8"/>
        <v>700000000</v>
      </c>
      <c r="J16" s="48">
        <f t="shared" ca="1" si="8"/>
        <v>7000000000</v>
      </c>
      <c r="K16" s="48">
        <f t="shared" ca="1" si="8"/>
        <v>70000000000</v>
      </c>
      <c r="L16" s="48">
        <f t="shared" ca="1" si="8"/>
        <v>700000000000</v>
      </c>
      <c r="M16" s="48">
        <f t="shared" ca="1" si="8"/>
        <v>7000000000000</v>
      </c>
      <c r="N16" s="48">
        <f t="shared" ca="1" si="8"/>
        <v>70000000000000</v>
      </c>
      <c r="O16" s="48">
        <f t="shared" ca="1" si="8"/>
        <v>700000000000000</v>
      </c>
      <c r="P16" s="48">
        <f t="shared" ca="1" si="8"/>
        <v>7000000000000000</v>
      </c>
      <c r="Q16" s="48">
        <f t="shared" ca="1" si="8"/>
        <v>7E+16</v>
      </c>
    </row>
    <row r="17" spans="1:17" ht="15.75" x14ac:dyDescent="0.25">
      <c r="A17" s="35">
        <v>7</v>
      </c>
      <c r="B17" s="48">
        <f t="shared" ref="B17:Q17" ca="1" si="9">100*(A17-INDIRECT(ADDRESS(СтрокаY0+ROW()-Строка0_АХ,COLUMN()+Col_АХ-2+interval_АХ*(COLUMN()-2),4,TRUE,"Данные отчета")))/Range_АХ</f>
        <v>70</v>
      </c>
      <c r="C17" s="48">
        <f t="shared" ca="1" si="9"/>
        <v>700</v>
      </c>
      <c r="D17" s="48">
        <f t="shared" ca="1" si="9"/>
        <v>7000</v>
      </c>
      <c r="E17" s="48">
        <f t="shared" ca="1" si="9"/>
        <v>70000</v>
      </c>
      <c r="F17" s="48">
        <f t="shared" ca="1" si="9"/>
        <v>700000</v>
      </c>
      <c r="G17" s="48">
        <f t="shared" ca="1" si="9"/>
        <v>7000000</v>
      </c>
      <c r="H17" s="48">
        <f t="shared" ca="1" si="9"/>
        <v>70000000</v>
      </c>
      <c r="I17" s="48">
        <f t="shared" ca="1" si="9"/>
        <v>700000000</v>
      </c>
      <c r="J17" s="48">
        <f t="shared" ca="1" si="9"/>
        <v>7000000000</v>
      </c>
      <c r="K17" s="48">
        <f t="shared" ca="1" si="9"/>
        <v>70000000000</v>
      </c>
      <c r="L17" s="48">
        <f t="shared" ca="1" si="9"/>
        <v>700000000000</v>
      </c>
      <c r="M17" s="48">
        <f t="shared" ca="1" si="9"/>
        <v>7000000000000</v>
      </c>
      <c r="N17" s="48">
        <f t="shared" ca="1" si="9"/>
        <v>70000000000000</v>
      </c>
      <c r="O17" s="48">
        <f t="shared" ca="1" si="9"/>
        <v>700000000000000</v>
      </c>
      <c r="P17" s="48">
        <f t="shared" ca="1" si="9"/>
        <v>7000000000000000</v>
      </c>
      <c r="Q17" s="48">
        <f t="shared" ca="1" si="9"/>
        <v>7E+16</v>
      </c>
    </row>
    <row r="18" spans="1:17" ht="15.75" x14ac:dyDescent="0.25">
      <c r="A18" s="35">
        <v>7</v>
      </c>
      <c r="B18" s="48">
        <f t="shared" ref="B18:Q18" ca="1" si="10">100*(A18-INDIRECT(ADDRESS(СтрокаY0+ROW()-Строка0_АХ,COLUMN()+Col_АХ-2+interval_АХ*(COLUMN()-2),4,TRUE,"Данные отчета")))/Range_АХ</f>
        <v>70</v>
      </c>
      <c r="C18" s="48">
        <f t="shared" ca="1" si="10"/>
        <v>700</v>
      </c>
      <c r="D18" s="48">
        <f t="shared" ca="1" si="10"/>
        <v>7000</v>
      </c>
      <c r="E18" s="48">
        <f t="shared" ca="1" si="10"/>
        <v>70000</v>
      </c>
      <c r="F18" s="48">
        <f t="shared" ca="1" si="10"/>
        <v>700000</v>
      </c>
      <c r="G18" s="48">
        <f t="shared" ca="1" si="10"/>
        <v>7000000</v>
      </c>
      <c r="H18" s="48">
        <f t="shared" ca="1" si="10"/>
        <v>70000000</v>
      </c>
      <c r="I18" s="48">
        <f t="shared" ca="1" si="10"/>
        <v>700000000</v>
      </c>
      <c r="J18" s="48">
        <f t="shared" ca="1" si="10"/>
        <v>7000000000</v>
      </c>
      <c r="K18" s="48">
        <f t="shared" ca="1" si="10"/>
        <v>70000000000</v>
      </c>
      <c r="L18" s="48">
        <f t="shared" ca="1" si="10"/>
        <v>700000000000</v>
      </c>
      <c r="M18" s="48">
        <f t="shared" ca="1" si="10"/>
        <v>7000000000000</v>
      </c>
      <c r="N18" s="48">
        <f t="shared" ca="1" si="10"/>
        <v>70000000000000</v>
      </c>
      <c r="O18" s="48">
        <f t="shared" ca="1" si="10"/>
        <v>700000000000000</v>
      </c>
      <c r="P18" s="48">
        <f t="shared" ca="1" si="10"/>
        <v>7000000000000000</v>
      </c>
      <c r="Q18" s="48">
        <f t="shared" ca="1" si="10"/>
        <v>7E+16</v>
      </c>
    </row>
    <row r="19" spans="1:17" ht="15.75" x14ac:dyDescent="0.25">
      <c r="A19" s="35">
        <v>7</v>
      </c>
      <c r="B19" s="48">
        <f t="shared" ref="B19:Q19" ca="1" si="11">100*(A19-INDIRECT(ADDRESS(СтрокаY0+ROW()-Строка0_АХ,COLUMN()+Col_АХ-2+interval_АХ*(COLUMN()-2),4,TRUE,"Данные отчета")))/Range_АХ</f>
        <v>70</v>
      </c>
      <c r="C19" s="48">
        <f t="shared" ca="1" si="11"/>
        <v>700</v>
      </c>
      <c r="D19" s="48">
        <f t="shared" ca="1" si="11"/>
        <v>7000</v>
      </c>
      <c r="E19" s="48">
        <f t="shared" ca="1" si="11"/>
        <v>70000</v>
      </c>
      <c r="F19" s="48">
        <f t="shared" ca="1" si="11"/>
        <v>700000</v>
      </c>
      <c r="G19" s="48">
        <f t="shared" ca="1" si="11"/>
        <v>7000000</v>
      </c>
      <c r="H19" s="48">
        <f t="shared" ca="1" si="11"/>
        <v>70000000</v>
      </c>
      <c r="I19" s="48">
        <f t="shared" ca="1" si="11"/>
        <v>700000000</v>
      </c>
      <c r="J19" s="48">
        <f t="shared" ca="1" si="11"/>
        <v>7000000000</v>
      </c>
      <c r="K19" s="48">
        <f t="shared" ca="1" si="11"/>
        <v>70000000000</v>
      </c>
      <c r="L19" s="48">
        <f t="shared" ca="1" si="11"/>
        <v>700000000000</v>
      </c>
      <c r="M19" s="48">
        <f t="shared" ca="1" si="11"/>
        <v>7000000000000</v>
      </c>
      <c r="N19" s="48">
        <f t="shared" ca="1" si="11"/>
        <v>70000000000000</v>
      </c>
      <c r="O19" s="48">
        <f t="shared" ca="1" si="11"/>
        <v>700000000000000</v>
      </c>
      <c r="P19" s="48">
        <f t="shared" ca="1" si="11"/>
        <v>7000000000000000</v>
      </c>
      <c r="Q19" s="48">
        <f t="shared" ca="1" si="11"/>
        <v>7E+16</v>
      </c>
    </row>
    <row r="20" spans="1:17" ht="15.75" x14ac:dyDescent="0.25">
      <c r="A20" s="35">
        <v>7</v>
      </c>
      <c r="B20" s="48">
        <f t="shared" ref="B20:Q20" ca="1" si="12">100*(A20-INDIRECT(ADDRESS(СтрокаY0+ROW()-Строка0_АХ,COLUMN()+Col_АХ-2+interval_АХ*(COLUMN()-2),4,TRUE,"Данные отчета")))/Range_АХ</f>
        <v>70</v>
      </c>
      <c r="C20" s="48">
        <f t="shared" ca="1" si="12"/>
        <v>700</v>
      </c>
      <c r="D20" s="48">
        <f t="shared" ca="1" si="12"/>
        <v>7000</v>
      </c>
      <c r="E20" s="48">
        <f t="shared" ca="1" si="12"/>
        <v>70000</v>
      </c>
      <c r="F20" s="48">
        <f t="shared" ca="1" si="12"/>
        <v>700000</v>
      </c>
      <c r="G20" s="48">
        <f t="shared" ca="1" si="12"/>
        <v>7000000</v>
      </c>
      <c r="H20" s="48">
        <f t="shared" ca="1" si="12"/>
        <v>70000000</v>
      </c>
      <c r="I20" s="48">
        <f t="shared" ca="1" si="12"/>
        <v>700000000</v>
      </c>
      <c r="J20" s="48">
        <f t="shared" ca="1" si="12"/>
        <v>7000000000</v>
      </c>
      <c r="K20" s="48">
        <f t="shared" ca="1" si="12"/>
        <v>70000000000</v>
      </c>
      <c r="L20" s="48">
        <f t="shared" ca="1" si="12"/>
        <v>700000000000</v>
      </c>
      <c r="M20" s="48">
        <f t="shared" ca="1" si="12"/>
        <v>7000000000000</v>
      </c>
      <c r="N20" s="48">
        <f t="shared" ca="1" si="12"/>
        <v>70000000000000</v>
      </c>
      <c r="O20" s="48">
        <f t="shared" ca="1" si="12"/>
        <v>700000000000000</v>
      </c>
      <c r="P20" s="48">
        <f t="shared" ca="1" si="12"/>
        <v>7000000000000000</v>
      </c>
      <c r="Q20" s="48">
        <f t="shared" ca="1" si="12"/>
        <v>7E+16</v>
      </c>
    </row>
    <row r="21" spans="1:17" ht="15.75" x14ac:dyDescent="0.25">
      <c r="A21" s="35">
        <v>7</v>
      </c>
      <c r="B21" s="48">
        <f t="shared" ref="B21:Q21" ca="1" si="13">100*(A21-INDIRECT(ADDRESS(СтрокаY0+ROW()-Строка0_АХ,COLUMN()+Col_АХ-2+interval_АХ*(COLUMN()-2),4,TRUE,"Данные отчета")))/Range_АХ</f>
        <v>70</v>
      </c>
      <c r="C21" s="48">
        <f t="shared" ca="1" si="13"/>
        <v>700</v>
      </c>
      <c r="D21" s="48">
        <f t="shared" ca="1" si="13"/>
        <v>7000</v>
      </c>
      <c r="E21" s="48">
        <f t="shared" ca="1" si="13"/>
        <v>70000</v>
      </c>
      <c r="F21" s="48">
        <f t="shared" ca="1" si="13"/>
        <v>700000</v>
      </c>
      <c r="G21" s="48">
        <f t="shared" ca="1" si="13"/>
        <v>7000000</v>
      </c>
      <c r="H21" s="48">
        <f t="shared" ca="1" si="13"/>
        <v>70000000</v>
      </c>
      <c r="I21" s="48">
        <f t="shared" ca="1" si="13"/>
        <v>700000000</v>
      </c>
      <c r="J21" s="48">
        <f t="shared" ca="1" si="13"/>
        <v>7000000000</v>
      </c>
      <c r="K21" s="48">
        <f t="shared" ca="1" si="13"/>
        <v>70000000000</v>
      </c>
      <c r="L21" s="48">
        <f t="shared" ca="1" si="13"/>
        <v>700000000000</v>
      </c>
      <c r="M21" s="48">
        <f t="shared" ca="1" si="13"/>
        <v>7000000000000</v>
      </c>
      <c r="N21" s="48">
        <f t="shared" ca="1" si="13"/>
        <v>70000000000000</v>
      </c>
      <c r="O21" s="48">
        <f t="shared" ca="1" si="13"/>
        <v>700000000000000</v>
      </c>
      <c r="P21" s="48">
        <f t="shared" ca="1" si="13"/>
        <v>7000000000000000</v>
      </c>
      <c r="Q21" s="48">
        <f t="shared" ca="1" si="13"/>
        <v>7E+16</v>
      </c>
    </row>
    <row r="22" spans="1:17" ht="15.75" x14ac:dyDescent="0.25">
      <c r="A22" s="35">
        <v>7</v>
      </c>
      <c r="B22" s="48">
        <f t="shared" ref="B22:Q22" ca="1" si="14">100*(A22-INDIRECT(ADDRESS(СтрокаY0+ROW()-Строка0_АХ,COLUMN()+Col_АХ-2+interval_АХ*(COLUMN()-2),4,TRUE,"Данные отчета")))/Range_АХ</f>
        <v>70</v>
      </c>
      <c r="C22" s="48">
        <f t="shared" ca="1" si="14"/>
        <v>700</v>
      </c>
      <c r="D22" s="48">
        <f t="shared" ca="1" si="14"/>
        <v>7000</v>
      </c>
      <c r="E22" s="48">
        <f t="shared" ca="1" si="14"/>
        <v>70000</v>
      </c>
      <c r="F22" s="48">
        <f t="shared" ca="1" si="14"/>
        <v>700000</v>
      </c>
      <c r="G22" s="48">
        <f t="shared" ca="1" si="14"/>
        <v>7000000</v>
      </c>
      <c r="H22" s="48">
        <f t="shared" ca="1" si="14"/>
        <v>70000000</v>
      </c>
      <c r="I22" s="48">
        <f t="shared" ca="1" si="14"/>
        <v>700000000</v>
      </c>
      <c r="J22" s="48">
        <f t="shared" ca="1" si="14"/>
        <v>7000000000</v>
      </c>
      <c r="K22" s="48">
        <f t="shared" ca="1" si="14"/>
        <v>70000000000</v>
      </c>
      <c r="L22" s="48">
        <f t="shared" ca="1" si="14"/>
        <v>700000000000</v>
      </c>
      <c r="M22" s="48">
        <f t="shared" ca="1" si="14"/>
        <v>7000000000000</v>
      </c>
      <c r="N22" s="48">
        <f t="shared" ca="1" si="14"/>
        <v>70000000000000</v>
      </c>
      <c r="O22" s="48">
        <f t="shared" ca="1" si="14"/>
        <v>700000000000000</v>
      </c>
      <c r="P22" s="48">
        <f t="shared" ca="1" si="14"/>
        <v>7000000000000000</v>
      </c>
      <c r="Q22" s="48">
        <f t="shared" ca="1" si="14"/>
        <v>7E+16</v>
      </c>
    </row>
    <row r="23" spans="1:17" ht="15.75" x14ac:dyDescent="0.25">
      <c r="A23" s="35">
        <v>7</v>
      </c>
      <c r="B23" s="48">
        <f t="shared" ref="B23:Q23" ca="1" si="15">100*(A23-INDIRECT(ADDRESS(СтрокаY0+ROW()-Строка0_АХ,COLUMN()+Col_АХ-2+interval_АХ*(COLUMN()-2),4,TRUE,"Данные отчета")))/Range_АХ</f>
        <v>70</v>
      </c>
      <c r="C23" s="48">
        <f t="shared" ca="1" si="15"/>
        <v>700</v>
      </c>
      <c r="D23" s="48">
        <f t="shared" ca="1" si="15"/>
        <v>7000</v>
      </c>
      <c r="E23" s="48">
        <f t="shared" ca="1" si="15"/>
        <v>70000</v>
      </c>
      <c r="F23" s="48">
        <f t="shared" ca="1" si="15"/>
        <v>700000</v>
      </c>
      <c r="G23" s="48">
        <f t="shared" ca="1" si="15"/>
        <v>7000000</v>
      </c>
      <c r="H23" s="48">
        <f t="shared" ca="1" si="15"/>
        <v>70000000</v>
      </c>
      <c r="I23" s="48">
        <f t="shared" ca="1" si="15"/>
        <v>700000000</v>
      </c>
      <c r="J23" s="48">
        <f t="shared" ca="1" si="15"/>
        <v>7000000000</v>
      </c>
      <c r="K23" s="48">
        <f t="shared" ca="1" si="15"/>
        <v>70000000000</v>
      </c>
      <c r="L23" s="48">
        <f t="shared" ca="1" si="15"/>
        <v>700000000000</v>
      </c>
      <c r="M23" s="48">
        <f t="shared" ca="1" si="15"/>
        <v>7000000000000</v>
      </c>
      <c r="N23" s="48">
        <f t="shared" ca="1" si="15"/>
        <v>70000000000000</v>
      </c>
      <c r="O23" s="48">
        <f t="shared" ca="1" si="15"/>
        <v>700000000000000</v>
      </c>
      <c r="P23" s="48">
        <f t="shared" ca="1" si="15"/>
        <v>7000000000000000</v>
      </c>
      <c r="Q23" s="48">
        <f t="shared" ca="1" si="15"/>
        <v>7E+16</v>
      </c>
    </row>
    <row r="24" spans="1:17" ht="15.75" x14ac:dyDescent="0.25">
      <c r="A24" s="35">
        <v>7</v>
      </c>
      <c r="B24" s="48">
        <f t="shared" ref="B24:Q24" ca="1" si="16">100*(A24-INDIRECT(ADDRESS(СтрокаY0+ROW()-Строка0_АХ,COLUMN()+Col_АХ-2+interval_АХ*(COLUMN()-2),4,TRUE,"Данные отчета")))/Range_АХ</f>
        <v>70</v>
      </c>
      <c r="C24" s="48">
        <f t="shared" ca="1" si="16"/>
        <v>700</v>
      </c>
      <c r="D24" s="48">
        <f t="shared" ca="1" si="16"/>
        <v>7000</v>
      </c>
      <c r="E24" s="48">
        <f t="shared" ca="1" si="16"/>
        <v>70000</v>
      </c>
      <c r="F24" s="48">
        <f t="shared" ca="1" si="16"/>
        <v>700000</v>
      </c>
      <c r="G24" s="48">
        <f t="shared" ca="1" si="16"/>
        <v>7000000</v>
      </c>
      <c r="H24" s="48">
        <f t="shared" ca="1" si="16"/>
        <v>70000000</v>
      </c>
      <c r="I24" s="48">
        <f t="shared" ca="1" si="16"/>
        <v>700000000</v>
      </c>
      <c r="J24" s="48">
        <f t="shared" ca="1" si="16"/>
        <v>7000000000</v>
      </c>
      <c r="K24" s="48">
        <f t="shared" ca="1" si="16"/>
        <v>70000000000</v>
      </c>
      <c r="L24" s="48">
        <f t="shared" ca="1" si="16"/>
        <v>700000000000</v>
      </c>
      <c r="M24" s="48">
        <f t="shared" ca="1" si="16"/>
        <v>7000000000000</v>
      </c>
      <c r="N24" s="48">
        <f t="shared" ca="1" si="16"/>
        <v>70000000000000</v>
      </c>
      <c r="O24" s="48">
        <f t="shared" ca="1" si="16"/>
        <v>700000000000000</v>
      </c>
      <c r="P24" s="48">
        <f t="shared" ca="1" si="16"/>
        <v>7000000000000000</v>
      </c>
      <c r="Q24" s="48">
        <f t="shared" ca="1" si="16"/>
        <v>7E+16</v>
      </c>
    </row>
    <row r="25" spans="1:17" ht="15.75" x14ac:dyDescent="0.25">
      <c r="A25" s="35">
        <v>7</v>
      </c>
      <c r="B25" s="48">
        <f t="shared" ref="B25:Q25" ca="1" si="17">100*(A25-INDIRECT(ADDRESS(СтрокаY0+ROW()-Строка0_АХ,COLUMN()+Col_АХ-2+interval_АХ*(COLUMN()-2),4,TRUE,"Данные отчета")))/Range_АХ</f>
        <v>70</v>
      </c>
      <c r="C25" s="48">
        <f t="shared" ca="1" si="17"/>
        <v>700</v>
      </c>
      <c r="D25" s="48">
        <f t="shared" ca="1" si="17"/>
        <v>7000</v>
      </c>
      <c r="E25" s="48">
        <f t="shared" ca="1" si="17"/>
        <v>70000</v>
      </c>
      <c r="F25" s="48">
        <f t="shared" ca="1" si="17"/>
        <v>700000</v>
      </c>
      <c r="G25" s="48">
        <f t="shared" ca="1" si="17"/>
        <v>7000000</v>
      </c>
      <c r="H25" s="48">
        <f t="shared" ca="1" si="17"/>
        <v>70000000</v>
      </c>
      <c r="I25" s="48">
        <f t="shared" ca="1" si="17"/>
        <v>700000000</v>
      </c>
      <c r="J25" s="48">
        <f t="shared" ca="1" si="17"/>
        <v>7000000000</v>
      </c>
      <c r="K25" s="48">
        <f t="shared" ca="1" si="17"/>
        <v>70000000000</v>
      </c>
      <c r="L25" s="48">
        <f t="shared" ca="1" si="17"/>
        <v>700000000000</v>
      </c>
      <c r="M25" s="48">
        <f t="shared" ca="1" si="17"/>
        <v>7000000000000</v>
      </c>
      <c r="N25" s="48">
        <f t="shared" ca="1" si="17"/>
        <v>70000000000000</v>
      </c>
      <c r="O25" s="48">
        <f t="shared" ca="1" si="17"/>
        <v>700000000000000</v>
      </c>
      <c r="P25" s="48">
        <f t="shared" ca="1" si="17"/>
        <v>7000000000000000</v>
      </c>
      <c r="Q25" s="48">
        <f t="shared" ca="1" si="17"/>
        <v>7E+16</v>
      </c>
    </row>
    <row r="26" spans="1:17" ht="15.75" x14ac:dyDescent="0.25">
      <c r="A26" s="35">
        <v>7</v>
      </c>
      <c r="B26" s="48">
        <f t="shared" ref="B26:Q26" ca="1" si="18">100*(A26-INDIRECT(ADDRESS(СтрокаY0+ROW()-Строка0_АХ,COLUMN()+Col_АХ-2+interval_АХ*(COLUMN()-2),4,TRUE,"Данные отчета")))/Range_АХ</f>
        <v>70</v>
      </c>
      <c r="C26" s="48">
        <f t="shared" ca="1" si="18"/>
        <v>700</v>
      </c>
      <c r="D26" s="48">
        <f t="shared" ca="1" si="18"/>
        <v>7000</v>
      </c>
      <c r="E26" s="48">
        <f t="shared" ca="1" si="18"/>
        <v>70000</v>
      </c>
      <c r="F26" s="48">
        <f t="shared" ca="1" si="18"/>
        <v>700000</v>
      </c>
      <c r="G26" s="48">
        <f t="shared" ca="1" si="18"/>
        <v>7000000</v>
      </c>
      <c r="H26" s="48">
        <f t="shared" ca="1" si="18"/>
        <v>70000000</v>
      </c>
      <c r="I26" s="48">
        <f t="shared" ca="1" si="18"/>
        <v>700000000</v>
      </c>
      <c r="J26" s="48">
        <f t="shared" ca="1" si="18"/>
        <v>7000000000</v>
      </c>
      <c r="K26" s="48">
        <f t="shared" ca="1" si="18"/>
        <v>70000000000</v>
      </c>
      <c r="L26" s="48">
        <f t="shared" ca="1" si="18"/>
        <v>700000000000</v>
      </c>
      <c r="M26" s="48">
        <f t="shared" ca="1" si="18"/>
        <v>7000000000000</v>
      </c>
      <c r="N26" s="48">
        <f t="shared" ca="1" si="18"/>
        <v>70000000000000</v>
      </c>
      <c r="O26" s="48">
        <f t="shared" ca="1" si="18"/>
        <v>700000000000000</v>
      </c>
      <c r="P26" s="48">
        <f t="shared" ca="1" si="18"/>
        <v>7000000000000000</v>
      </c>
      <c r="Q26" s="48">
        <f t="shared" ca="1" si="18"/>
        <v>7E+16</v>
      </c>
    </row>
    <row r="27" spans="1:17" ht="15.75" x14ac:dyDescent="0.25">
      <c r="A27" s="35">
        <v>7</v>
      </c>
      <c r="B27" s="48">
        <f t="shared" ref="B27:Q27" ca="1" si="19">100*(A27-INDIRECT(ADDRESS(СтрокаY0+ROW()-Строка0_АХ,COLUMN()+Col_АХ-2+interval_АХ*(COLUMN()-2),4,TRUE,"Данные отчета")))/Range_АХ</f>
        <v>70</v>
      </c>
      <c r="C27" s="48">
        <f t="shared" ca="1" si="19"/>
        <v>700</v>
      </c>
      <c r="D27" s="48">
        <f t="shared" ca="1" si="19"/>
        <v>7000</v>
      </c>
      <c r="E27" s="48">
        <f t="shared" ca="1" si="19"/>
        <v>70000</v>
      </c>
      <c r="F27" s="48">
        <f t="shared" ca="1" si="19"/>
        <v>700000</v>
      </c>
      <c r="G27" s="48">
        <f t="shared" ca="1" si="19"/>
        <v>7000000</v>
      </c>
      <c r="H27" s="48">
        <f t="shared" ca="1" si="19"/>
        <v>70000000</v>
      </c>
      <c r="I27" s="48">
        <f t="shared" ca="1" si="19"/>
        <v>700000000</v>
      </c>
      <c r="J27" s="48">
        <f t="shared" ca="1" si="19"/>
        <v>7000000000</v>
      </c>
      <c r="K27" s="48">
        <f t="shared" ca="1" si="19"/>
        <v>70000000000</v>
      </c>
      <c r="L27" s="48">
        <f t="shared" ca="1" si="19"/>
        <v>700000000000</v>
      </c>
      <c r="M27" s="48">
        <f t="shared" ca="1" si="19"/>
        <v>7000000000000</v>
      </c>
      <c r="N27" s="48">
        <f t="shared" ca="1" si="19"/>
        <v>70000000000000</v>
      </c>
      <c r="O27" s="48">
        <f t="shared" ca="1" si="19"/>
        <v>700000000000000</v>
      </c>
      <c r="P27" s="48">
        <f t="shared" ca="1" si="19"/>
        <v>7000000000000000</v>
      </c>
      <c r="Q27" s="48">
        <f t="shared" ca="1" si="19"/>
        <v>7E+16</v>
      </c>
    </row>
    <row r="28" spans="1:17" ht="15.75" x14ac:dyDescent="0.25">
      <c r="A28" s="49" t="s">
        <v>41</v>
      </c>
      <c r="B28" s="50">
        <f t="shared" ref="B28:Q28" ca="1" si="20">MAXA(B$10:B$27)</f>
        <v>70</v>
      </c>
      <c r="C28" s="50">
        <f t="shared" ca="1" si="20"/>
        <v>700</v>
      </c>
      <c r="D28" s="50">
        <f t="shared" ca="1" si="20"/>
        <v>7000</v>
      </c>
      <c r="E28" s="50">
        <f t="shared" ca="1" si="20"/>
        <v>70000</v>
      </c>
      <c r="F28" s="50">
        <f t="shared" ca="1" si="20"/>
        <v>700000</v>
      </c>
      <c r="G28" s="50">
        <f t="shared" ca="1" si="20"/>
        <v>7000000</v>
      </c>
      <c r="H28" s="50">
        <f t="shared" ca="1" si="20"/>
        <v>70000000</v>
      </c>
      <c r="I28" s="50">
        <f t="shared" ca="1" si="20"/>
        <v>700000000</v>
      </c>
      <c r="J28" s="50">
        <f t="shared" ca="1" si="20"/>
        <v>7000000000</v>
      </c>
      <c r="K28" s="50">
        <f t="shared" ca="1" si="20"/>
        <v>70000000000</v>
      </c>
      <c r="L28" s="50">
        <f t="shared" ca="1" si="20"/>
        <v>700000000000</v>
      </c>
      <c r="M28" s="50">
        <f t="shared" ca="1" si="20"/>
        <v>7000000000000</v>
      </c>
      <c r="N28" s="50">
        <f t="shared" ca="1" si="20"/>
        <v>70000000000000</v>
      </c>
      <c r="O28" s="50">
        <f t="shared" ca="1" si="20"/>
        <v>700000000000000</v>
      </c>
      <c r="P28" s="50">
        <f t="shared" ca="1" si="20"/>
        <v>7000000000000000</v>
      </c>
      <c r="Q28" s="50">
        <f t="shared" ca="1" si="20"/>
        <v>7E+16</v>
      </c>
    </row>
    <row r="29" spans="1:17" ht="15.75" x14ac:dyDescent="0.25">
      <c r="A29" s="49" t="s">
        <v>46</v>
      </c>
      <c r="B29" s="51">
        <f ca="1">MAX((B28:Q28))</f>
        <v>7E+16</v>
      </c>
      <c r="C29" s="49" t="s">
        <v>47</v>
      </c>
      <c r="D29" s="51">
        <f ca="1">MIN((B28:Q28))</f>
        <v>70</v>
      </c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</row>
    <row r="30" spans="1:17" x14ac:dyDescent="0.25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</row>
    <row r="31" spans="1:17" x14ac:dyDescent="0.25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</row>
    <row r="32" spans="1:17" ht="18.75" x14ac:dyDescent="0.3">
      <c r="A32" s="33" t="s">
        <v>56</v>
      </c>
      <c r="B32" s="34"/>
      <c r="C32" s="34"/>
      <c r="D32" s="34"/>
      <c r="E32" s="34"/>
      <c r="F32" s="34"/>
      <c r="G32" s="34"/>
      <c r="H32" s="34"/>
      <c r="I32" s="34"/>
      <c r="J32" s="35"/>
      <c r="K32" s="35"/>
      <c r="L32" s="35"/>
      <c r="M32" s="35"/>
      <c r="N32" s="35"/>
      <c r="O32" s="35"/>
      <c r="P32" s="35"/>
      <c r="Q32" s="35"/>
    </row>
  </sheetData>
  <mergeCells count="1">
    <mergeCell ref="B9:Q9"/>
  </mergeCells>
  <conditionalFormatting sqref="B10:Q27">
    <cfRule type="cellIs" dxfId="0" priority="1" operator="greaterThan">
      <formula>$D$6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29</vt:i4>
      </vt:variant>
    </vt:vector>
  </HeadingPairs>
  <TitlesOfParts>
    <vt:vector size="34" baseType="lpstr">
      <vt:lpstr>Данные отчета</vt:lpstr>
      <vt:lpstr>Линейность</vt:lpstr>
      <vt:lpstr>Погрешность</vt:lpstr>
      <vt:lpstr>АЧХ</vt:lpstr>
      <vt:lpstr>АХ</vt:lpstr>
      <vt:lpstr>BaseRow_АЧХ</vt:lpstr>
      <vt:lpstr>Col_interval</vt:lpstr>
      <vt:lpstr>Col_АХ</vt:lpstr>
      <vt:lpstr>ColInterval_2</vt:lpstr>
      <vt:lpstr>ColMax</vt:lpstr>
      <vt:lpstr>ColMin</vt:lpstr>
      <vt:lpstr>ColMin_АЧХ</vt:lpstr>
      <vt:lpstr>interval_АХ</vt:lpstr>
      <vt:lpstr>Interval_АЧХ</vt:lpstr>
      <vt:lpstr>Noise_ColM</vt:lpstr>
      <vt:lpstr>Noise_RepType</vt:lpstr>
      <vt:lpstr>range</vt:lpstr>
      <vt:lpstr>range_2</vt:lpstr>
      <vt:lpstr>Range_АХ</vt:lpstr>
      <vt:lpstr>X1Link</vt:lpstr>
      <vt:lpstr>X2Link</vt:lpstr>
      <vt:lpstr>Y0_АХ</vt:lpstr>
      <vt:lpstr>Y0_АЧХ</vt:lpstr>
      <vt:lpstr>Ybase_АЧХ</vt:lpstr>
      <vt:lpstr>YbaseLink_АЧХ</vt:lpstr>
      <vt:lpstr>Ст_интервал</vt:lpstr>
      <vt:lpstr>Строка0</vt:lpstr>
      <vt:lpstr>Строка0_2</vt:lpstr>
      <vt:lpstr>Строка0_АХ</vt:lpstr>
      <vt:lpstr>Строка0_АЧХ</vt:lpstr>
      <vt:lpstr>Строка1</vt:lpstr>
      <vt:lpstr>Строка2</vt:lpstr>
      <vt:lpstr>СтрокаY0</vt:lpstr>
      <vt:lpstr>СтрокаY0_2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Skripnik</dc:creator>
  <cp:lastModifiedBy>User</cp:lastModifiedBy>
  <dcterms:created xsi:type="dcterms:W3CDTF">2015-11-03T14:51:23Z</dcterms:created>
  <dcterms:modified xsi:type="dcterms:W3CDTF">2017-01-31T15:11:47Z</dcterms:modified>
</cp:coreProperties>
</file>