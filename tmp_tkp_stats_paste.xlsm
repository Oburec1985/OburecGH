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externalLinks/externalLink198.xml" ContentType="application/vnd.openxmlformats-officedocument.spreadsheetml.externalLink+xml"/>
  <Override PartName="/xl/externalLinks/externalLink199.xml" ContentType="application/vnd.openxmlformats-officedocument.spreadsheetml.externalLink+xml"/>
  <Override PartName="/xl/externalLinks/externalLink200.xml" ContentType="application/vnd.openxmlformats-officedocument.spreadsheetml.externalLink+xml"/>
  <Override PartName="/xl/externalLinks/externalLink201.xml" ContentType="application/vnd.openxmlformats-officedocument.spreadsheetml.externalLink+xml"/>
  <Override PartName="/xl/externalLinks/externalLink202.xml" ContentType="application/vnd.openxmlformats-officedocument.spreadsheetml.externalLink+xml"/>
  <Override PartName="/xl/externalLinks/externalLink203.xml" ContentType="application/vnd.openxmlformats-officedocument.spreadsheetml.externalLink+xml"/>
  <Override PartName="/xl/externalLinks/externalLink204.xml" ContentType="application/vnd.openxmlformats-officedocument.spreadsheetml.externalLink+xml"/>
  <Override PartName="/xl/externalLinks/externalLink205.xml" ContentType="application/vnd.openxmlformats-officedocument.spreadsheetml.externalLink+xml"/>
  <Override PartName="/xl/externalLinks/externalLink206.xml" ContentType="application/vnd.openxmlformats-officedocument.spreadsheetml.externalLink+xml"/>
  <Override PartName="/xl/externalLinks/externalLink207.xml" ContentType="application/vnd.openxmlformats-officedocument.spreadsheetml.externalLink+xml"/>
  <Override PartName="/xl/externalLinks/externalLink208.xml" ContentType="application/vnd.openxmlformats-officedocument.spreadsheetml.externalLink+xml"/>
  <Override PartName="/xl/externalLinks/externalLink209.xml" ContentType="application/vnd.openxmlformats-officedocument.spreadsheetml.externalLink+xml"/>
  <Override PartName="/xl/externalLinks/externalLink210.xml" ContentType="application/vnd.openxmlformats-officedocument.spreadsheetml.externalLink+xml"/>
  <Override PartName="/xl/externalLinks/externalLink211.xml" ContentType="application/vnd.openxmlformats-officedocument.spreadsheetml.externalLink+xml"/>
  <Override PartName="/xl/externalLinks/externalLink212.xml" ContentType="application/vnd.openxmlformats-officedocument.spreadsheetml.externalLink+xml"/>
  <Override PartName="/xl/externalLinks/externalLink213.xml" ContentType="application/vnd.openxmlformats-officedocument.spreadsheetml.externalLink+xml"/>
  <Override PartName="/xl/externalLinks/externalLink214.xml" ContentType="application/vnd.openxmlformats-officedocument.spreadsheetml.externalLink+xml"/>
  <Override PartName="/xl/externalLinks/externalLink215.xml" ContentType="application/vnd.openxmlformats-officedocument.spreadsheetml.externalLink+xml"/>
  <Override PartName="/xl/externalLinks/externalLink216.xml" ContentType="application/vnd.openxmlformats-officedocument.spreadsheetml.externalLink+xml"/>
  <Override PartName="/xl/externalLinks/externalLink217.xml" ContentType="application/vnd.openxmlformats-officedocument.spreadsheetml.externalLink+xml"/>
  <Override PartName="/xl/externalLinks/externalLink218.xml" ContentType="application/vnd.openxmlformats-officedocument.spreadsheetml.externalLink+xml"/>
  <Override PartName="/xl/externalLinks/externalLink219.xml" ContentType="application/vnd.openxmlformats-officedocument.spreadsheetml.externalLink+xml"/>
  <Override PartName="/xl/externalLinks/externalLink220.xml" ContentType="application/vnd.openxmlformats-officedocument.spreadsheetml.externalLink+xml"/>
  <Override PartName="/xl/externalLinks/externalLink221.xml" ContentType="application/vnd.openxmlformats-officedocument.spreadsheetml.externalLink+xml"/>
  <Override PartName="/xl/externalLinks/externalLink222.xml" ContentType="application/vnd.openxmlformats-officedocument.spreadsheetml.externalLink+xml"/>
  <Override PartName="/xl/externalLinks/externalLink223.xml" ContentType="application/vnd.openxmlformats-officedocument.spreadsheetml.externalLink+xml"/>
  <Override PartName="/xl/externalLinks/externalLink224.xml" ContentType="application/vnd.openxmlformats-officedocument.spreadsheetml.externalLink+xml"/>
  <Override PartName="/xl/externalLinks/externalLink225.xml" ContentType="application/vnd.openxmlformats-officedocument.spreadsheetml.externalLink+xml"/>
  <Override PartName="/xl/externalLinks/externalLink226.xml" ContentType="application/vnd.openxmlformats-officedocument.spreadsheetml.externalLink+xml"/>
  <Override PartName="/xl/externalLinks/externalLink227.xml" ContentType="application/vnd.openxmlformats-officedocument.spreadsheetml.externalLink+xml"/>
  <Override PartName="/xl/externalLinks/externalLink228.xml" ContentType="application/vnd.openxmlformats-officedocument.spreadsheetml.externalLink+xml"/>
  <Override PartName="/xl/externalLinks/externalLink229.xml" ContentType="application/vnd.openxmlformats-officedocument.spreadsheetml.externalLink+xml"/>
  <Override PartName="/xl/externalLinks/externalLink230.xml" ContentType="application/vnd.openxmlformats-officedocument.spreadsheetml.externalLink+xml"/>
  <Override PartName="/xl/externalLinks/externalLink231.xml" ContentType="application/vnd.openxmlformats-officedocument.spreadsheetml.externalLink+xml"/>
  <Override PartName="/xl/externalLinks/externalLink232.xml" ContentType="application/vnd.openxmlformats-officedocument.spreadsheetml.externalLink+xml"/>
  <Override PartName="/xl/externalLinks/externalLink233.xml" ContentType="application/vnd.openxmlformats-officedocument.spreadsheetml.externalLink+xml"/>
  <Override PartName="/xl/externalLinks/externalLink234.xml" ContentType="application/vnd.openxmlformats-officedocument.spreadsheetml.externalLink+xml"/>
  <Override PartName="/xl/externalLinks/externalLink235.xml" ContentType="application/vnd.openxmlformats-officedocument.spreadsheetml.externalLink+xml"/>
  <Override PartName="/xl/externalLinks/externalLink236.xml" ContentType="application/vnd.openxmlformats-officedocument.spreadsheetml.externalLink+xml"/>
  <Override PartName="/xl/externalLinks/externalLink237.xml" ContentType="application/vnd.openxmlformats-officedocument.spreadsheetml.externalLink+xml"/>
  <Override PartName="/xl/externalLinks/externalLink238.xml" ContentType="application/vnd.openxmlformats-officedocument.spreadsheetml.externalLink+xml"/>
  <Override PartName="/xl/externalLinks/externalLink239.xml" ContentType="application/vnd.openxmlformats-officedocument.spreadsheetml.externalLink+xml"/>
  <Override PartName="/xl/externalLinks/externalLink240.xml" ContentType="application/vnd.openxmlformats-officedocument.spreadsheetml.externalLink+xml"/>
  <Override PartName="/xl/externalLinks/externalLink241.xml" ContentType="application/vnd.openxmlformats-officedocument.spreadsheetml.externalLink+xml"/>
  <Override PartName="/xl/externalLinks/externalLink242.xml" ContentType="application/vnd.openxmlformats-officedocument.spreadsheetml.externalLink+xml"/>
  <Override PartName="/xl/externalLinks/externalLink243.xml" ContentType="application/vnd.openxmlformats-officedocument.spreadsheetml.externalLink+xml"/>
  <Override PartName="/xl/externalLinks/externalLink244.xml" ContentType="application/vnd.openxmlformats-officedocument.spreadsheetml.externalLink+xml"/>
  <Override PartName="/xl/externalLinks/externalLink245.xml" ContentType="application/vnd.openxmlformats-officedocument.spreadsheetml.externalLink+xml"/>
  <Override PartName="/xl/externalLinks/externalLink246.xml" ContentType="application/vnd.openxmlformats-officedocument.spreadsheetml.externalLink+xml"/>
  <Override PartName="/xl/externalLinks/externalLink247.xml" ContentType="application/vnd.openxmlformats-officedocument.spreadsheetml.externalLink+xml"/>
  <Override PartName="/xl/externalLinks/externalLink248.xml" ContentType="application/vnd.openxmlformats-officedocument.spreadsheetml.externalLink+xml"/>
  <Override PartName="/xl/externalLinks/externalLink249.xml" ContentType="application/vnd.openxmlformats-officedocument.spreadsheetml.externalLink+xml"/>
  <Override PartName="/xl/externalLinks/externalLink250.xml" ContentType="application/vnd.openxmlformats-officedocument.spreadsheetml.externalLink+xml"/>
  <Override PartName="/xl/externalLinks/externalLink251.xml" ContentType="application/vnd.openxmlformats-officedocument.spreadsheetml.externalLink+xml"/>
  <Override PartName="/xl/externalLinks/externalLink252.xml" ContentType="application/vnd.openxmlformats-officedocument.spreadsheetml.externalLink+xml"/>
  <Override PartName="/xl/externalLinks/externalLink253.xml" ContentType="application/vnd.openxmlformats-officedocument.spreadsheetml.externalLink+xml"/>
  <Override PartName="/xl/externalLinks/externalLink254.xml" ContentType="application/vnd.openxmlformats-officedocument.spreadsheetml.externalLink+xml"/>
  <Override PartName="/xl/externalLinks/externalLink255.xml" ContentType="application/vnd.openxmlformats-officedocument.spreadsheetml.externalLink+xml"/>
  <Override PartName="/xl/externalLinks/externalLink256.xml" ContentType="application/vnd.openxmlformats-officedocument.spreadsheetml.externalLink+xml"/>
  <Override PartName="/xl/externalLinks/externalLink257.xml" ContentType="application/vnd.openxmlformats-officedocument.spreadsheetml.externalLink+xml"/>
  <Override PartName="/xl/externalLinks/externalLink258.xml" ContentType="application/vnd.openxmlformats-officedocument.spreadsheetml.externalLink+xml"/>
  <Override PartName="/xl/externalLinks/externalLink259.xml" ContentType="application/vnd.openxmlformats-officedocument.spreadsheetml.externalLink+xml"/>
  <Override PartName="/xl/externalLinks/externalLink260.xml" ContentType="application/vnd.openxmlformats-officedocument.spreadsheetml.externalLink+xml"/>
  <Override PartName="/xl/externalLinks/externalLink261.xml" ContentType="application/vnd.openxmlformats-officedocument.spreadsheetml.externalLink+xml"/>
  <Override PartName="/xl/externalLinks/externalLink262.xml" ContentType="application/vnd.openxmlformats-officedocument.spreadsheetml.externalLink+xml"/>
  <Override PartName="/xl/externalLinks/externalLink263.xml" ContentType="application/vnd.openxmlformats-officedocument.spreadsheetml.externalLink+xml"/>
  <Override PartName="/xl/externalLinks/externalLink264.xml" ContentType="application/vnd.openxmlformats-officedocument.spreadsheetml.externalLink+xml"/>
  <Override PartName="/xl/externalLinks/externalLink265.xml" ContentType="application/vnd.openxmlformats-officedocument.spreadsheetml.externalLink+xml"/>
  <Override PartName="/xl/externalLinks/externalLink266.xml" ContentType="application/vnd.openxmlformats-officedocument.spreadsheetml.externalLink+xml"/>
  <Override PartName="/xl/externalLinks/externalLink267.xml" ContentType="application/vnd.openxmlformats-officedocument.spreadsheetml.externalLink+xml"/>
  <Override PartName="/xl/externalLinks/externalLink268.xml" ContentType="application/vnd.openxmlformats-officedocument.spreadsheetml.externalLink+xml"/>
  <Override PartName="/xl/externalLinks/externalLink269.xml" ContentType="application/vnd.openxmlformats-officedocument.spreadsheetml.externalLink+xml"/>
  <Override PartName="/xl/externalLinks/externalLink270.xml" ContentType="application/vnd.openxmlformats-officedocument.spreadsheetml.externalLink+xml"/>
  <Override PartName="/xl/externalLinks/externalLink271.xml" ContentType="application/vnd.openxmlformats-officedocument.spreadsheetml.externalLink+xml"/>
  <Override PartName="/xl/externalLinks/externalLink272.xml" ContentType="application/vnd.openxmlformats-officedocument.spreadsheetml.externalLink+xml"/>
  <Override PartName="/xl/externalLinks/externalLink273.xml" ContentType="application/vnd.openxmlformats-officedocument.spreadsheetml.externalLink+xml"/>
  <Override PartName="/xl/externalLinks/externalLink274.xml" ContentType="application/vnd.openxmlformats-officedocument.spreadsheetml.externalLink+xml"/>
  <Override PartName="/xl/externalLinks/externalLink275.xml" ContentType="application/vnd.openxmlformats-officedocument.spreadsheetml.externalLink+xml"/>
  <Override PartName="/xl/externalLinks/externalLink276.xml" ContentType="application/vnd.openxmlformats-officedocument.spreadsheetml.externalLink+xml"/>
  <Override PartName="/xl/externalLinks/externalLink277.xml" ContentType="application/vnd.openxmlformats-officedocument.spreadsheetml.externalLink+xml"/>
  <Override PartName="/xl/externalLinks/externalLink278.xml" ContentType="application/vnd.openxmlformats-officedocument.spreadsheetml.externalLink+xml"/>
  <Override PartName="/xl/externalLinks/externalLink279.xml" ContentType="application/vnd.openxmlformats-officedocument.spreadsheetml.externalLink+xml"/>
  <Override PartName="/xl/externalLinks/externalLink280.xml" ContentType="application/vnd.openxmlformats-officedocument.spreadsheetml.externalLink+xml"/>
  <Override PartName="/xl/externalLinks/externalLink281.xml" ContentType="application/vnd.openxmlformats-officedocument.spreadsheetml.externalLink+xml"/>
  <Override PartName="/xl/externalLinks/externalLink282.xml" ContentType="application/vnd.openxmlformats-officedocument.spreadsheetml.externalLink+xml"/>
  <Override PartName="/xl/externalLinks/externalLink283.xml" ContentType="application/vnd.openxmlformats-officedocument.spreadsheetml.externalLink+xml"/>
  <Override PartName="/xl/externalLinks/externalLink284.xml" ContentType="application/vnd.openxmlformats-officedocument.spreadsheetml.externalLink+xml"/>
  <Override PartName="/xl/externalLinks/externalLink285.xml" ContentType="application/vnd.openxmlformats-officedocument.spreadsheetml.externalLink+xml"/>
  <Override PartName="/xl/externalLinks/externalLink286.xml" ContentType="application/vnd.openxmlformats-officedocument.spreadsheetml.externalLink+xml"/>
  <Override PartName="/xl/externalLinks/externalLink287.xml" ContentType="application/vnd.openxmlformats-officedocument.spreadsheetml.externalLink+xml"/>
  <Override PartName="/xl/externalLinks/externalLink288.xml" ContentType="application/vnd.openxmlformats-officedocument.spreadsheetml.externalLink+xml"/>
  <Override PartName="/xl/externalLinks/externalLink289.xml" ContentType="application/vnd.openxmlformats-officedocument.spreadsheetml.externalLink+xml"/>
  <Override PartName="/xl/externalLinks/externalLink290.xml" ContentType="application/vnd.openxmlformats-officedocument.spreadsheetml.externalLink+xml"/>
  <Override PartName="/xl/externalLinks/externalLink291.xml" ContentType="application/vnd.openxmlformats-officedocument.spreadsheetml.externalLink+xml"/>
  <Override PartName="/xl/externalLinks/externalLink292.xml" ContentType="application/vnd.openxmlformats-officedocument.spreadsheetml.externalLink+xml"/>
  <Override PartName="/xl/externalLinks/externalLink293.xml" ContentType="application/vnd.openxmlformats-officedocument.spreadsheetml.externalLink+xml"/>
  <Override PartName="/xl/externalLinks/externalLink294.xml" ContentType="application/vnd.openxmlformats-officedocument.spreadsheetml.externalLink+xml"/>
  <Override PartName="/xl/externalLinks/externalLink295.xml" ContentType="application/vnd.openxmlformats-officedocument.spreadsheetml.externalLink+xml"/>
  <Override PartName="/xl/externalLinks/externalLink296.xml" ContentType="application/vnd.openxmlformats-officedocument.spreadsheetml.externalLink+xml"/>
  <Override PartName="/xl/externalLinks/externalLink297.xml" ContentType="application/vnd.openxmlformats-officedocument.spreadsheetml.externalLink+xml"/>
  <Override PartName="/xl/externalLinks/externalLink298.xml" ContentType="application/vnd.openxmlformats-officedocument.spreadsheetml.externalLink+xml"/>
  <Override PartName="/xl/externalLinks/externalLink299.xml" ContentType="application/vnd.openxmlformats-officedocument.spreadsheetml.externalLink+xml"/>
  <Override PartName="/xl/externalLinks/externalLink300.xml" ContentType="application/vnd.openxmlformats-officedocument.spreadsheetml.externalLink+xml"/>
  <Override PartName="/xl/externalLinks/externalLink301.xml" ContentType="application/vnd.openxmlformats-officedocument.spreadsheetml.externalLink+xml"/>
  <Override PartName="/xl/externalLinks/externalLink302.xml" ContentType="application/vnd.openxmlformats-officedocument.spreadsheetml.externalLink+xml"/>
  <Override PartName="/xl/externalLinks/externalLink303.xml" ContentType="application/vnd.openxmlformats-officedocument.spreadsheetml.externalLink+xml"/>
  <Override PartName="/xl/externalLinks/externalLink304.xml" ContentType="application/vnd.openxmlformats-officedocument.spreadsheetml.externalLink+xml"/>
  <Override PartName="/xl/externalLinks/externalLink305.xml" ContentType="application/vnd.openxmlformats-officedocument.spreadsheetml.externalLink+xml"/>
  <Override PartName="/xl/externalLinks/externalLink306.xml" ContentType="application/vnd.openxmlformats-officedocument.spreadsheetml.externalLink+xml"/>
  <Override PartName="/xl/externalLinks/externalLink307.xml" ContentType="application/vnd.openxmlformats-officedocument.spreadsheetml.externalLink+xml"/>
  <Override PartName="/xl/externalLinks/externalLink308.xml" ContentType="application/vnd.openxmlformats-officedocument.spreadsheetml.externalLink+xml"/>
  <Override PartName="/xl/externalLinks/externalLink309.xml" ContentType="application/vnd.openxmlformats-officedocument.spreadsheetml.externalLink+xml"/>
  <Override PartName="/xl/externalLinks/externalLink310.xml" ContentType="application/vnd.openxmlformats-officedocument.spreadsheetml.externalLink+xml"/>
  <Override PartName="/xl/externalLinks/externalLink311.xml" ContentType="application/vnd.openxmlformats-officedocument.spreadsheetml.externalLink+xml"/>
  <Override PartName="/xl/externalLinks/externalLink312.xml" ContentType="application/vnd.openxmlformats-officedocument.spreadsheetml.externalLink+xml"/>
  <Override PartName="/xl/externalLinks/externalLink313.xml" ContentType="application/vnd.openxmlformats-officedocument.spreadsheetml.externalLink+xml"/>
  <Override PartName="/xl/externalLinks/externalLink314.xml" ContentType="application/vnd.openxmlformats-officedocument.spreadsheetml.externalLink+xml"/>
  <Override PartName="/xl/externalLinks/externalLink315.xml" ContentType="application/vnd.openxmlformats-officedocument.spreadsheetml.externalLink+xml"/>
  <Override PartName="/xl/externalLinks/externalLink316.xml" ContentType="application/vnd.openxmlformats-officedocument.spreadsheetml.externalLink+xml"/>
  <Override PartName="/xl/externalLinks/externalLink317.xml" ContentType="application/vnd.openxmlformats-officedocument.spreadsheetml.externalLink+xml"/>
  <Override PartName="/xl/externalLinks/externalLink318.xml" ContentType="application/vnd.openxmlformats-officedocument.spreadsheetml.externalLink+xml"/>
  <Override PartName="/xl/externalLinks/externalLink319.xml" ContentType="application/vnd.openxmlformats-officedocument.spreadsheetml.externalLink+xml"/>
  <Override PartName="/xl/externalLinks/externalLink320.xml" ContentType="application/vnd.openxmlformats-officedocument.spreadsheetml.externalLink+xml"/>
  <Override PartName="/xl/externalLinks/externalLink321.xml" ContentType="application/vnd.openxmlformats-officedocument.spreadsheetml.externalLink+xml"/>
  <Override PartName="/xl/externalLinks/externalLink322.xml" ContentType="application/vnd.openxmlformats-officedocument.spreadsheetml.externalLink+xml"/>
  <Override PartName="/xl/externalLinks/externalLink323.xml" ContentType="application/vnd.openxmlformats-officedocument.spreadsheetml.externalLink+xml"/>
  <Override PartName="/xl/externalLinks/externalLink324.xml" ContentType="application/vnd.openxmlformats-officedocument.spreadsheetml.externalLink+xml"/>
  <Override PartName="/xl/externalLinks/externalLink325.xml" ContentType="application/vnd.openxmlformats-officedocument.spreadsheetml.externalLink+xml"/>
  <Override PartName="/xl/externalLinks/externalLink326.xml" ContentType="application/vnd.openxmlformats-officedocument.spreadsheetml.externalLink+xml"/>
  <Override PartName="/xl/externalLinks/externalLink327.xml" ContentType="application/vnd.openxmlformats-officedocument.spreadsheetml.externalLink+xml"/>
  <Override PartName="/xl/externalLinks/externalLink328.xml" ContentType="application/vnd.openxmlformats-officedocument.spreadsheetml.externalLink+xml"/>
  <Override PartName="/xl/externalLinks/externalLink329.xml" ContentType="application/vnd.openxmlformats-officedocument.spreadsheetml.externalLink+xml"/>
  <Override PartName="/xl/externalLinks/externalLink330.xml" ContentType="application/vnd.openxmlformats-officedocument.spreadsheetml.externalLink+xml"/>
  <Override PartName="/xl/externalLinks/externalLink331.xml" ContentType="application/vnd.openxmlformats-officedocument.spreadsheetml.externalLink+xml"/>
  <Override PartName="/xl/externalLinks/externalLink332.xml" ContentType="application/vnd.openxmlformats-officedocument.spreadsheetml.externalLink+xml"/>
  <Override PartName="/xl/externalLinks/externalLink333.xml" ContentType="application/vnd.openxmlformats-officedocument.spreadsheetml.externalLink+xml"/>
  <Override PartName="/xl/externalLinks/externalLink334.xml" ContentType="application/vnd.openxmlformats-officedocument.spreadsheetml.externalLink+xml"/>
  <Override PartName="/xl/externalLinks/externalLink335.xml" ContentType="application/vnd.openxmlformats-officedocument.spreadsheetml.externalLink+xml"/>
  <Override PartName="/xl/externalLinks/externalLink336.xml" ContentType="application/vnd.openxmlformats-officedocument.spreadsheetml.externalLink+xml"/>
  <Override PartName="/xl/externalLinks/externalLink337.xml" ContentType="application/vnd.openxmlformats-officedocument.spreadsheetml.externalLink+xml"/>
  <Override PartName="/xl/externalLinks/externalLink338.xml" ContentType="application/vnd.openxmlformats-officedocument.spreadsheetml.externalLink+xml"/>
  <Override PartName="/xl/externalLinks/externalLink339.xml" ContentType="application/vnd.openxmlformats-officedocument.spreadsheetml.externalLink+xml"/>
  <Override PartName="/xl/externalLinks/externalLink340.xml" ContentType="application/vnd.openxmlformats-officedocument.spreadsheetml.externalLink+xml"/>
  <Override PartName="/xl/externalLinks/externalLink341.xml" ContentType="application/vnd.openxmlformats-officedocument.spreadsheetml.externalLink+xml"/>
  <Override PartName="/xl/externalLinks/externalLink342.xml" ContentType="application/vnd.openxmlformats-officedocument.spreadsheetml.externalLink+xml"/>
  <Override PartName="/xl/externalLinks/externalLink343.xml" ContentType="application/vnd.openxmlformats-officedocument.spreadsheetml.externalLink+xml"/>
  <Override PartName="/xl/externalLinks/externalLink344.xml" ContentType="application/vnd.openxmlformats-officedocument.spreadsheetml.externalLink+xml"/>
  <Override PartName="/xl/externalLinks/externalLink345.xml" ContentType="application/vnd.openxmlformats-officedocument.spreadsheetml.externalLink+xml"/>
  <Override PartName="/xl/externalLinks/externalLink346.xml" ContentType="application/vnd.openxmlformats-officedocument.spreadsheetml.externalLink+xml"/>
  <Override PartName="/xl/externalLinks/externalLink347.xml" ContentType="application/vnd.openxmlformats-officedocument.spreadsheetml.externalLink+xml"/>
  <Override PartName="/xl/externalLinks/externalLink348.xml" ContentType="application/vnd.openxmlformats-officedocument.spreadsheetml.externalLink+xml"/>
  <Override PartName="/xl/externalLinks/externalLink349.xml" ContentType="application/vnd.openxmlformats-officedocument.spreadsheetml.externalLink+xml"/>
  <Override PartName="/xl/externalLinks/externalLink350.xml" ContentType="application/vnd.openxmlformats-officedocument.spreadsheetml.externalLink+xml"/>
  <Override PartName="/xl/externalLinks/externalLink351.xml" ContentType="application/vnd.openxmlformats-officedocument.spreadsheetml.externalLink+xml"/>
  <Override PartName="/xl/externalLinks/externalLink352.xml" ContentType="application/vnd.openxmlformats-officedocument.spreadsheetml.externalLink+xml"/>
  <Override PartName="/xl/externalLinks/externalLink353.xml" ContentType="application/vnd.openxmlformats-officedocument.spreadsheetml.externalLink+xml"/>
  <Override PartName="/xl/externalLinks/externalLink354.xml" ContentType="application/vnd.openxmlformats-officedocument.spreadsheetml.externalLink+xml"/>
  <Override PartName="/xl/externalLinks/externalLink355.xml" ContentType="application/vnd.openxmlformats-officedocument.spreadsheetml.externalLink+xml"/>
  <Override PartName="/xl/externalLinks/externalLink356.xml" ContentType="application/vnd.openxmlformats-officedocument.spreadsheetml.externalLink+xml"/>
  <Override PartName="/xl/externalLinks/externalLink357.xml" ContentType="application/vnd.openxmlformats-officedocument.spreadsheetml.externalLink+xml"/>
  <Override PartName="/xl/externalLinks/externalLink358.xml" ContentType="application/vnd.openxmlformats-officedocument.spreadsheetml.externalLink+xml"/>
  <Override PartName="/xl/externalLinks/externalLink359.xml" ContentType="application/vnd.openxmlformats-officedocument.spreadsheetml.externalLink+xml"/>
  <Override PartName="/xl/externalLinks/externalLink360.xml" ContentType="application/vnd.openxmlformats-officedocument.spreadsheetml.externalLink+xml"/>
  <Override PartName="/xl/externalLinks/externalLink361.xml" ContentType="application/vnd.openxmlformats-officedocument.spreadsheetml.externalLink+xml"/>
  <Override PartName="/xl/externalLinks/externalLink36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fileSharing readOnlyRecommended="1"/>
  <workbookPr codeName="ЭтаКнига" hidePivotFieldList="1"/>
  <mc:AlternateContent xmlns:mc="http://schemas.openxmlformats.org/markup-compatibility/2006">
    <mc:Choice Requires="x15">
      <x15ac:absPath xmlns:x15ac="http://schemas.microsoft.com/office/spreadsheetml/2010/11/ac" url="\\FSERV\e\MERA\WORKS\ДСИ\РСС\ТКП\"/>
    </mc:Choice>
  </mc:AlternateContent>
  <bookViews>
    <workbookView xWindow="-120" yWindow="-120" windowWidth="29040" windowHeight="15840"/>
  </bookViews>
  <sheets>
    <sheet name="Лист1" sheetId="3" r:id="rId1"/>
    <sheet name="old" sheetId="6" r:id="rId2"/>
    <sheet name="Правила" sheetId="4" r:id="rId3"/>
  </sheets>
  <functionGroups builtInGroupCount="18"/>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 r:id="rId214"/>
    <externalReference r:id="rId215"/>
    <externalReference r:id="rId216"/>
    <externalReference r:id="rId217"/>
    <externalReference r:id="rId218"/>
    <externalReference r:id="rId219"/>
    <externalReference r:id="rId220"/>
    <externalReference r:id="rId221"/>
    <externalReference r:id="rId222"/>
    <externalReference r:id="rId223"/>
    <externalReference r:id="rId224"/>
    <externalReference r:id="rId225"/>
    <externalReference r:id="rId226"/>
    <externalReference r:id="rId227"/>
    <externalReference r:id="rId228"/>
    <externalReference r:id="rId229"/>
    <externalReference r:id="rId230"/>
    <externalReference r:id="rId231"/>
    <externalReference r:id="rId232"/>
    <externalReference r:id="rId233"/>
    <externalReference r:id="rId234"/>
    <externalReference r:id="rId235"/>
    <externalReference r:id="rId236"/>
    <externalReference r:id="rId237"/>
    <externalReference r:id="rId238"/>
    <externalReference r:id="rId239"/>
    <externalReference r:id="rId240"/>
    <externalReference r:id="rId241"/>
    <externalReference r:id="rId242"/>
    <externalReference r:id="rId243"/>
    <externalReference r:id="rId244"/>
    <externalReference r:id="rId245"/>
    <externalReference r:id="rId246"/>
    <externalReference r:id="rId247"/>
    <externalReference r:id="rId248"/>
    <externalReference r:id="rId249"/>
    <externalReference r:id="rId250"/>
    <externalReference r:id="rId251"/>
    <externalReference r:id="rId252"/>
    <externalReference r:id="rId253"/>
    <externalReference r:id="rId254"/>
    <externalReference r:id="rId255"/>
    <externalReference r:id="rId256"/>
    <externalReference r:id="rId257"/>
    <externalReference r:id="rId258"/>
    <externalReference r:id="rId259"/>
    <externalReference r:id="rId260"/>
    <externalReference r:id="rId261"/>
    <externalReference r:id="rId262"/>
    <externalReference r:id="rId263"/>
    <externalReference r:id="rId264"/>
    <externalReference r:id="rId265"/>
    <externalReference r:id="rId266"/>
    <externalReference r:id="rId267"/>
    <externalReference r:id="rId268"/>
    <externalReference r:id="rId269"/>
    <externalReference r:id="rId270"/>
    <externalReference r:id="rId271"/>
    <externalReference r:id="rId272"/>
    <externalReference r:id="rId273"/>
    <externalReference r:id="rId274"/>
    <externalReference r:id="rId275"/>
    <externalReference r:id="rId276"/>
    <externalReference r:id="rId277"/>
    <externalReference r:id="rId278"/>
    <externalReference r:id="rId279"/>
    <externalReference r:id="rId280"/>
    <externalReference r:id="rId281"/>
    <externalReference r:id="rId282"/>
    <externalReference r:id="rId283"/>
    <externalReference r:id="rId284"/>
    <externalReference r:id="rId285"/>
    <externalReference r:id="rId286"/>
    <externalReference r:id="rId287"/>
    <externalReference r:id="rId288"/>
    <externalReference r:id="rId289"/>
    <externalReference r:id="rId290"/>
    <externalReference r:id="rId291"/>
    <externalReference r:id="rId292"/>
    <externalReference r:id="rId293"/>
    <externalReference r:id="rId294"/>
    <externalReference r:id="rId295"/>
    <externalReference r:id="rId296"/>
    <externalReference r:id="rId297"/>
    <externalReference r:id="rId298"/>
    <externalReference r:id="rId299"/>
    <externalReference r:id="rId300"/>
    <externalReference r:id="rId301"/>
    <externalReference r:id="rId302"/>
    <externalReference r:id="rId303"/>
    <externalReference r:id="rId304"/>
    <externalReference r:id="rId305"/>
    <externalReference r:id="rId306"/>
    <externalReference r:id="rId307"/>
    <externalReference r:id="rId308"/>
    <externalReference r:id="rId309"/>
    <externalReference r:id="rId310"/>
    <externalReference r:id="rId311"/>
    <externalReference r:id="rId312"/>
    <externalReference r:id="rId313"/>
    <externalReference r:id="rId314"/>
    <externalReference r:id="rId315"/>
    <externalReference r:id="rId316"/>
    <externalReference r:id="rId317"/>
    <externalReference r:id="rId318"/>
    <externalReference r:id="rId319"/>
    <externalReference r:id="rId320"/>
    <externalReference r:id="rId321"/>
    <externalReference r:id="rId322"/>
    <externalReference r:id="rId323"/>
    <externalReference r:id="rId324"/>
    <externalReference r:id="rId325"/>
    <externalReference r:id="rId326"/>
    <externalReference r:id="rId327"/>
    <externalReference r:id="rId328"/>
    <externalReference r:id="rId329"/>
    <externalReference r:id="rId330"/>
    <externalReference r:id="rId331"/>
    <externalReference r:id="rId332"/>
    <externalReference r:id="rId333"/>
    <externalReference r:id="rId334"/>
    <externalReference r:id="rId335"/>
    <externalReference r:id="rId336"/>
    <externalReference r:id="rId337"/>
    <externalReference r:id="rId338"/>
    <externalReference r:id="rId339"/>
    <externalReference r:id="rId340"/>
    <externalReference r:id="rId341"/>
    <externalReference r:id="rId342"/>
    <externalReference r:id="rId343"/>
    <externalReference r:id="rId344"/>
    <externalReference r:id="rId345"/>
    <externalReference r:id="rId346"/>
    <externalReference r:id="rId347"/>
    <externalReference r:id="rId348"/>
    <externalReference r:id="rId349"/>
    <externalReference r:id="rId350"/>
    <externalReference r:id="rId351"/>
    <externalReference r:id="rId352"/>
    <externalReference r:id="rId353"/>
    <externalReference r:id="rId354"/>
    <externalReference r:id="rId355"/>
    <externalReference r:id="rId356"/>
    <externalReference r:id="rId357"/>
    <externalReference r:id="rId358"/>
    <externalReference r:id="rId359"/>
    <externalReference r:id="rId360"/>
    <externalReference r:id="rId361"/>
    <externalReference r:id="rId362"/>
    <externalReference r:id="rId363"/>
    <externalReference r:id="rId364"/>
    <externalReference r:id="rId365"/>
  </externalReferences>
  <definedNames>
    <definedName name="_xlnm._FilterDatabase" localSheetId="1" hidden="1">old!$F$9:$F$287</definedName>
    <definedName name="_xlnm._FilterDatabase" localSheetId="0" hidden="1">Лист1!$B$5:$S$397</definedName>
    <definedName name="c_comment">Лист1!$J$5</definedName>
    <definedName name="c_Control">Лист1!$C$5</definedName>
    <definedName name="c_date">Лист1!$J$4</definedName>
    <definedName name="c_naimenovanie">Лист1!$F$5</definedName>
    <definedName name="c_OM_Comment">Лист1!$K$5</definedName>
    <definedName name="c_process">Лист1!$P$3</definedName>
    <definedName name="c_zakazchik">Лист1!$G$5</definedName>
    <definedName name="Development_Data">Лист1!#REF!</definedName>
    <definedName name="email_from">Лист1!$V$1</definedName>
    <definedName name="email_frompass">Лист1!$V$5</definedName>
    <definedName name="email_log">Лист1!$V$4</definedName>
    <definedName name="email_to">Лист1!$V$2</definedName>
    <definedName name="kz">[1]Расчет!$G$42</definedName>
    <definedName name="LINK">[1]Приложение1!$D$3</definedName>
    <definedName name="Local_File_Path">Лист1!$B$4</definedName>
    <definedName name="Local_File_Sheet">Лист1!$B$2</definedName>
    <definedName name="metka1">[1]Приложение1!$G:$G</definedName>
    <definedName name="metka2">[1]Приложение1!#REF!</definedName>
    <definedName name="metka3">[1]Приложение1!$N:$N</definedName>
    <definedName name="metka4">[1]Приложение1!$O:$O</definedName>
    <definedName name="metka5">[1]Приложение1!$AA:$AA</definedName>
    <definedName name="Priority">Лист1!$P$5</definedName>
    <definedName name="stolb1">[1]Приложение1!$K:$K</definedName>
    <definedName name="stolb2">[1]Приложение1!$L:$M</definedName>
    <definedName name="stolb3">[1]Приложение1!$N:$Q</definedName>
    <definedName name="stolb4">[1]Приложение1!$R:$Z</definedName>
    <definedName name="stolb5">[1]Приложение1!$AA:$AF</definedName>
    <definedName name="Tematika">Лист1!$L$5</definedName>
    <definedName name="TKP">Лист1!$D$5</definedName>
    <definedName name="usd">[1]Расчет!$G$41</definedName>
    <definedName name="WasteTimeMs">Лист1!$T$2</definedName>
    <definedName name="БанковскаяГарантия">[1]Приложение1!$M$4</definedName>
    <definedName name="БГ">[1]Приложение1!$H$48</definedName>
    <definedName name="ВедениеПроекта">[1]Приложение1!$V$52</definedName>
    <definedName name="ВедениеПроектаСкрытое">[1]Приложение1!$M$5</definedName>
    <definedName name="ВоеннаяПриемка">[1]Приложение1!$O$4</definedName>
    <definedName name="ВТК">[1]Приложение1!$H$50</definedName>
    <definedName name="дол">#REF!</definedName>
    <definedName name="Дополнительно">[1]Приложение1!$H$51</definedName>
    <definedName name="ЗП">#REF!</definedName>
    <definedName name="Итог_система">[1]Приложение1!$H$46</definedName>
    <definedName name="Итого">[1]Приложение1!$H$52</definedName>
    <definedName name="Итого_первый">[1]Расчет!$F$38</definedName>
    <definedName name="КД_КО">[1]Приложение1!$S$52</definedName>
    <definedName name="КД_Кросс">[1]Приложение1!$R$52</definedName>
    <definedName name="ком.расх">[1]Приложение1!$AF$44</definedName>
    <definedName name="Критерий_дата">Лист1!#REF!</definedName>
    <definedName name="Метрология">[1]Приложение1!$T$52</definedName>
    <definedName name="Монтаж">[1]Приложение1!$Z$52</definedName>
    <definedName name="_xlnm.Print_Area" localSheetId="0">Лист1!$A$1:$S$23</definedName>
    <definedName name="Общехоз">#REF!</definedName>
    <definedName name="Оплата">[1]Приложение1!$D$54</definedName>
    <definedName name="ОРАС">[1]Приложение1!#REF!</definedName>
    <definedName name="ПНР">[1]Приложение1!$X$52</definedName>
    <definedName name="ПолнаяЦена">[1]Приложение1!$Q$6</definedName>
    <definedName name="Приб">#REF!</definedName>
    <definedName name="ПСИ_АИ">[1]Приложение1!$W$52</definedName>
    <definedName name="РазработкаПО">[1]Приложение1!$U$52</definedName>
    <definedName name="РазработкаЭД">[1]Приложение1!$Y$52</definedName>
    <definedName name="Резерв">[1]Приложение1!$H$49</definedName>
    <definedName name="Скрытое">[1]Приложение1!$Q$4</definedName>
    <definedName name="СкрытыйРезерв">[1]Приложение1!$O$5</definedName>
    <definedName name="Страх">#REF!</definedName>
    <definedName name="Сумма_K">[1]Приложение1!$Q$52</definedName>
    <definedName name="Сумма_для_скрытого">[1]Приложение1!#REF!</definedName>
    <definedName name="Темысвод">Лист1!$L$394:$M$410</definedName>
    <definedName name="Цена_без_БГ">[1]Приложение1!$Q$5</definedName>
    <definedName name="ЧелМесИнженер">[1]Расчет!$G$43</definedName>
    <definedName name="ЧелМесОстальные">[1]Расчет!$G$44</definedName>
    <definedName name="чл_мес">[1]Расчет!$G$43</definedName>
    <definedName name="Шаблон">Лист1!$F$2</definedName>
    <definedName name="Этапы">[1]Приложение1!$D$55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81" i="3" l="1"/>
  <c r="C381" i="3" l="1"/>
  <c r="P381" i="3"/>
  <c r="L381" i="3"/>
  <c r="J381" i="3"/>
  <c r="C371" i="3" l="1"/>
  <c r="P371" i="3"/>
  <c r="L371" i="3"/>
  <c r="J371" i="3"/>
  <c r="J365" i="3" l="1"/>
  <c r="C375" i="3" l="1"/>
  <c r="P375" i="3"/>
  <c r="L375" i="3"/>
  <c r="J375" i="3"/>
  <c r="C385" i="3" l="1"/>
  <c r="P385" i="3"/>
  <c r="L385" i="3"/>
  <c r="J385" i="3"/>
  <c r="C384" i="3" l="1"/>
  <c r="P384" i="3"/>
  <c r="L384" i="3"/>
  <c r="J384" i="3"/>
  <c r="C383" i="3" l="1"/>
  <c r="P383" i="3"/>
  <c r="L383" i="3"/>
  <c r="J383" i="3"/>
  <c r="B385" i="3" l="1"/>
  <c r="B384" i="3"/>
  <c r="B383" i="3"/>
  <c r="B380" i="3" l="1"/>
  <c r="B379" i="3"/>
  <c r="B378" i="3"/>
  <c r="B377" i="3"/>
  <c r="B375" i="3" l="1"/>
  <c r="C372" i="3"/>
  <c r="P372" i="3"/>
  <c r="L372" i="3"/>
  <c r="J372" i="3"/>
  <c r="B376" i="3" l="1"/>
  <c r="C373" i="3" l="1"/>
  <c r="P373" i="3"/>
  <c r="L373" i="3"/>
  <c r="J373" i="3"/>
  <c r="B373" i="3" l="1"/>
  <c r="B372" i="3" l="1"/>
  <c r="B371" i="3"/>
  <c r="C369" i="3"/>
  <c r="P369" i="3"/>
  <c r="L369" i="3"/>
  <c r="J369" i="3"/>
  <c r="C374" i="3" l="1"/>
  <c r="P374" i="3"/>
  <c r="L374" i="3"/>
  <c r="J374" i="3"/>
  <c r="B374" i="3" l="1"/>
  <c r="B369" i="3"/>
  <c r="C361" i="3"/>
  <c r="P361" i="3"/>
  <c r="L361" i="3"/>
  <c r="J361" i="3"/>
  <c r="C368" i="3" l="1"/>
  <c r="P368" i="3"/>
  <c r="L368" i="3"/>
  <c r="J368" i="3"/>
  <c r="C367" i="3" l="1"/>
  <c r="P367" i="3"/>
  <c r="L367" i="3"/>
  <c r="J367" i="3"/>
  <c r="B368" i="3" l="1"/>
  <c r="B367" i="3"/>
  <c r="J303" i="3" l="1"/>
  <c r="J202" i="3" l="1"/>
  <c r="C342" i="3" l="1"/>
  <c r="P342" i="3"/>
  <c r="L342" i="3"/>
  <c r="J342" i="3"/>
  <c r="P330" i="3" l="1"/>
  <c r="P328" i="3" l="1"/>
  <c r="P320" i="3" l="1"/>
  <c r="P318" i="3" l="1"/>
  <c r="C315" i="3" l="1"/>
  <c r="P315" i="3"/>
  <c r="L315" i="3"/>
  <c r="J315" i="3"/>
  <c r="C366" i="3" l="1"/>
  <c r="L366" i="3"/>
  <c r="J366" i="3"/>
  <c r="C365" i="3" l="1"/>
  <c r="P365" i="3"/>
  <c r="L365" i="3"/>
  <c r="P364" i="3" l="1"/>
  <c r="L364" i="3"/>
  <c r="J364" i="3"/>
  <c r="B366" i="3" l="1"/>
  <c r="B365" i="3"/>
  <c r="B364" i="3"/>
  <c r="P356" i="3" l="1"/>
  <c r="L356" i="3"/>
  <c r="J356" i="3"/>
  <c r="J330" i="3" l="1"/>
  <c r="P359" i="3" l="1"/>
  <c r="L359" i="3"/>
  <c r="J359" i="3"/>
  <c r="C358" i="3" l="1"/>
  <c r="P358" i="3"/>
  <c r="L358" i="3"/>
  <c r="J358" i="3"/>
  <c r="C363" i="3" l="1"/>
  <c r="P363" i="3"/>
  <c r="L363" i="3"/>
  <c r="J363" i="3"/>
  <c r="P362" i="3" l="1"/>
  <c r="L362" i="3"/>
  <c r="J362" i="3"/>
  <c r="B363" i="3" l="1"/>
  <c r="B362" i="3"/>
  <c r="B361" i="3"/>
  <c r="P352" i="3" l="1"/>
  <c r="L352" i="3"/>
  <c r="J352" i="3"/>
  <c r="L353" i="3" l="1"/>
  <c r="J353" i="3"/>
  <c r="P360" i="3" l="1"/>
  <c r="L360" i="3"/>
  <c r="J360" i="3"/>
  <c r="P357" i="3" l="1"/>
  <c r="L357" i="3"/>
  <c r="J357" i="3"/>
  <c r="B360" i="3" l="1"/>
  <c r="B359" i="3"/>
  <c r="B357" i="3"/>
  <c r="C1" i="4" l="1"/>
  <c r="P313" i="3" l="1"/>
  <c r="L313" i="3"/>
  <c r="J313" i="3"/>
  <c r="B353" i="3" l="1"/>
  <c r="P355" i="3" l="1"/>
  <c r="L355" i="3"/>
  <c r="J355" i="3"/>
  <c r="P343" i="3" l="1"/>
  <c r="L343" i="3"/>
  <c r="J343" i="3"/>
  <c r="B356" i="3" l="1"/>
  <c r="B355" i="3"/>
  <c r="P354" i="3" l="1"/>
  <c r="L354" i="3"/>
  <c r="J354" i="3"/>
  <c r="B354" i="3" l="1"/>
  <c r="B352" i="3"/>
  <c r="P346" i="3" l="1"/>
  <c r="L346" i="3"/>
  <c r="J346" i="3"/>
  <c r="P337" i="3" l="1"/>
  <c r="L337" i="3"/>
  <c r="J337" i="3"/>
  <c r="L329" i="3" l="1"/>
  <c r="J329" i="3"/>
  <c r="P300" i="3" l="1"/>
  <c r="P303" i="3"/>
  <c r="J300" i="3"/>
  <c r="P350" i="3" l="1"/>
  <c r="L350" i="3"/>
  <c r="J350" i="3"/>
  <c r="P351" i="3" l="1"/>
  <c r="L351" i="3"/>
  <c r="J351" i="3"/>
  <c r="B351" i="3" l="1"/>
  <c r="B343" i="3" l="1"/>
  <c r="B350" i="3" l="1"/>
  <c r="P349" i="3" l="1"/>
  <c r="L349" i="3"/>
  <c r="J349" i="3"/>
  <c r="B349" i="3" l="1"/>
  <c r="P348" i="3" l="1"/>
  <c r="L348" i="3"/>
  <c r="J348" i="3"/>
  <c r="P347" i="3" l="1"/>
  <c r="L347" i="3"/>
  <c r="J347" i="3"/>
  <c r="B348" i="3" l="1"/>
  <c r="B347" i="3"/>
  <c r="B346" i="3"/>
  <c r="P345" i="3" l="1"/>
  <c r="L345" i="3"/>
  <c r="J345" i="3"/>
  <c r="B345" i="3" l="1"/>
  <c r="P339" i="3" l="1"/>
  <c r="L339" i="3"/>
  <c r="J339" i="3"/>
  <c r="P341" i="3" l="1"/>
  <c r="L341" i="3"/>
  <c r="J341" i="3"/>
  <c r="P108" i="3" l="1"/>
  <c r="P344" i="3" l="1"/>
  <c r="L344" i="3"/>
  <c r="J344" i="3"/>
  <c r="B344" i="3" l="1"/>
  <c r="B342" i="3"/>
  <c r="B341" i="3"/>
  <c r="J316" i="3" l="1"/>
  <c r="B296" i="3" l="1"/>
  <c r="P340" i="3" l="1"/>
  <c r="L340" i="3"/>
  <c r="J340" i="3"/>
  <c r="P338" i="3" l="1"/>
  <c r="L338" i="3"/>
  <c r="J338" i="3"/>
  <c r="B334" i="3" l="1"/>
  <c r="B335" i="3"/>
  <c r="B336" i="3"/>
  <c r="B337" i="3"/>
  <c r="B340" i="3"/>
  <c r="P336" i="3" l="1"/>
  <c r="L336" i="3"/>
  <c r="J336" i="3"/>
  <c r="P335" i="3"/>
  <c r="L335" i="3"/>
  <c r="J335" i="3"/>
  <c r="P304" i="3" l="1"/>
  <c r="L304" i="3"/>
  <c r="J304" i="3"/>
  <c r="P334" i="3" l="1"/>
  <c r="L334" i="3"/>
  <c r="J334" i="3"/>
  <c r="P321" i="3" l="1"/>
  <c r="L321" i="3"/>
  <c r="J321" i="3"/>
  <c r="L320" i="3" l="1"/>
  <c r="J320" i="3"/>
  <c r="P325" i="3" l="1"/>
  <c r="L325" i="3"/>
  <c r="J325" i="3"/>
  <c r="B322" i="3" l="1"/>
  <c r="J322" i="3"/>
  <c r="L322" i="3"/>
  <c r="P322" i="3"/>
  <c r="P332" i="3" l="1"/>
  <c r="L332" i="3"/>
  <c r="J332" i="3"/>
  <c r="P314" i="3" l="1"/>
  <c r="L314" i="3"/>
  <c r="J314" i="3"/>
  <c r="P316" i="3" l="1"/>
  <c r="L316" i="3"/>
  <c r="P308" i="3" l="1"/>
  <c r="L308" i="3"/>
  <c r="J308" i="3"/>
  <c r="P307" i="3"/>
  <c r="L307" i="3"/>
  <c r="J307" i="3"/>
  <c r="P331" i="3" l="1"/>
  <c r="L331" i="3"/>
  <c r="J331" i="3"/>
  <c r="P147" i="3" l="1"/>
  <c r="L147" i="3"/>
  <c r="J147" i="3"/>
  <c r="L330" i="3" l="1"/>
  <c r="L328" i="3" l="1"/>
  <c r="J328" i="3"/>
  <c r="P333" i="3" l="1"/>
  <c r="L333" i="3"/>
  <c r="J333" i="3"/>
  <c r="P327" i="3"/>
  <c r="L327" i="3"/>
  <c r="J327" i="3"/>
  <c r="B333" i="3" l="1"/>
  <c r="B331" i="3"/>
  <c r="B330" i="3"/>
  <c r="B329" i="3"/>
  <c r="B328" i="3"/>
  <c r="B327" i="3"/>
  <c r="P323" i="3"/>
  <c r="L323" i="3"/>
  <c r="J323" i="3"/>
  <c r="B323" i="3" l="1"/>
  <c r="J324" i="3"/>
  <c r="L324" i="3"/>
  <c r="P324" i="3"/>
  <c r="P160" i="3" l="1"/>
  <c r="L160" i="3"/>
  <c r="J160" i="3"/>
  <c r="P265" i="3" l="1"/>
  <c r="L265" i="3"/>
  <c r="J265" i="3"/>
  <c r="P326" i="3" l="1"/>
  <c r="L326" i="3"/>
  <c r="J326" i="3"/>
  <c r="B326" i="3" l="1"/>
  <c r="P312" i="3" l="1"/>
  <c r="L312" i="3"/>
  <c r="J312" i="3"/>
  <c r="P311" i="3" l="1"/>
  <c r="L311" i="3"/>
  <c r="J311" i="3"/>
  <c r="B321" i="3" l="1"/>
  <c r="P242" i="3" l="1"/>
  <c r="L242" i="3"/>
  <c r="J242" i="3"/>
  <c r="B312" i="3" l="1"/>
  <c r="B315" i="3" l="1"/>
  <c r="B314" i="3"/>
  <c r="B313" i="3"/>
  <c r="P317" i="3" l="1"/>
  <c r="L317" i="3"/>
  <c r="J317" i="3"/>
  <c r="B317" i="3" l="1"/>
  <c r="L318" i="3" l="1"/>
  <c r="J318" i="3"/>
  <c r="P310" i="3" l="1"/>
  <c r="L310" i="3"/>
  <c r="J310" i="3"/>
  <c r="P309" i="3" l="1"/>
  <c r="L309" i="3"/>
  <c r="J309" i="3"/>
  <c r="B320" i="3" l="1"/>
  <c r="B319" i="3"/>
  <c r="B318" i="3"/>
  <c r="B311" i="3" l="1"/>
  <c r="B310" i="3"/>
  <c r="B309" i="3"/>
  <c r="L303" i="3"/>
  <c r="B308" i="3" l="1"/>
  <c r="B307" i="3"/>
  <c r="P302" i="3" l="1"/>
  <c r="L302" i="3"/>
  <c r="J302" i="3"/>
  <c r="L300" i="3" l="1"/>
  <c r="P305" i="3" l="1"/>
  <c r="L305" i="3"/>
  <c r="J305" i="3"/>
  <c r="P306" i="3" l="1"/>
  <c r="L306" i="3"/>
  <c r="J306" i="3"/>
  <c r="B306" i="3" l="1"/>
  <c r="B305" i="3"/>
  <c r="P301" i="3"/>
  <c r="L301" i="3"/>
  <c r="J301" i="3"/>
  <c r="P290" i="3" l="1"/>
  <c r="L290" i="3"/>
  <c r="J290" i="3"/>
  <c r="P148" i="3" l="1"/>
  <c r="L148" i="3"/>
  <c r="J148" i="3"/>
  <c r="P146" i="3" l="1"/>
  <c r="L146" i="3"/>
  <c r="J146" i="3"/>
  <c r="B146" i="3" l="1"/>
  <c r="B147" i="3"/>
  <c r="B148" i="3"/>
  <c r="O3" i="6"/>
  <c r="K3" i="6"/>
  <c r="I3" i="6"/>
  <c r="B3" i="6"/>
  <c r="O4" i="6"/>
  <c r="O5" i="6"/>
  <c r="K5" i="6"/>
  <c r="I5" i="6"/>
  <c r="B5" i="6"/>
  <c r="O6" i="6"/>
  <c r="K6" i="6"/>
  <c r="I6" i="6"/>
  <c r="B6" i="6"/>
  <c r="O7" i="6"/>
  <c r="K7" i="6"/>
  <c r="I7" i="6"/>
  <c r="B7" i="6"/>
  <c r="O8" i="6"/>
  <c r="K8" i="6"/>
  <c r="I8" i="6"/>
  <c r="B8" i="6"/>
  <c r="O9" i="6"/>
  <c r="K9" i="6"/>
  <c r="I9" i="6"/>
  <c r="B9" i="6"/>
  <c r="B304" i="3" l="1"/>
  <c r="P297" i="3" l="1"/>
  <c r="L297" i="3"/>
  <c r="J297" i="3"/>
  <c r="P295" i="3" l="1"/>
  <c r="L295" i="3"/>
  <c r="J295" i="3"/>
  <c r="P298" i="3" l="1"/>
  <c r="L298" i="3"/>
  <c r="J298" i="3"/>
  <c r="B298" i="3" l="1"/>
  <c r="B297" i="3" l="1"/>
  <c r="B295" i="3"/>
  <c r="P294" i="3" l="1"/>
  <c r="L294" i="3"/>
  <c r="J294" i="3"/>
  <c r="P293" i="3" l="1"/>
  <c r="L293" i="3"/>
  <c r="J293" i="3"/>
  <c r="P291" i="3" l="1"/>
  <c r="L291" i="3"/>
  <c r="J291" i="3"/>
  <c r="P292" i="3" l="1"/>
  <c r="L292" i="3"/>
  <c r="J292" i="3"/>
  <c r="B294" i="3" l="1"/>
  <c r="B293" i="3"/>
  <c r="B292" i="3"/>
  <c r="B291" i="3"/>
  <c r="P286" i="3" l="1"/>
  <c r="L286" i="3"/>
  <c r="J286" i="3"/>
  <c r="P256" i="3" l="1"/>
  <c r="L256" i="3"/>
  <c r="J256" i="3"/>
  <c r="P289" i="3" l="1"/>
  <c r="L289" i="3"/>
  <c r="J289" i="3"/>
  <c r="P288" i="3" l="1"/>
  <c r="L288" i="3"/>
  <c r="J288" i="3"/>
  <c r="B290" i="3" l="1"/>
  <c r="B289" i="3"/>
  <c r="B288" i="3"/>
  <c r="P285" i="3"/>
  <c r="L285" i="3"/>
  <c r="J285" i="3"/>
  <c r="P278" i="3" l="1"/>
  <c r="L278" i="3"/>
  <c r="J278" i="3"/>
  <c r="B284" i="3" l="1"/>
  <c r="B285" i="3" l="1"/>
  <c r="P253" i="3" l="1"/>
  <c r="P247" i="3" l="1"/>
  <c r="L247" i="3"/>
  <c r="J247" i="3"/>
  <c r="P187" i="3" l="1"/>
  <c r="L187" i="3"/>
  <c r="J187" i="3"/>
  <c r="P172" i="3" l="1"/>
  <c r="L172" i="3"/>
  <c r="J172" i="3"/>
  <c r="P171" i="3" l="1"/>
  <c r="B292" i="6" l="1"/>
  <c r="I292" i="6"/>
  <c r="O292" i="6"/>
  <c r="B291" i="6"/>
  <c r="I291" i="6"/>
  <c r="K291" i="6"/>
  <c r="O291" i="6"/>
  <c r="B290" i="6"/>
  <c r="I290" i="6"/>
  <c r="K290" i="6"/>
  <c r="O290" i="6"/>
  <c r="B289" i="6"/>
  <c r="I289" i="6"/>
  <c r="K289" i="6"/>
  <c r="O289" i="6"/>
  <c r="B288" i="6"/>
  <c r="I288" i="6"/>
  <c r="K288" i="6"/>
  <c r="O288" i="6"/>
  <c r="P283" i="3" l="1"/>
  <c r="L283" i="3"/>
  <c r="J283" i="3"/>
  <c r="P282" i="3" l="1"/>
  <c r="L282" i="3"/>
  <c r="J282" i="3"/>
  <c r="P287" i="3" l="1"/>
  <c r="L287" i="3"/>
  <c r="J287" i="3"/>
  <c r="P281" i="3"/>
  <c r="L281" i="3"/>
  <c r="J281" i="3"/>
  <c r="B287" i="3" l="1"/>
  <c r="B282" i="3"/>
  <c r="B281" i="3"/>
  <c r="B278" i="3" l="1"/>
  <c r="P154" i="3" l="1"/>
  <c r="L154" i="3"/>
  <c r="J154" i="3"/>
  <c r="P270" i="3" l="1"/>
  <c r="L270" i="3"/>
  <c r="J270" i="3"/>
  <c r="B280" i="3" l="1"/>
  <c r="P269" i="3" l="1"/>
  <c r="L269" i="3"/>
  <c r="J269" i="3"/>
  <c r="P262" i="3" l="1"/>
  <c r="L262" i="3"/>
  <c r="J262" i="3"/>
  <c r="P273" i="3" l="1"/>
  <c r="P277" i="3" l="1"/>
  <c r="L277" i="3"/>
  <c r="J277" i="3"/>
  <c r="P279" i="3" l="1"/>
  <c r="L279" i="3"/>
  <c r="J279" i="3"/>
  <c r="P276" i="3"/>
  <c r="L276" i="3"/>
  <c r="J276" i="3"/>
  <c r="B279" i="3" l="1"/>
  <c r="B277" i="3"/>
  <c r="B276" i="3"/>
  <c r="P92" i="3" l="1"/>
  <c r="L92" i="3"/>
  <c r="J92" i="3"/>
  <c r="P95" i="3" l="1"/>
  <c r="L95" i="3"/>
  <c r="J95" i="3"/>
  <c r="J273" i="3" l="1"/>
  <c r="P275" i="3" l="1"/>
  <c r="L275" i="3"/>
  <c r="J275" i="3"/>
  <c r="P274" i="3"/>
  <c r="L274" i="3"/>
  <c r="J274" i="3"/>
  <c r="L273" i="3"/>
  <c r="P272" i="3"/>
  <c r="L272" i="3"/>
  <c r="J272" i="3"/>
  <c r="B275" i="3" l="1"/>
  <c r="B273" i="3"/>
  <c r="B272" i="3"/>
  <c r="B269" i="3"/>
  <c r="P271" i="3" l="1"/>
  <c r="L271" i="3"/>
  <c r="J271" i="3"/>
  <c r="P266" i="3" l="1"/>
  <c r="L266" i="3"/>
  <c r="J266" i="3"/>
  <c r="B271" i="3" l="1"/>
  <c r="B266" i="3"/>
  <c r="B265" i="3" l="1"/>
  <c r="P249" i="3" l="1"/>
  <c r="L249" i="3"/>
  <c r="P267" i="3" l="1"/>
  <c r="L267" i="3"/>
  <c r="J267" i="3"/>
  <c r="P268" i="3" l="1"/>
  <c r="L268" i="3"/>
  <c r="J268" i="3"/>
  <c r="P264" i="3" l="1"/>
  <c r="L264" i="3"/>
  <c r="J264" i="3"/>
  <c r="B268" i="3" l="1"/>
  <c r="B267" i="3"/>
  <c r="P263" i="3" l="1"/>
  <c r="L263" i="3"/>
  <c r="J263" i="3"/>
  <c r="B264" i="3" l="1"/>
  <c r="B263" i="3"/>
  <c r="P257" i="3"/>
  <c r="L257" i="3"/>
  <c r="J257" i="3"/>
  <c r="P216" i="3" l="1"/>
  <c r="L216" i="3"/>
  <c r="J216" i="3"/>
  <c r="P261" i="3" l="1"/>
  <c r="L261" i="3"/>
  <c r="J261" i="3"/>
  <c r="P259" i="3" l="1"/>
  <c r="L259" i="3"/>
  <c r="J259" i="3"/>
  <c r="B262" i="3" l="1"/>
  <c r="B261" i="3"/>
  <c r="B260" i="3"/>
  <c r="B259" i="3"/>
  <c r="B256" i="3"/>
  <c r="B255" i="3"/>
  <c r="L253" i="3"/>
  <c r="J253" i="3"/>
  <c r="B254" i="3" l="1"/>
  <c r="B253" i="3"/>
  <c r="B252" i="3"/>
  <c r="B251" i="3"/>
  <c r="P254" i="3" l="1"/>
  <c r="L254" i="3"/>
  <c r="J254" i="3"/>
  <c r="P252" i="3" l="1"/>
  <c r="L252" i="3"/>
  <c r="J252" i="3"/>
  <c r="P251" i="3" l="1"/>
  <c r="L251" i="3"/>
  <c r="J251" i="3"/>
  <c r="P250" i="3" l="1"/>
  <c r="L250" i="3"/>
  <c r="J250" i="3"/>
  <c r="B249" i="3" l="1"/>
  <c r="B250" i="3"/>
  <c r="P248" i="3" l="1"/>
  <c r="L248" i="3"/>
  <c r="J248" i="3"/>
  <c r="P246" i="3" l="1"/>
  <c r="L246" i="3"/>
  <c r="J246" i="3"/>
  <c r="P245" i="3" l="1"/>
  <c r="L245" i="3"/>
  <c r="J245" i="3"/>
  <c r="B248" i="3" l="1"/>
  <c r="B246" i="3"/>
  <c r="B245" i="3"/>
  <c r="B242" i="3" l="1"/>
  <c r="P243" i="3" l="1"/>
  <c r="L243" i="3"/>
  <c r="J243" i="3"/>
  <c r="B244" i="3" l="1"/>
  <c r="B243" i="3" l="1"/>
  <c r="P239" i="3" l="1"/>
  <c r="L239" i="3"/>
  <c r="J239" i="3"/>
  <c r="B239" i="3" l="1"/>
  <c r="P240" i="3" l="1"/>
  <c r="L240" i="3"/>
  <c r="J240" i="3"/>
  <c r="B240" i="3" l="1"/>
  <c r="P237" i="3"/>
  <c r="L237" i="3"/>
  <c r="J237" i="3"/>
  <c r="P235" i="3" l="1"/>
  <c r="L235" i="3"/>
  <c r="J235" i="3"/>
  <c r="P188" i="3" l="1"/>
  <c r="P232" i="3" l="1"/>
  <c r="L232" i="3"/>
  <c r="J232" i="3"/>
  <c r="B89" i="6" l="1"/>
  <c r="K89" i="6"/>
  <c r="O89" i="6"/>
  <c r="P200" i="3" l="1"/>
  <c r="L200" i="3"/>
  <c r="J200" i="3"/>
  <c r="P238" i="3" l="1"/>
  <c r="L238" i="3"/>
  <c r="J238" i="3"/>
  <c r="P8" i="3" l="1"/>
  <c r="L8" i="3"/>
  <c r="J8" i="3"/>
  <c r="B234" i="3" l="1"/>
  <c r="P234" i="3"/>
  <c r="L234" i="3"/>
  <c r="J234" i="3"/>
  <c r="P9" i="3" l="1"/>
  <c r="L9" i="3"/>
  <c r="J9" i="3"/>
  <c r="P220" i="3" l="1"/>
  <c r="L220" i="3"/>
  <c r="J220" i="3"/>
  <c r="B238" i="3" l="1"/>
  <c r="P201" i="3" l="1"/>
  <c r="L201" i="3"/>
  <c r="J201" i="3"/>
  <c r="P213" i="3" l="1"/>
  <c r="L213" i="3"/>
  <c r="J213" i="3"/>
  <c r="P231" i="3" l="1"/>
  <c r="L231" i="3"/>
  <c r="J231" i="3"/>
  <c r="P236" i="3" l="1"/>
  <c r="L236" i="3"/>
  <c r="J236" i="3"/>
  <c r="P233" i="3"/>
  <c r="L233" i="3"/>
  <c r="J233" i="3"/>
  <c r="B237" i="3" l="1"/>
  <c r="B236" i="3"/>
  <c r="B235" i="3"/>
  <c r="P206" i="3" l="1"/>
  <c r="P221" i="3" l="1"/>
  <c r="L221" i="3"/>
  <c r="J221" i="3"/>
  <c r="B232" i="3" l="1"/>
  <c r="B231" i="3" l="1"/>
  <c r="B90" i="6" l="1"/>
  <c r="K90" i="6"/>
  <c r="O90" i="6"/>
  <c r="B91" i="6"/>
  <c r="K91" i="6"/>
  <c r="O91" i="6"/>
  <c r="B92" i="6"/>
  <c r="K92" i="6"/>
  <c r="O92" i="6"/>
  <c r="B93" i="6"/>
  <c r="K93" i="6"/>
  <c r="O93" i="6"/>
  <c r="O94" i="6"/>
  <c r="B95" i="6"/>
  <c r="K95" i="6"/>
  <c r="O95" i="6"/>
  <c r="B96" i="6"/>
  <c r="B97" i="6"/>
  <c r="K97" i="6"/>
  <c r="B98" i="6"/>
  <c r="B99" i="6"/>
  <c r="K99" i="6"/>
  <c r="O99" i="6"/>
  <c r="B100" i="6"/>
  <c r="B101" i="6"/>
  <c r="B102" i="6"/>
  <c r="B103" i="6"/>
  <c r="B104" i="6"/>
  <c r="B105" i="6"/>
  <c r="B106" i="6"/>
  <c r="K106" i="6"/>
  <c r="O106" i="6"/>
  <c r="B107" i="6"/>
  <c r="B108" i="6"/>
  <c r="B110" i="6"/>
  <c r="K110" i="6"/>
  <c r="O110" i="6"/>
  <c r="B111" i="6"/>
  <c r="K111" i="6"/>
  <c r="O111" i="6"/>
  <c r="B113" i="6"/>
  <c r="B114" i="6"/>
  <c r="O114" i="6"/>
  <c r="B115" i="6"/>
  <c r="B116" i="6"/>
  <c r="P224" i="3" l="1"/>
  <c r="L224" i="3"/>
  <c r="J224" i="3"/>
  <c r="P230" i="3" l="1"/>
  <c r="L230" i="3"/>
  <c r="J230" i="3"/>
  <c r="P229" i="3"/>
  <c r="L229" i="3"/>
  <c r="J229" i="3"/>
  <c r="P228" i="3"/>
  <c r="L228" i="3"/>
  <c r="J228" i="3"/>
  <c r="P227" i="3"/>
  <c r="L227" i="3"/>
  <c r="J227" i="3"/>
  <c r="P226" i="3"/>
  <c r="L226" i="3"/>
  <c r="J226" i="3"/>
  <c r="P225" i="3"/>
  <c r="L225" i="3"/>
  <c r="J225" i="3"/>
  <c r="B233" i="3" l="1"/>
  <c r="B230" i="3"/>
  <c r="B229" i="3"/>
  <c r="B228" i="3"/>
  <c r="B227" i="3"/>
  <c r="B226" i="3"/>
  <c r="B225" i="3"/>
  <c r="B224" i="3"/>
  <c r="B221" i="3"/>
  <c r="P223" i="3" l="1"/>
  <c r="L223" i="3"/>
  <c r="J223" i="3"/>
  <c r="P222" i="3"/>
  <c r="L222" i="3"/>
  <c r="J222" i="3"/>
  <c r="B223" i="3" l="1"/>
  <c r="B222" i="3"/>
  <c r="P219" i="3" l="1"/>
  <c r="L219" i="3"/>
  <c r="J219" i="3"/>
  <c r="B219" i="3" l="1"/>
  <c r="P218" i="3" l="1"/>
  <c r="L218" i="3"/>
  <c r="J218" i="3"/>
  <c r="B217" i="3" l="1"/>
  <c r="B218" i="3"/>
  <c r="J217" i="3" l="1"/>
  <c r="P217" i="3" l="1"/>
  <c r="L217" i="3"/>
  <c r="P215" i="3"/>
  <c r="L215" i="3"/>
  <c r="J215" i="3"/>
  <c r="B216" i="3" l="1"/>
  <c r="B215" i="3"/>
  <c r="P208" i="3"/>
  <c r="L208" i="3"/>
  <c r="J208" i="3"/>
  <c r="P207" i="3" l="1"/>
  <c r="L207" i="3"/>
  <c r="J207" i="3"/>
  <c r="P113" i="3" l="1"/>
  <c r="L113" i="3"/>
  <c r="J113" i="3"/>
  <c r="P205" i="3" l="1"/>
  <c r="L205" i="3"/>
  <c r="J205" i="3"/>
  <c r="P209" i="3" l="1"/>
  <c r="L209" i="3"/>
  <c r="J209" i="3"/>
  <c r="P211" i="3" l="1"/>
  <c r="L211" i="3"/>
  <c r="J211" i="3"/>
  <c r="P210" i="3"/>
  <c r="L210" i="3"/>
  <c r="J210" i="3"/>
  <c r="J212" i="3" l="1"/>
  <c r="L212" i="3" l="1"/>
  <c r="P214" i="3" l="1"/>
  <c r="L214" i="3"/>
  <c r="J214" i="3"/>
  <c r="B214" i="3" l="1"/>
  <c r="P142" i="3" l="1"/>
  <c r="L142" i="3"/>
  <c r="J142" i="3"/>
  <c r="B211" i="3" l="1"/>
  <c r="B210" i="3"/>
  <c r="B209" i="3"/>
  <c r="P169" i="3"/>
  <c r="L169" i="3"/>
  <c r="J169" i="3"/>
  <c r="P165" i="3" l="1"/>
  <c r="L165" i="3"/>
  <c r="J165" i="3"/>
  <c r="P192" i="3" l="1"/>
  <c r="L192" i="3"/>
  <c r="J192" i="3"/>
  <c r="P196" i="3" l="1"/>
  <c r="L196" i="3"/>
  <c r="J196" i="3"/>
  <c r="O117" i="6" l="1"/>
  <c r="K117" i="6"/>
  <c r="L206" i="3" l="1"/>
  <c r="J206" i="3"/>
  <c r="B208" i="3" l="1"/>
  <c r="B207" i="3"/>
  <c r="B206" i="3"/>
  <c r="B205" i="3"/>
  <c r="P204" i="3" l="1"/>
  <c r="L204" i="3"/>
  <c r="J204" i="3"/>
  <c r="P153" i="3" l="1"/>
  <c r="L153" i="3"/>
  <c r="J153" i="3"/>
  <c r="P202" i="3" l="1"/>
  <c r="L202" i="3"/>
  <c r="B204" i="3" l="1"/>
  <c r="B201" i="3" l="1"/>
  <c r="P203" i="3" l="1"/>
  <c r="L203" i="3"/>
  <c r="J203" i="3"/>
  <c r="B203" i="3" l="1"/>
  <c r="B202" i="3"/>
  <c r="B200" i="3"/>
  <c r="P199" i="3" l="1"/>
  <c r="L199" i="3"/>
  <c r="J199" i="3"/>
  <c r="P198" i="3" l="1"/>
  <c r="L198" i="3"/>
  <c r="J198" i="3"/>
  <c r="L197" i="3" l="1"/>
  <c r="B199" i="3"/>
  <c r="B198" i="3"/>
  <c r="P179" i="3" l="1"/>
  <c r="L179" i="3"/>
  <c r="J179" i="3"/>
  <c r="P194" i="3" l="1"/>
  <c r="L194" i="3"/>
  <c r="J194" i="3"/>
  <c r="P197" i="3" l="1"/>
  <c r="J197" i="3"/>
  <c r="P195" i="3"/>
  <c r="L195" i="3"/>
  <c r="J195" i="3"/>
  <c r="B197" i="3" l="1"/>
  <c r="B196" i="3"/>
  <c r="B195" i="3"/>
  <c r="B194" i="3"/>
  <c r="P189" i="3" l="1"/>
  <c r="L189" i="3"/>
  <c r="J189" i="3"/>
  <c r="P190" i="3" l="1"/>
  <c r="L190" i="3"/>
  <c r="J190" i="3"/>
  <c r="P191" i="3" l="1"/>
  <c r="L191" i="3"/>
  <c r="J191" i="3"/>
  <c r="P193" i="3" l="1"/>
  <c r="L193" i="3"/>
  <c r="J193" i="3"/>
  <c r="B193" i="3" l="1"/>
  <c r="B192" i="3" l="1"/>
  <c r="P186" i="3" l="1"/>
  <c r="L186" i="3"/>
  <c r="J186" i="3"/>
  <c r="B191" i="3" l="1"/>
  <c r="B190" i="3"/>
  <c r="B189" i="3" l="1"/>
  <c r="P176" i="3" l="1"/>
  <c r="L176" i="3"/>
  <c r="J176" i="3"/>
  <c r="P162" i="3" l="1"/>
  <c r="L162" i="3"/>
  <c r="J162" i="3"/>
  <c r="P181" i="3" l="1"/>
  <c r="L181" i="3"/>
  <c r="J181" i="3"/>
  <c r="O118" i="6" l="1"/>
  <c r="K118" i="6"/>
  <c r="O119" i="6"/>
  <c r="K119" i="6"/>
  <c r="B119" i="6"/>
  <c r="B186" i="3" l="1"/>
  <c r="B185" i="3"/>
  <c r="P185" i="3"/>
  <c r="L185" i="3"/>
  <c r="J185" i="3"/>
  <c r="P183" i="3" l="1"/>
  <c r="L183" i="3"/>
  <c r="J183" i="3"/>
  <c r="P184" i="3" l="1"/>
  <c r="L184" i="3"/>
  <c r="J184" i="3"/>
  <c r="B184" i="3" l="1"/>
  <c r="B183" i="3" l="1"/>
  <c r="P182" i="3" l="1"/>
  <c r="L182" i="3"/>
  <c r="J182" i="3"/>
  <c r="B182" i="3" l="1"/>
  <c r="L170" i="3" l="1"/>
  <c r="J170" i="3"/>
  <c r="P180" i="3"/>
  <c r="L180" i="3"/>
  <c r="J180" i="3"/>
  <c r="B180" i="3" l="1"/>
  <c r="B170" i="3" l="1"/>
  <c r="B273" i="6" l="1"/>
  <c r="B274" i="6"/>
  <c r="B275" i="6"/>
  <c r="B276" i="6"/>
  <c r="B277" i="6"/>
  <c r="B278" i="6"/>
  <c r="B279" i="6"/>
  <c r="B280" i="6"/>
  <c r="B281" i="6"/>
  <c r="K281" i="6"/>
  <c r="B284" i="6"/>
  <c r="B285" i="6"/>
  <c r="I285" i="6"/>
  <c r="O285" i="6"/>
  <c r="S285" i="6"/>
  <c r="B286" i="6"/>
  <c r="B287" i="6"/>
  <c r="B247" i="6"/>
  <c r="B248" i="6"/>
  <c r="B249" i="6"/>
  <c r="B251" i="6"/>
  <c r="B253" i="6"/>
  <c r="B254" i="6"/>
  <c r="B255" i="6"/>
  <c r="B256" i="6"/>
  <c r="B257" i="6"/>
  <c r="B259" i="6"/>
  <c r="B260" i="6"/>
  <c r="B261" i="6"/>
  <c r="B262" i="6"/>
  <c r="B263" i="6"/>
  <c r="B264" i="6"/>
  <c r="B265" i="6"/>
  <c r="B266" i="6"/>
  <c r="B267" i="6"/>
  <c r="B268" i="6"/>
  <c r="B269" i="6"/>
  <c r="B270" i="6"/>
  <c r="B271" i="6"/>
  <c r="B272" i="6"/>
  <c r="B120" i="6"/>
  <c r="B121" i="6"/>
  <c r="B122" i="6"/>
  <c r="B123" i="6"/>
  <c r="B124" i="6"/>
  <c r="B125" i="6"/>
  <c r="B126" i="6"/>
  <c r="B127" i="6"/>
  <c r="B128" i="6"/>
  <c r="K128" i="6"/>
  <c r="O128" i="6"/>
  <c r="B129" i="6"/>
  <c r="B130" i="6"/>
  <c r="B131" i="6"/>
  <c r="B132" i="6"/>
  <c r="B133" i="6"/>
  <c r="B134" i="6"/>
  <c r="B137" i="6"/>
  <c r="B138" i="6"/>
  <c r="B139" i="6"/>
  <c r="B140" i="6"/>
  <c r="B141" i="6"/>
  <c r="B142" i="6"/>
  <c r="B143" i="6"/>
  <c r="B144" i="6"/>
  <c r="B145" i="6"/>
  <c r="B146" i="6"/>
  <c r="B147" i="6" l="1"/>
  <c r="B148" i="6"/>
  <c r="B149" i="6"/>
  <c r="B150" i="6"/>
  <c r="B151" i="6"/>
  <c r="B152" i="6"/>
  <c r="B153" i="6"/>
  <c r="B154" i="6"/>
  <c r="B155" i="6"/>
  <c r="B156" i="6"/>
  <c r="B158" i="6"/>
  <c r="B159" i="6"/>
  <c r="B160" i="6"/>
  <c r="B161" i="6"/>
  <c r="B162" i="6"/>
  <c r="B165" i="6"/>
  <c r="B166" i="6"/>
  <c r="B167" i="6"/>
  <c r="B168" i="6"/>
  <c r="B169" i="6"/>
  <c r="B170" i="6"/>
  <c r="B171" i="6"/>
  <c r="B174" i="6"/>
  <c r="B175" i="6"/>
  <c r="B176" i="6"/>
  <c r="B177" i="6"/>
  <c r="B178" i="6"/>
  <c r="B179" i="6"/>
  <c r="B180" i="6"/>
  <c r="K180" i="6"/>
  <c r="O180" i="6"/>
  <c r="B181" i="6"/>
  <c r="B182" i="6"/>
  <c r="B183" i="6"/>
  <c r="B184" i="6"/>
  <c r="B185" i="6"/>
  <c r="B186" i="6"/>
  <c r="B187" i="6"/>
  <c r="B189" i="6"/>
  <c r="G190" i="6"/>
  <c r="B191" i="6"/>
  <c r="B6" i="4" l="1"/>
  <c r="B5" i="4" l="1"/>
  <c r="P177" i="3" l="1"/>
  <c r="L177" i="3"/>
  <c r="J177" i="3"/>
  <c r="B162" i="3" l="1"/>
  <c r="P178" i="3" l="1"/>
  <c r="L178" i="3"/>
  <c r="J178" i="3"/>
  <c r="B9" i="3" l="1"/>
  <c r="B178" i="3"/>
  <c r="B177" i="3"/>
  <c r="P175" i="3" l="1"/>
  <c r="L188" i="3"/>
  <c r="J188" i="3"/>
  <c r="P174" i="3" l="1"/>
  <c r="L174" i="3"/>
  <c r="J174" i="3"/>
  <c r="P173" i="3"/>
  <c r="L173" i="3"/>
  <c r="J173" i="3"/>
  <c r="P170" i="3"/>
  <c r="P168" i="3"/>
  <c r="L168" i="3"/>
  <c r="J168" i="3"/>
  <c r="P167" i="3"/>
  <c r="L167" i="3"/>
  <c r="J167" i="3"/>
  <c r="B153" i="3" l="1"/>
  <c r="B188" i="3"/>
  <c r="B174" i="3"/>
  <c r="B176" i="3"/>
  <c r="B181" i="3" l="1"/>
  <c r="B169" i="3"/>
  <c r="L175" i="3" l="1"/>
  <c r="J175" i="3"/>
  <c r="P166" i="3" l="1"/>
  <c r="L166" i="3"/>
  <c r="J166" i="3"/>
  <c r="P114" i="3" l="1"/>
  <c r="L114" i="3"/>
  <c r="J114" i="3"/>
  <c r="B173" i="3" l="1"/>
  <c r="B179" i="3"/>
  <c r="B168" i="3"/>
  <c r="B167" i="3"/>
  <c r="B166" i="3"/>
  <c r="B175" i="3" l="1"/>
  <c r="P155" i="3" l="1"/>
  <c r="L155" i="3"/>
  <c r="J155" i="3"/>
  <c r="P156" i="3" l="1"/>
  <c r="L156" i="3"/>
  <c r="J156" i="3"/>
  <c r="J32" i="3" l="1"/>
  <c r="P164" i="3" l="1"/>
  <c r="L164" i="3"/>
  <c r="J164" i="3"/>
  <c r="B142" i="3" l="1"/>
  <c r="B164" i="3" l="1"/>
  <c r="P161" i="3" l="1"/>
  <c r="L161" i="3"/>
  <c r="J161" i="3"/>
  <c r="B161" i="3" l="1"/>
  <c r="P163" i="3" l="1"/>
  <c r="L163" i="3"/>
  <c r="J163" i="3"/>
  <c r="B163" i="3" l="1"/>
  <c r="P158" i="3" l="1"/>
  <c r="P159" i="3"/>
  <c r="L159" i="3"/>
  <c r="J159" i="3"/>
  <c r="L158" i="3"/>
  <c r="J158" i="3"/>
  <c r="B172" i="3" l="1"/>
  <c r="B159" i="3"/>
  <c r="B158" i="3"/>
  <c r="P124" i="3" l="1"/>
  <c r="L124" i="3"/>
  <c r="J124" i="3"/>
  <c r="P144" i="3" l="1"/>
  <c r="P157" i="3" l="1"/>
  <c r="L157" i="3"/>
  <c r="J157" i="3"/>
  <c r="B157" i="3" l="1"/>
  <c r="P152" i="3" l="1"/>
  <c r="L152" i="3"/>
  <c r="J152" i="3"/>
  <c r="P151" i="3" l="1"/>
  <c r="L151" i="3"/>
  <c r="J151" i="3"/>
  <c r="L171" i="3" l="1"/>
  <c r="J171" i="3"/>
  <c r="B171" i="3" l="1"/>
  <c r="B154" i="3" l="1"/>
  <c r="B152" i="3"/>
  <c r="B151" i="3"/>
  <c r="P99" i="3" l="1"/>
  <c r="L99" i="3"/>
  <c r="J99" i="3"/>
  <c r="P150" i="3" l="1"/>
  <c r="L150" i="3"/>
  <c r="J150" i="3"/>
  <c r="P149" i="3" l="1"/>
  <c r="L149" i="3"/>
  <c r="J149" i="3"/>
  <c r="B150" i="3" l="1"/>
  <c r="B149" i="3" l="1"/>
  <c r="J144" i="3" l="1"/>
  <c r="J56" i="3" l="1"/>
  <c r="P56" i="3" l="1"/>
  <c r="P145" i="3" l="1"/>
  <c r="L145" i="3"/>
  <c r="J145" i="3"/>
  <c r="L144" i="3"/>
  <c r="B145" i="3" l="1"/>
  <c r="B144" i="3" l="1"/>
  <c r="P143" i="3" l="1"/>
  <c r="L143" i="3"/>
  <c r="J143" i="3"/>
  <c r="B143" i="3" l="1"/>
  <c r="B165" i="3"/>
  <c r="P141" i="3" l="1"/>
  <c r="L141" i="3"/>
  <c r="J141" i="3"/>
  <c r="B141" i="3" l="1"/>
  <c r="P139" i="3" l="1"/>
  <c r="L139" i="3"/>
  <c r="J139" i="3"/>
  <c r="P17" i="3" l="1"/>
  <c r="L17" i="3"/>
  <c r="J17" i="3"/>
  <c r="P140" i="3" l="1"/>
  <c r="H138" i="3" l="1"/>
  <c r="B6" i="3" l="1"/>
  <c r="J140" i="3" l="1"/>
  <c r="B140" i="3" l="1"/>
  <c r="P138" i="3" l="1"/>
  <c r="L138" i="3"/>
  <c r="J138" i="3"/>
  <c r="P137" i="3"/>
  <c r="L137" i="3"/>
  <c r="J137" i="3"/>
  <c r="B138" i="3" l="1"/>
  <c r="B137" i="3"/>
  <c r="J135" i="3" l="1"/>
  <c r="P10" i="3" l="1"/>
  <c r="P136" i="3" l="1"/>
  <c r="L136" i="3"/>
  <c r="J136" i="3"/>
  <c r="P135" i="3"/>
  <c r="L135" i="3"/>
  <c r="P134" i="3"/>
  <c r="L134" i="3"/>
  <c r="J134" i="3"/>
  <c r="B136" i="3" l="1"/>
  <c r="B135" i="3"/>
  <c r="B134" i="3"/>
  <c r="P128" i="3"/>
  <c r="L128" i="3"/>
  <c r="J128" i="3"/>
  <c r="P127" i="3"/>
  <c r="L127" i="3"/>
  <c r="J127" i="3"/>
  <c r="B128" i="3" l="1"/>
  <c r="B127" i="3" l="1"/>
  <c r="P129" i="3" l="1"/>
  <c r="L129" i="3"/>
  <c r="J129" i="3"/>
  <c r="P130" i="3" l="1"/>
  <c r="P131" i="3"/>
  <c r="P132" i="3"/>
  <c r="L132" i="3"/>
  <c r="J132" i="3"/>
  <c r="L131" i="3"/>
  <c r="J131" i="3"/>
  <c r="L130" i="3"/>
  <c r="J130" i="3"/>
  <c r="P133" i="3" l="1"/>
  <c r="L133" i="3"/>
  <c r="J133" i="3"/>
  <c r="B133" i="3" l="1"/>
  <c r="P102" i="3" l="1"/>
  <c r="L102" i="3"/>
  <c r="J102" i="3"/>
  <c r="P126" i="3" l="1"/>
  <c r="B132" i="3"/>
  <c r="B131" i="3"/>
  <c r="B130" i="3"/>
  <c r="B129" i="3"/>
  <c r="P122" i="3" l="1"/>
  <c r="L122" i="3"/>
  <c r="J122" i="3"/>
  <c r="P123" i="3" l="1"/>
  <c r="L123" i="3"/>
  <c r="J123" i="3"/>
  <c r="B123" i="3" l="1"/>
  <c r="J119" i="3" l="1"/>
  <c r="J118" i="3" l="1"/>
  <c r="P125" i="3" l="1"/>
  <c r="L125" i="3"/>
  <c r="J125" i="3"/>
  <c r="B125" i="3" l="1"/>
  <c r="B122" i="3" l="1"/>
  <c r="L126" i="3"/>
  <c r="J126" i="3"/>
  <c r="B126" i="3" l="1"/>
  <c r="P104" i="3" l="1"/>
  <c r="P103" i="3" l="1"/>
  <c r="J117" i="3" l="1"/>
  <c r="P121" i="3" l="1"/>
  <c r="L121" i="3"/>
  <c r="J121" i="3"/>
  <c r="P120" i="3" l="1"/>
  <c r="L120" i="3"/>
  <c r="J120" i="3"/>
  <c r="L119" i="3"/>
  <c r="L118" i="3"/>
  <c r="L117" i="3"/>
  <c r="B121" i="3" l="1"/>
  <c r="B120" i="3"/>
  <c r="B119" i="3"/>
  <c r="B118" i="3"/>
  <c r="B117" i="3"/>
  <c r="P115" i="3" l="1"/>
  <c r="L115" i="3"/>
  <c r="J115" i="3"/>
  <c r="P116" i="3" l="1"/>
  <c r="L116" i="3"/>
  <c r="J116" i="3"/>
  <c r="B116" i="3" l="1"/>
  <c r="B115" i="3"/>
  <c r="B114" i="3"/>
  <c r="B246" i="6" l="1"/>
  <c r="B245" i="6"/>
  <c r="B244" i="6"/>
  <c r="B243" i="6"/>
  <c r="B242" i="6"/>
  <c r="B241" i="6"/>
  <c r="B240" i="6"/>
  <c r="B239" i="6"/>
  <c r="B238" i="6"/>
  <c r="B237" i="6"/>
  <c r="A236" i="6"/>
  <c r="B234" i="6" l="1"/>
  <c r="R234" i="6"/>
  <c r="B235" i="6"/>
  <c r="R235" i="6"/>
  <c r="B232" i="6"/>
  <c r="B233" i="6"/>
  <c r="B231" i="6"/>
  <c r="B230" i="6"/>
  <c r="B229" i="6"/>
  <c r="B228" i="6"/>
  <c r="B227" i="6"/>
  <c r="B226" i="6"/>
  <c r="B225" i="6"/>
  <c r="O224" i="6"/>
  <c r="I224" i="6"/>
  <c r="B224" i="6"/>
  <c r="B113" i="3" l="1"/>
  <c r="P111" i="3" l="1"/>
  <c r="L111" i="3"/>
  <c r="J111" i="3"/>
  <c r="B111" i="3" l="1"/>
  <c r="P110" i="3" l="1"/>
  <c r="L110" i="3"/>
  <c r="J110" i="3"/>
  <c r="P112" i="3" l="1"/>
  <c r="L112" i="3"/>
  <c r="J112" i="3"/>
  <c r="B112" i="3" l="1"/>
  <c r="P16" i="3" l="1"/>
  <c r="L16" i="3"/>
  <c r="J16" i="3"/>
  <c r="J109" i="3" l="1"/>
  <c r="P97" i="3" l="1"/>
  <c r="L97" i="3"/>
  <c r="J97" i="3"/>
  <c r="B110" i="3" l="1"/>
  <c r="P109" i="3" l="1"/>
  <c r="L109" i="3"/>
  <c r="B109" i="3" l="1"/>
  <c r="L108" i="3" l="1"/>
  <c r="J108" i="3"/>
  <c r="B108" i="3" l="1"/>
  <c r="J104" i="3" l="1"/>
  <c r="J103" i="3" l="1"/>
  <c r="P32" i="3" l="1"/>
  <c r="P106" i="3" l="1"/>
  <c r="L106" i="3"/>
  <c r="J106" i="3"/>
  <c r="P107" i="3" l="1"/>
  <c r="L107" i="3"/>
  <c r="J107" i="3"/>
  <c r="B107" i="3" l="1"/>
  <c r="B106" i="3"/>
  <c r="P105" i="3" l="1"/>
  <c r="L105" i="3"/>
  <c r="J105" i="3"/>
  <c r="L104" i="3"/>
  <c r="L103" i="3"/>
  <c r="P48" i="3" l="1"/>
  <c r="L48" i="3"/>
  <c r="J48" i="3"/>
  <c r="B105" i="3" l="1"/>
  <c r="B104" i="3"/>
  <c r="B103" i="3"/>
  <c r="P100" i="3" l="1"/>
  <c r="L100" i="3"/>
  <c r="J100" i="3"/>
  <c r="P98" i="3" l="1"/>
  <c r="L98" i="3"/>
  <c r="J98" i="3"/>
  <c r="B102" i="3" l="1"/>
  <c r="P93" i="3" l="1"/>
  <c r="L93" i="3"/>
  <c r="J93" i="3"/>
  <c r="P94" i="3" l="1"/>
  <c r="L94" i="3"/>
  <c r="J94" i="3"/>
  <c r="P101" i="3" l="1"/>
  <c r="L101" i="3"/>
  <c r="J101" i="3"/>
  <c r="P62" i="3" l="1"/>
  <c r="P89" i="3" l="1"/>
  <c r="L89" i="3"/>
  <c r="J89" i="3"/>
  <c r="B101" i="3" l="1"/>
  <c r="B99" i="3"/>
  <c r="B98" i="3"/>
  <c r="P13" i="3" l="1"/>
  <c r="L13" i="3"/>
  <c r="J13" i="3"/>
  <c r="B48" i="3" l="1"/>
  <c r="P96" i="3" l="1"/>
  <c r="L96" i="3"/>
  <c r="J96" i="3"/>
  <c r="B94" i="3" l="1"/>
  <c r="J10" i="3" l="1"/>
  <c r="P33" i="3" l="1"/>
  <c r="L33" i="3"/>
  <c r="J33" i="3"/>
  <c r="B33" i="3" l="1"/>
  <c r="P88" i="3" l="1"/>
  <c r="L88" i="3"/>
  <c r="J88" i="3"/>
  <c r="B13" i="3" l="1"/>
  <c r="B88" i="3" l="1"/>
  <c r="P44" i="3" l="1"/>
  <c r="L44" i="3"/>
  <c r="J44" i="3"/>
  <c r="B93" i="3" l="1"/>
  <c r="L62" i="3" l="1"/>
  <c r="J62" i="3"/>
  <c r="B92" i="3" l="1"/>
  <c r="B96" i="3"/>
  <c r="P84" i="3" l="1"/>
  <c r="L84" i="3"/>
  <c r="J84" i="3"/>
  <c r="P79" i="3" l="1"/>
  <c r="L79" i="3"/>
  <c r="J79" i="3"/>
  <c r="P86" i="3" l="1"/>
  <c r="P81" i="3" l="1"/>
  <c r="L81" i="3"/>
  <c r="J81" i="3"/>
  <c r="P53" i="3" l="1"/>
  <c r="L53" i="3"/>
  <c r="J53" i="3"/>
  <c r="L10" i="3" l="1"/>
  <c r="P82" i="3"/>
  <c r="L82" i="3"/>
  <c r="J82" i="3"/>
  <c r="P91" i="3" l="1"/>
  <c r="L91" i="3"/>
  <c r="J91" i="3"/>
  <c r="B91" i="3" l="1"/>
  <c r="B85" i="3" l="1"/>
  <c r="B84" i="3"/>
  <c r="B83" i="3"/>
  <c r="B10" i="3" l="1"/>
  <c r="P30" i="3" l="1"/>
  <c r="L30" i="3"/>
  <c r="J30" i="3"/>
  <c r="P76" i="3" l="1"/>
  <c r="L76" i="3"/>
  <c r="J76" i="3"/>
  <c r="P75" i="3"/>
  <c r="L75" i="3"/>
  <c r="J75" i="3"/>
  <c r="B81" i="3" l="1"/>
  <c r="B80" i="3"/>
  <c r="B79" i="3"/>
  <c r="P80" i="3" l="1"/>
  <c r="L80" i="3"/>
  <c r="J80" i="3"/>
  <c r="P19" i="3" l="1"/>
  <c r="L19" i="3"/>
  <c r="J19" i="3"/>
  <c r="P73" i="3" l="1"/>
  <c r="L73" i="3"/>
  <c r="J73" i="3"/>
  <c r="P78" i="3" l="1"/>
  <c r="L78" i="3"/>
  <c r="J78" i="3"/>
  <c r="L86" i="3" l="1"/>
  <c r="J86" i="3"/>
  <c r="B86" i="3" l="1"/>
  <c r="L68" i="3"/>
  <c r="J68" i="3"/>
  <c r="B68" i="3" l="1"/>
  <c r="B82" i="3" l="1"/>
  <c r="B76" i="3" l="1"/>
  <c r="B53" i="3" l="1"/>
  <c r="B43" i="3"/>
  <c r="B77" i="3"/>
  <c r="P31" i="3" l="1"/>
  <c r="L31" i="3"/>
  <c r="J31" i="3"/>
  <c r="P11" i="3" l="1"/>
  <c r="P69" i="3" l="1"/>
  <c r="L69" i="3"/>
  <c r="J69" i="3"/>
  <c r="P45" i="3" l="1"/>
  <c r="L45" i="3"/>
  <c r="J45" i="3"/>
  <c r="P43" i="3" l="1"/>
  <c r="L43" i="3"/>
  <c r="J43" i="3"/>
  <c r="P77" i="3" l="1"/>
  <c r="L77" i="3"/>
  <c r="J77" i="3"/>
  <c r="B78" i="3" l="1"/>
  <c r="B73" i="3"/>
  <c r="P12" i="3" l="1"/>
  <c r="L12" i="3"/>
  <c r="J12" i="3"/>
  <c r="P87" i="3" l="1"/>
  <c r="L87" i="3"/>
  <c r="J87" i="3"/>
  <c r="B11" i="3" l="1"/>
  <c r="B42" i="3" l="1"/>
  <c r="B37" i="3"/>
  <c r="B22" i="3"/>
  <c r="B21" i="3"/>
  <c r="B223" i="6"/>
  <c r="B222" i="6"/>
  <c r="B221" i="6"/>
  <c r="B220" i="6"/>
  <c r="B219" i="6"/>
  <c r="B218" i="6"/>
  <c r="T218" i="6"/>
  <c r="B215" i="6"/>
  <c r="B216" i="6"/>
  <c r="B217" i="6"/>
  <c r="B214" i="6"/>
  <c r="B213" i="6"/>
  <c r="B212" i="6"/>
  <c r="B210" i="6"/>
  <c r="B211" i="6"/>
  <c r="B207" i="6"/>
  <c r="B208" i="6"/>
  <c r="B209" i="6"/>
  <c r="B205" i="6"/>
  <c r="B200" i="6"/>
  <c r="B201" i="6"/>
  <c r="B202" i="6"/>
  <c r="B203" i="6"/>
  <c r="B204" i="6"/>
  <c r="B199" i="6"/>
  <c r="B198" i="6"/>
  <c r="B197" i="6"/>
  <c r="B196" i="6"/>
  <c r="B195" i="6"/>
  <c r="B194" i="6"/>
  <c r="Q193" i="6"/>
  <c r="K193" i="6"/>
  <c r="B193" i="6"/>
  <c r="B192" i="6"/>
  <c r="B88" i="6"/>
  <c r="B87" i="6"/>
  <c r="B86" i="6"/>
  <c r="B85" i="6"/>
  <c r="B84" i="6"/>
  <c r="B83" i="6"/>
  <c r="B82" i="6"/>
  <c r="B81" i="6"/>
  <c r="B80" i="6"/>
  <c r="B79" i="6"/>
  <c r="B78" i="6"/>
  <c r="B77" i="6"/>
  <c r="B76" i="6"/>
  <c r="B75" i="6"/>
  <c r="B74" i="6"/>
  <c r="B73" i="6"/>
  <c r="T72" i="6"/>
  <c r="B72" i="6"/>
  <c r="T71" i="6"/>
  <c r="B71" i="6"/>
  <c r="B70" i="6"/>
  <c r="B69" i="6"/>
  <c r="B68" i="6"/>
  <c r="B67" i="6"/>
  <c r="B66" i="6"/>
  <c r="B65" i="6"/>
  <c r="B64" i="6"/>
  <c r="B63" i="6"/>
  <c r="B62" i="6"/>
  <c r="B61" i="6"/>
  <c r="B60" i="6"/>
  <c r="B59" i="6"/>
  <c r="B58" i="6"/>
  <c r="B57" i="6"/>
  <c r="B55" i="6"/>
  <c r="B54" i="6"/>
  <c r="B53" i="6"/>
  <c r="B52" i="6"/>
  <c r="B51" i="6"/>
  <c r="B50" i="6"/>
  <c r="B49" i="6"/>
  <c r="B48" i="6"/>
  <c r="B47" i="6"/>
  <c r="B46" i="6"/>
  <c r="B45" i="6"/>
  <c r="B44" i="6"/>
  <c r="B43" i="6"/>
  <c r="B42" i="6"/>
  <c r="B41" i="6"/>
  <c r="B40" i="6"/>
  <c r="B39" i="6"/>
  <c r="B38" i="6"/>
  <c r="B37" i="6"/>
  <c r="B36" i="6"/>
  <c r="B35" i="6"/>
  <c r="B33" i="6"/>
  <c r="B32" i="6"/>
  <c r="B31" i="6"/>
  <c r="B30" i="6"/>
  <c r="B29" i="6"/>
  <c r="B28" i="6"/>
  <c r="B27" i="6"/>
  <c r="B26" i="6"/>
  <c r="B24" i="6"/>
  <c r="B23" i="6"/>
  <c r="B22" i="6"/>
  <c r="B21" i="6"/>
  <c r="B20" i="6"/>
  <c r="B19" i="6"/>
  <c r="T17" i="6"/>
  <c r="B17" i="6"/>
  <c r="B16" i="6"/>
  <c r="B15" i="6"/>
  <c r="B14" i="6"/>
  <c r="B13" i="6"/>
  <c r="B12" i="6"/>
  <c r="B11" i="6"/>
  <c r="B10" i="6"/>
  <c r="B45" i="3" l="1"/>
  <c r="P71" i="3" l="1"/>
  <c r="L71" i="3"/>
  <c r="J71" i="3"/>
  <c r="B71" i="3" l="1"/>
  <c r="P72" i="3" l="1"/>
  <c r="L72" i="3"/>
  <c r="J72" i="3"/>
  <c r="P70" i="3"/>
  <c r="L70" i="3"/>
  <c r="J70" i="3"/>
  <c r="P35" i="3" l="1"/>
  <c r="B72" i="3"/>
  <c r="B70" i="3"/>
  <c r="B8" i="3"/>
  <c r="P64" i="3" l="1"/>
  <c r="L64" i="3"/>
  <c r="J64" i="3"/>
  <c r="J67" i="3" l="1"/>
  <c r="J59" i="3" l="1"/>
  <c r="B66" i="3" l="1"/>
  <c r="P67" i="3" l="1"/>
  <c r="L67" i="3"/>
  <c r="P63" i="3"/>
  <c r="L63" i="3"/>
  <c r="J63" i="3"/>
  <c r="P61" i="3"/>
  <c r="L61" i="3"/>
  <c r="J61" i="3"/>
  <c r="P60" i="3"/>
  <c r="L60" i="3"/>
  <c r="J60" i="3"/>
  <c r="P59" i="3"/>
  <c r="L59" i="3"/>
  <c r="B67" i="3" l="1"/>
  <c r="P65" i="3" l="1"/>
  <c r="B64" i="3" l="1"/>
  <c r="B63" i="3"/>
  <c r="B62" i="3"/>
  <c r="B61" i="3"/>
  <c r="B59" i="3" l="1"/>
  <c r="B60" i="3" l="1"/>
  <c r="H58" i="3" l="1"/>
  <c r="P58" i="3"/>
  <c r="L58" i="3"/>
  <c r="J58" i="3"/>
  <c r="L57" i="3"/>
  <c r="J57" i="3"/>
  <c r="L56" i="3"/>
  <c r="L55" i="3"/>
  <c r="J55" i="3"/>
  <c r="B58" i="3" l="1"/>
  <c r="B57" i="3"/>
  <c r="B56" i="3"/>
  <c r="B55" i="3"/>
  <c r="P50" i="3" l="1"/>
  <c r="L51" i="3" l="1"/>
  <c r="J51" i="3"/>
  <c r="B51" i="3" l="1"/>
  <c r="B52" i="3" l="1"/>
  <c r="L50" i="3" l="1"/>
  <c r="J50" i="3"/>
  <c r="B54" i="3" l="1"/>
  <c r="P6" i="3" l="1"/>
  <c r="L6" i="3"/>
  <c r="J6" i="3"/>
  <c r="P90" i="3" l="1"/>
  <c r="L90" i="3"/>
  <c r="J90" i="3"/>
  <c r="B50" i="3" l="1"/>
  <c r="B49" i="3"/>
  <c r="B90" i="3"/>
  <c r="P47" i="3" l="1"/>
  <c r="L47" i="3"/>
  <c r="J47" i="3"/>
  <c r="L40" i="3" l="1"/>
  <c r="B47" i="3" l="1"/>
  <c r="U218" i="6" l="1"/>
  <c r="U223" i="6"/>
  <c r="U219" i="6"/>
  <c r="U221" i="6"/>
  <c r="U220" i="6"/>
  <c r="U222" i="6"/>
  <c r="U214" i="6"/>
  <c r="U215" i="6"/>
  <c r="U216" i="6"/>
  <c r="U217" i="6"/>
  <c r="U212" i="6"/>
  <c r="U213" i="6"/>
  <c r="U210" i="6"/>
  <c r="U211" i="6"/>
  <c r="U207" i="6"/>
  <c r="U208" i="6"/>
  <c r="U209" i="6"/>
  <c r="U205" i="6"/>
  <c r="U206" i="6"/>
  <c r="U202" i="6"/>
  <c r="U200" i="6"/>
  <c r="U204" i="6"/>
  <c r="U201" i="6"/>
  <c r="U203" i="6"/>
  <c r="U199" i="6"/>
  <c r="U195" i="6"/>
  <c r="U198" i="6"/>
  <c r="U194" i="6"/>
  <c r="U197" i="6"/>
  <c r="U196" i="6"/>
  <c r="U192" i="6"/>
  <c r="U193" i="6"/>
  <c r="U88" i="6"/>
  <c r="U87" i="6"/>
  <c r="U86" i="6"/>
  <c r="U84" i="6"/>
  <c r="U85" i="6"/>
  <c r="U83" i="6"/>
  <c r="U82" i="6"/>
  <c r="U80" i="6"/>
  <c r="U81" i="6"/>
  <c r="U79" i="6"/>
  <c r="U78" i="6"/>
  <c r="U77" i="6"/>
  <c r="U73" i="6"/>
  <c r="U76" i="6"/>
  <c r="U75" i="6"/>
  <c r="U74" i="6"/>
  <c r="U72" i="6"/>
  <c r="U71" i="6"/>
  <c r="U70" i="6"/>
  <c r="U69" i="6"/>
  <c r="U68" i="6"/>
  <c r="U67" i="6"/>
  <c r="U66" i="6"/>
  <c r="U63" i="6"/>
  <c r="U65" i="6"/>
  <c r="U64" i="6"/>
  <c r="U62" i="6"/>
  <c r="U58" i="6"/>
  <c r="U61" i="6"/>
  <c r="U55" i="6"/>
  <c r="U59" i="6"/>
  <c r="U53" i="6"/>
  <c r="U57" i="6"/>
  <c r="U54" i="6"/>
  <c r="U60" i="6"/>
  <c r="U56" i="6"/>
  <c r="U52" i="6"/>
  <c r="U48" i="6"/>
  <c r="U44" i="6"/>
  <c r="U50" i="6"/>
  <c r="U49" i="6"/>
  <c r="U51" i="6"/>
  <c r="U47" i="6"/>
  <c r="U43" i="6"/>
  <c r="U46" i="6"/>
  <c r="U45" i="6"/>
  <c r="U32" i="6"/>
  <c r="U42" i="6"/>
  <c r="U38" i="6"/>
  <c r="U34" i="6"/>
  <c r="U37" i="6"/>
  <c r="U33" i="6"/>
  <c r="U41" i="6"/>
  <c r="U40" i="6"/>
  <c r="U36" i="6"/>
  <c r="U39" i="6"/>
  <c r="U35" i="6"/>
  <c r="U28" i="6"/>
  <c r="U31" i="6"/>
  <c r="U29" i="6"/>
  <c r="U30" i="6"/>
  <c r="U25" i="6"/>
  <c r="U27" i="6"/>
  <c r="U26" i="6"/>
  <c r="U22" i="6"/>
  <c r="U23" i="6"/>
  <c r="U24" i="6"/>
  <c r="U20" i="6"/>
  <c r="U21" i="6"/>
  <c r="U17" i="6"/>
  <c r="U19" i="6"/>
  <c r="U18" i="6"/>
  <c r="U15" i="6"/>
  <c r="U16" i="6"/>
  <c r="U13" i="6"/>
  <c r="U14" i="6"/>
  <c r="U10" i="6"/>
  <c r="U12" i="6"/>
  <c r="U11" i="6"/>
  <c r="B44" i="3" l="1"/>
  <c r="L35" i="3" l="1"/>
  <c r="L41" i="3" l="1"/>
  <c r="J41" i="3"/>
  <c r="B41" i="3" l="1"/>
  <c r="J40" i="3" l="1"/>
  <c r="P39" i="3"/>
  <c r="L39" i="3"/>
  <c r="J39" i="3"/>
  <c r="B40" i="3" l="1"/>
  <c r="L65" i="3" l="1"/>
  <c r="J65" i="3"/>
  <c r="L32" i="3" l="1"/>
  <c r="P36" i="3" l="1"/>
  <c r="L36" i="3"/>
  <c r="J36" i="3"/>
  <c r="L46" i="3" l="1"/>
  <c r="J46" i="3"/>
  <c r="L11" i="3" l="1"/>
  <c r="J11" i="3"/>
  <c r="B46" i="3" l="1"/>
  <c r="L34" i="3" l="1"/>
  <c r="J34" i="3"/>
  <c r="P25" i="3" l="1"/>
  <c r="L25" i="3"/>
  <c r="J25" i="3"/>
  <c r="P26" i="3" l="1"/>
  <c r="L26" i="3"/>
  <c r="J26" i="3"/>
  <c r="P29" i="3" l="1"/>
  <c r="L29" i="3"/>
  <c r="J29" i="3"/>
  <c r="P28" i="3" l="1"/>
  <c r="L28" i="3"/>
  <c r="J28" i="3"/>
  <c r="B39" i="3" l="1"/>
  <c r="B38" i="3"/>
  <c r="B34" i="3"/>
  <c r="B35" i="3"/>
  <c r="B36" i="3"/>
  <c r="P18" i="3" l="1"/>
  <c r="J18" i="3"/>
  <c r="P38" i="3" l="1"/>
  <c r="J38" i="3" l="1"/>
  <c r="P7" i="3" l="1"/>
  <c r="J7" i="3"/>
  <c r="J35" i="3" l="1"/>
  <c r="P37" i="3" l="1"/>
  <c r="E388" i="3"/>
  <c r="P3" i="3" l="1"/>
  <c r="J37" i="3"/>
  <c r="E389" i="3"/>
  <c r="B89" i="3" l="1"/>
  <c r="E393" i="3"/>
  <c r="E391" i="3"/>
  <c r="E396" i="3"/>
  <c r="E392" i="3"/>
  <c r="E394" i="3"/>
  <c r="E395" i="3"/>
  <c r="E397" i="3"/>
  <c r="E390" i="3"/>
  <c r="B31" i="3" l="1"/>
  <c r="B29" i="3" l="1"/>
  <c r="B28" i="3"/>
  <c r="B27" i="3" l="1"/>
  <c r="B26" i="3" l="1"/>
  <c r="B97" i="3" l="1"/>
  <c r="B25" i="3" l="1"/>
  <c r="B24" i="3"/>
  <c r="B18" i="3" l="1"/>
  <c r="B11" i="4" l="1"/>
  <c r="B10" i="4"/>
  <c r="B9" i="4"/>
  <c r="B8" i="4"/>
  <c r="B7" i="4"/>
  <c r="B15" i="3" l="1"/>
  <c r="B12" i="3"/>
  <c r="B14" i="3"/>
  <c r="B65" i="3" l="1"/>
  <c r="B32" i="3" l="1"/>
  <c r="B17" i="3" l="1"/>
  <c r="B87" i="3" l="1"/>
  <c r="B74" i="3" l="1"/>
  <c r="B7" i="3"/>
  <c r="B23" i="3"/>
  <c r="B160" i="3"/>
</calcChain>
</file>

<file path=xl/comments1.xml><?xml version="1.0" encoding="utf-8"?>
<comments xmlns="http://schemas.openxmlformats.org/spreadsheetml/2006/main">
  <authors>
    <author>Skripnik</author>
  </authors>
  <commentList>
    <comment ref="B4" authorId="0" shapeId="0">
      <text>
        <r>
          <rPr>
            <b/>
            <sz val="9"/>
            <color indexed="81"/>
            <rFont val="Tahoma"/>
            <family val="2"/>
            <charset val="204"/>
          </rPr>
          <t>Skripnik:</t>
        </r>
        <r>
          <rPr>
            <sz val="9"/>
            <color indexed="81"/>
            <rFont val="Tahoma"/>
            <family val="2"/>
            <charset val="204"/>
          </rPr>
          <t xml:space="preserve">
адрес файла из которого читаются ТКП</t>
        </r>
      </text>
    </comment>
    <comment ref="J4" authorId="0" shapeId="0">
      <text>
        <r>
          <rPr>
            <b/>
            <sz val="9"/>
            <color indexed="81"/>
            <rFont val="Tahoma"/>
            <family val="2"/>
            <charset val="204"/>
          </rPr>
          <t>Skripnik:</t>
        </r>
        <r>
          <rPr>
            <sz val="9"/>
            <color indexed="81"/>
            <rFont val="Tahoma"/>
            <family val="2"/>
            <charset val="204"/>
          </rPr>
          <t xml:space="preserve">
Skripnik:
есои дата в первой строке коментария больше чем дата в c_date комент попадает в сводку</t>
        </r>
      </text>
    </comment>
    <comment ref="K5" authorId="0" shapeId="0">
      <text>
        <r>
          <rPr>
            <b/>
            <sz val="9"/>
            <color indexed="81"/>
            <rFont val="Tahoma"/>
            <family val="2"/>
            <charset val="204"/>
          </rPr>
          <t>Skripnik:</t>
        </r>
        <r>
          <rPr>
            <sz val="9"/>
            <color indexed="81"/>
            <rFont val="Tahoma"/>
            <family val="2"/>
            <charset val="204"/>
          </rPr>
          <t xml:space="preserve">
Отдел маркетинга</t>
        </r>
      </text>
    </comment>
    <comment ref="L5" authorId="0" shapeId="0">
      <text>
        <r>
          <rPr>
            <b/>
            <sz val="9"/>
            <color indexed="81"/>
            <rFont val="Tahoma"/>
            <family val="2"/>
            <charset val="204"/>
          </rPr>
          <t>Skripnik:</t>
        </r>
        <r>
          <rPr>
            <sz val="9"/>
            <color indexed="81"/>
            <rFont val="Tahoma"/>
            <family val="2"/>
            <charset val="204"/>
          </rPr>
          <t xml:space="preserve">
СИР - система измерения и регистрации (типовая)
БМП - типовая БМП (PXI)
Серия - заказ с минимальной проработкой
Проектирования - система с высокой долей участия ТР
Мониторинг - система длительного мониторинга
Борт - автономные регистраторы/ жесткие условия
СУ - система управления
АСУ ТП - система управления на PLC
Тензостатика - mr212/ mic-185
Генподряд - проектирование/ стройка/ работа с поставщиками спец оборудования и работ
ПО - заказ близкий к серии, но требуется разработка ПО</t>
        </r>
      </text>
    </comment>
    <comment ref="I24" authorId="0" shapeId="0">
      <text>
        <r>
          <rPr>
            <b/>
            <sz val="9"/>
            <color indexed="81"/>
            <rFont val="Tahoma"/>
            <family val="2"/>
            <charset val="204"/>
          </rPr>
          <t>Skripnik:</t>
        </r>
        <r>
          <rPr>
            <sz val="9"/>
            <color indexed="81"/>
            <rFont val="Tahoma"/>
            <family val="2"/>
            <charset val="204"/>
          </rPr>
          <t xml:space="preserve">
Мелихов</t>
        </r>
      </text>
    </comment>
    <comment ref="D34" authorId="0" shapeId="0">
      <text>
        <r>
          <rPr>
            <sz val="9"/>
            <color indexed="81"/>
            <rFont val="Tahoma"/>
            <family val="2"/>
            <charset val="204"/>
          </rPr>
          <t>\\fserv\e\MERA\TKP\TKP2023\in2023\ООО\401-Сныгина (ООО).pdf_x000D_
\\fserv\e\MERA\TKP\TKP2023\in2023\ООО\401-Сныгина (ООО).pdf_x000D_
\\fserv\e\MERA\TKP\TKP2023\in2023\пак\401-Пак (ООО).pdf</t>
        </r>
      </text>
    </comment>
  </commentList>
</comments>
</file>

<file path=xl/comments2.xml><?xml version="1.0" encoding="utf-8"?>
<comments xmlns="http://schemas.openxmlformats.org/spreadsheetml/2006/main">
  <authors>
    <author>Skripnik</author>
  </authors>
  <commentList>
    <comment ref="G206" authorId="0" shapeId="0">
      <text>
        <r>
          <rPr>
            <b/>
            <sz val="9"/>
            <color indexed="81"/>
            <rFont val="Tahoma"/>
            <family val="2"/>
            <charset val="204"/>
          </rPr>
          <t>Skripnik:</t>
        </r>
        <r>
          <rPr>
            <sz val="9"/>
            <color indexed="81"/>
            <rFont val="Tahoma"/>
            <family val="2"/>
            <charset val="204"/>
          </rPr>
          <t xml:space="preserve">
цену не просчитывали</t>
        </r>
      </text>
    </comment>
  </commentList>
</comments>
</file>

<file path=xl/sharedStrings.xml><?xml version="1.0" encoding="utf-8"?>
<sst xmlns="http://schemas.openxmlformats.org/spreadsheetml/2006/main" count="3448" uniqueCount="2306">
  <si>
    <t>№</t>
  </si>
  <si>
    <t>Заказчик</t>
  </si>
  <si>
    <t>Сумма</t>
  </si>
  <si>
    <t>НПО Машиностроения</t>
  </si>
  <si>
    <t>КБХМ</t>
  </si>
  <si>
    <t>Центр Келдыша</t>
  </si>
  <si>
    <t>ЦНИИМАШ</t>
  </si>
  <si>
    <t>Винтай</t>
  </si>
  <si>
    <t>ЦИАМ</t>
  </si>
  <si>
    <t>НПОА</t>
  </si>
  <si>
    <t>схема</t>
  </si>
  <si>
    <t>Энергия</t>
  </si>
  <si>
    <t>Схема</t>
  </si>
  <si>
    <t>tkp2020_028_НПО_машиностроения_MIC-355M_WinПОС</t>
  </si>
  <si>
    <t>РП</t>
  </si>
  <si>
    <t>АО Авиадвигатель</t>
  </si>
  <si>
    <t>Агат</t>
  </si>
  <si>
    <t>tkp2020_065_Моторный стенд Агат</t>
  </si>
  <si>
    <t>НПО Лавочкина</t>
  </si>
  <si>
    <t>tkp2020_066_3 мини стенда из статзала_Моторный стенд Авиадвигатель</t>
  </si>
  <si>
    <t>НИЦ РКП</t>
  </si>
  <si>
    <t>ТЗ</t>
  </si>
  <si>
    <t>Примечание</t>
  </si>
  <si>
    <t>№ ТКП</t>
  </si>
  <si>
    <t>Наименование системы</t>
  </si>
  <si>
    <t>КСТ-5.1</t>
  </si>
  <si>
    <t>tkp2020_029 Агрегатные стенды 
ранее - tkp2018_229</t>
  </si>
  <si>
    <t>Kingsly</t>
  </si>
  <si>
    <t>tkp2020_109_Mic1150</t>
  </si>
  <si>
    <t>Лунин</t>
  </si>
  <si>
    <t>Комментарии</t>
  </si>
  <si>
    <t>028_20</t>
  </si>
  <si>
    <t>109_20</t>
  </si>
  <si>
    <t>029_20</t>
  </si>
  <si>
    <t>066_20</t>
  </si>
  <si>
    <t>116_20</t>
  </si>
  <si>
    <t>065_20</t>
  </si>
  <si>
    <t>576_19
022_20</t>
  </si>
  <si>
    <t>Состав</t>
  </si>
  <si>
    <t>Скрипник Ар</t>
  </si>
  <si>
    <t>245_20</t>
  </si>
  <si>
    <t>НПП Старт</t>
  </si>
  <si>
    <t>17.01.20 - запрос расписан через офис
17.01.20 - стоимость датчиков по телефону
20.01.20 - ТКП направлено Заказчику + письмо о ед. поставщике исх. №28 от 20.01.20</t>
  </si>
  <si>
    <t>24.01.2020 (В. Пак) - запрос расписан через офис
- ИД переданы Иванову для проработки;
- КП передано Иванову 03.03.20 
- отправлено Заказчику</t>
  </si>
  <si>
    <t>16.01.20 - принято в работу.
17.01.20 - актуализация старого ТКП. Сделан запрос цен Лисейкину на СУ.
29.01.20-отдано на согласование Иванову К.
30.01.20 - отправлено Заказчику (исх 149/1 от 30.01.20 АО)</t>
  </si>
  <si>
    <t>083_20</t>
  </si>
  <si>
    <t>Динамика 13 стенд ПД-8</t>
  </si>
  <si>
    <t>ОДК Сатурн</t>
  </si>
  <si>
    <t>Аэросила</t>
  </si>
  <si>
    <t>-</t>
  </si>
  <si>
    <t>MIC-185, MIC-236</t>
  </si>
  <si>
    <t>MIC-026</t>
  </si>
  <si>
    <t>Воткинский завод</t>
  </si>
  <si>
    <t>КИВИИС-2</t>
  </si>
  <si>
    <t>Коршунов</t>
  </si>
  <si>
    <t>MIC-200</t>
  </si>
  <si>
    <t>MIC-236</t>
  </si>
  <si>
    <t>измерительная система</t>
  </si>
  <si>
    <t>Уралвагонзавод</t>
  </si>
  <si>
    <t>MIC-553</t>
  </si>
  <si>
    <t>ОКБМ Африкантов</t>
  </si>
  <si>
    <t>366_20</t>
  </si>
  <si>
    <t>НПО Автоматики</t>
  </si>
  <si>
    <t>КСТ-1, ЦТМИ</t>
  </si>
  <si>
    <t>MIC-185</t>
  </si>
  <si>
    <t>Скрипник Ай</t>
  </si>
  <si>
    <t>Стифутин</t>
  </si>
  <si>
    <t>038_20</t>
  </si>
  <si>
    <t>MIC-335M</t>
  </si>
  <si>
    <t>ОДК-ПМ</t>
  </si>
  <si>
    <t>кабели</t>
  </si>
  <si>
    <t>MIC-355</t>
  </si>
  <si>
    <t>22.01.20 - запрос по e-mail
22.01.20 - ТКП направлено Заказчику</t>
  </si>
  <si>
    <t>Кронштадт</t>
  </si>
  <si>
    <t>ИВК</t>
  </si>
  <si>
    <t>РКЦ Прогресс</t>
  </si>
  <si>
    <t>454_20</t>
  </si>
  <si>
    <t>Уфа-АвиаГаз</t>
  </si>
  <si>
    <t>Силовые машины</t>
  </si>
  <si>
    <t>АО "Кронштадт"</t>
  </si>
  <si>
    <t>АСУТП</t>
  </si>
  <si>
    <t>Номер
заказа</t>
  </si>
  <si>
    <t>Вибромониторинг</t>
  </si>
  <si>
    <t>СУОСК СИ
Вишев</t>
  </si>
  <si>
    <t>51 счет</t>
  </si>
  <si>
    <t>оборудование</t>
  </si>
  <si>
    <t>измерительный комплекс</t>
  </si>
  <si>
    <t>ТЗ_МЕРА</t>
  </si>
  <si>
    <t>Лазарев</t>
  </si>
  <si>
    <t>Список ТКП и заказов по группе РСС</t>
  </si>
  <si>
    <t>MIC-1500</t>
  </si>
  <si>
    <t>АО Кронштадт</t>
  </si>
  <si>
    <t>Силаев</t>
  </si>
  <si>
    <t xml:space="preserve">13.12.19 - запрос расписан через офис
13.12.19 - принято в работу. Формирую ТКП на 2020 г.
23.12.19 - заявка и ТКП на согласовании.
26.12.19 - согласовано с В. Паком.
27.12.19 - ТКП согласовано с Семиным. Заявка направлена в дог. группу (Токмаковой Наталье)
13.01.20 - договор правится А. Игошкиным. Завтра будет дан ответ о направлении проекта договора.
14.01.20 - дан ответ (исх. 40 от 14.01.2020 г.)
</t>
  </si>
  <si>
    <t>15.09.20-запрос расписан через офис
- отправлено Заказчику, исх. 1525
- согласование ТЗ (02.11.2020)
- направляем Жука ТКП на 22.5млн, а он в генподряд (12.11.2020 АСт)
- отправлено письмо что не беремся за весь объем, исх. 1862</t>
  </si>
  <si>
    <t>АСПУ КДУ</t>
  </si>
  <si>
    <t>005_21</t>
  </si>
  <si>
    <t>система измерений универсального стенда</t>
  </si>
  <si>
    <t>ФЦДТ СОЮЗ ФГУП</t>
  </si>
  <si>
    <t>17.12.20-запрос расписан через офис
- передано в РСС, 11.01.21</t>
  </si>
  <si>
    <t>007_21</t>
  </si>
  <si>
    <t>комплектующие</t>
  </si>
  <si>
    <t>ПТ Групп</t>
  </si>
  <si>
    <t>002_21</t>
  </si>
  <si>
    <t>Авиадвигатель</t>
  </si>
  <si>
    <t>11.01.21-запрос расписан через офис
11.01.21 - ИД направлены С.Кузянову
12.01.21 - ИД направлены Попову</t>
  </si>
  <si>
    <t>571_20</t>
  </si>
  <si>
    <t>ФГУП "ЦИАМ"</t>
  </si>
  <si>
    <t>14.01.21-оплата</t>
  </si>
  <si>
    <t>602_20</t>
  </si>
  <si>
    <t>MIC-335</t>
  </si>
  <si>
    <t>035_20</t>
  </si>
  <si>
    <t>MIC-036</t>
  </si>
  <si>
    <t>СКБ Турбина</t>
  </si>
  <si>
    <t>телеметрическая система</t>
  </si>
  <si>
    <t>ОДК Климов</t>
  </si>
  <si>
    <t>065_21</t>
  </si>
  <si>
    <t>АИС</t>
  </si>
  <si>
    <t>ИЦ ОРГРЭС</t>
  </si>
  <si>
    <t>03.02.21-запрос расписан через офис
03.02.21 - ИД направлены А.Стифутину
05.02.21 - отказ?</t>
  </si>
  <si>
    <t>075_21</t>
  </si>
  <si>
    <t>стенд</t>
  </si>
  <si>
    <t>ЭЛЗА</t>
  </si>
  <si>
    <t>05.02.21-запрос расписан через офис
08.02.21 - ИД направлены в РСС
15.02.21 - ТКП направлено Заказчику</t>
  </si>
  <si>
    <t>090_21</t>
  </si>
  <si>
    <t>ФМКБ Горизонт</t>
  </si>
  <si>
    <t>12.02.21-запрос расписан через офис
12.02.21 - ТКП на согласовании у А. Стифутина</t>
  </si>
  <si>
    <t>011_21</t>
  </si>
  <si>
    <t>MIC-036, 224, 200</t>
  </si>
  <si>
    <t>ГКНПЦ им. М.В. Хруничева</t>
  </si>
  <si>
    <t>26.01.21 - уточнение от Заказчика в рабочем порядке на прошлогоднее письмо
27.01.21 - согласовано (Стифутин, Пак)
29.01.21 - отправлено Заказчику (исх 46 ООО)</t>
  </si>
  <si>
    <t>013_21</t>
  </si>
  <si>
    <t>НДС трубопровода</t>
  </si>
  <si>
    <t>ООО Вестерос</t>
  </si>
  <si>
    <t>019_21</t>
  </si>
  <si>
    <t>ВК-3</t>
  </si>
  <si>
    <t>18.01.21-запрос расписан через офис
18.01.21 - направлен запрос 4м группам
25.01.21 - взяла в работу РСС
27.01.21 - РСС отказывается от проработки
Направлено отказное электронное письмо.</t>
  </si>
  <si>
    <t>Миль и Камов</t>
  </si>
  <si>
    <t>Завод №9</t>
  </si>
  <si>
    <t>061_21</t>
  </si>
  <si>
    <t>Ц-3,Ц-4,Ц-5</t>
  </si>
  <si>
    <t>03.02.21-запрос от Скрипника Ал-ра
Ц-3 исправлено
Ц-4Н исправлено
Ц-5 исправлено
-на согласовании у Скрипника А-ра
08.02.21 отправлено на проверку
09.02.21 у Сёмина А.</t>
  </si>
  <si>
    <t>062_21</t>
  </si>
  <si>
    <t>Пульт Ц-2</t>
  </si>
  <si>
    <t>03.02.21-запрос от Скрипника Ал-ра
08.02.21-отправлено на проверку
09.02.21 у Сёмина А.</t>
  </si>
  <si>
    <t>063_21</t>
  </si>
  <si>
    <t>Ц-17ГЗ</t>
  </si>
  <si>
    <t>03.02.21-запрос от Скрипника Ал-ра
08.02.21отправлено на проверку
09.02.21  у Сёмина А.</t>
  </si>
  <si>
    <t>095_21</t>
  </si>
  <si>
    <t>15.02.21-запрос расписан через офис</t>
  </si>
  <si>
    <t>052_21</t>
  </si>
  <si>
    <t>СУ-267</t>
  </si>
  <si>
    <t>27.01.21-запрос расписан через офис
- ответ направлен Заказчику</t>
  </si>
  <si>
    <t>061_21
062_21
063_21</t>
  </si>
  <si>
    <t>Ц-3,Ц-4,Ц-5
Пульт Ц-2
Ц-17ГЗ</t>
  </si>
  <si>
    <t>072_21</t>
  </si>
  <si>
    <t>03.03.21-запрос расписан через офис
- отправлено Заказчику, исх. 389</t>
  </si>
  <si>
    <t>079_21</t>
  </si>
  <si>
    <t>Система измерений объема баков</t>
  </si>
  <si>
    <t>02.02.21-запрос расписан через офис
02.02.21 - ТЗ на рассмотрении у Стифутина
15.02.21 - на сегодняшний день ИД от РСС не поступили
04.03.21 - отказное письмо на подписи у Пака
Отправлено Заказчику (исх 385 АО)</t>
  </si>
  <si>
    <t>084_21</t>
  </si>
  <si>
    <t>10.02.21-Запрос расписан через офис
17.02.21 - ТКП на согласовании у Стифутина. Согласовано
18.02.21 - ТКП подписано (Пак). Отправлено Заказчику (исх 104 ООО)</t>
  </si>
  <si>
    <t>099_21</t>
  </si>
  <si>
    <t>Техприбор</t>
  </si>
  <si>
    <t>117_21</t>
  </si>
  <si>
    <t>Пермский пороховой завод</t>
  </si>
  <si>
    <t>25.02.21-запрос пришел по почте
-на согласовании с В. Паком
26.02.21-на согласовании с А. Сёминым
-ткп отправлено заказчику</t>
  </si>
  <si>
    <t>128_21</t>
  </si>
  <si>
    <t>измерительные комплексы</t>
  </si>
  <si>
    <t>02.03.21-запрос расписан через офис
03.03.21 - запрос направлен в 4 группы</t>
  </si>
  <si>
    <t>035_21</t>
  </si>
  <si>
    <t>25.01.21-запрос расписан через офис
26.01.21 - ТКП у А.Стифутина,
05.02.21 - см. до 09.02.21
16.02.21 - ТКП у В.Пака
17.02.21 - ТКП и ТЗ с нашими  исправлениями направлено Заказчику</t>
  </si>
  <si>
    <t>047_21</t>
  </si>
  <si>
    <t>01.02.21-запрос расписан через офис
01.02.21 - ТЗ направлено С.Кузянову. Заказчику направлены замечания по ТЗ
- ИД направлены РСС
05.02.21 - недостаточно ИД, ждем ответ на замечания
09.02.21 - получено уточненное ТЗ
18.02.21 - ТКП у Скрипника
04.03.21 -согласовано Скрипником Ай
10.03.21 - согласовано Кузяновым С.
10.03.21 - ТКП у В.Пака
12.03.21 - ТКП с сопроводом у А.Семина, направлено Заказчику через А.Семина</t>
  </si>
  <si>
    <t>032_21</t>
  </si>
  <si>
    <t>тензометрическая многоканальная система</t>
  </si>
  <si>
    <t>151_21</t>
  </si>
  <si>
    <t>СоюзпромНИИпроект</t>
  </si>
  <si>
    <t>15.03.21-запрос расписан через офис
26.03.21 - ИД направлены в РСС
30.03.21 - ТКП у А.Стифутина
01.04.21 - ТКП у А.Семина, жду решения по цене
05.04.21 - ТКП направлено Заказчику исх. 199 (ООО)</t>
  </si>
  <si>
    <t>141_21</t>
  </si>
  <si>
    <t>Стенд силовых нагружений</t>
  </si>
  <si>
    <t>134_21</t>
  </si>
  <si>
    <t>Насосная гидравлическая станция</t>
  </si>
  <si>
    <t>05.03.21-запрос расписан через офис
09.03.21 - согласовано Стифутин.
10.03.21 - утверждено: Семин.
Отправлено Заказчику (исх 405 АО)</t>
  </si>
  <si>
    <t>018_21</t>
  </si>
  <si>
    <t>ПО на автоматизацию поверки MIC</t>
  </si>
  <si>
    <t>182_21</t>
  </si>
  <si>
    <t>доработка ПО стенда стат.испытаний</t>
  </si>
  <si>
    <t>ОДК Авиадвигатель</t>
  </si>
  <si>
    <t>24.03.21-запрос расписан через офис
29.03.21 - ТЗ направлено в ЦР через Redmine</t>
  </si>
  <si>
    <t>174_21</t>
  </si>
  <si>
    <t>измерительное оборудование</t>
  </si>
  <si>
    <t>25.03.21-запрос расписан через офис
30.03.21 - ИД от Скрипника Ал-ра получены.</t>
  </si>
  <si>
    <t>205_21</t>
  </si>
  <si>
    <t>КСТ-2</t>
  </si>
  <si>
    <t>29.03.21-запрос расписан через офис
06.04.21 - направлено письмо о резервировании счета (исх 604 АО)</t>
  </si>
  <si>
    <t>03.02.21-запрос от Скрипника Ал-ра
Ц-3 исправлено
Ц-4Н исправлено
Ц-5 исправлено
-на согласовании у Скрипника А-ра
08.02.21 отправлено на проверку
09.02.21 у Сёмина А.
-необходим разговор с А-ром Скрипником
-не актуально для заказчика</t>
  </si>
  <si>
    <t>140_21</t>
  </si>
  <si>
    <t>УКБТМ</t>
  </si>
  <si>
    <t>11.03.21-запрос расписан через офис
необходима консультация Скрипника А-ем(Согласовано)
-на согласовании с Паком В.В.(2 версии)</t>
  </si>
  <si>
    <t>266_20</t>
  </si>
  <si>
    <t>система измерений деформации</t>
  </si>
  <si>
    <t>ОДК УМПО</t>
  </si>
  <si>
    <t>16.03.21- оплата</t>
  </si>
  <si>
    <t>487_20</t>
  </si>
  <si>
    <t>УЗГА</t>
  </si>
  <si>
    <t>202_21</t>
  </si>
  <si>
    <t>ОДК Кузнецов</t>
  </si>
  <si>
    <t>05.04.21-запрос расписан через офис
-запрос направлен в РСС</t>
  </si>
  <si>
    <t>168_21</t>
  </si>
  <si>
    <t>173_21</t>
  </si>
  <si>
    <t>доработка установки У5-ЛК в части ИВК</t>
  </si>
  <si>
    <t>ОДК-Сатурн</t>
  </si>
  <si>
    <t>25.03.21-запрос расписан через офис
25.03.21 - ТЗ направлено в РСС
07.04.21 - ТКП направлено Заказчику исх. 629 (АО)</t>
  </si>
  <si>
    <t>208_21</t>
  </si>
  <si>
    <t>08.04.21-запрос расписан через офис
14.04.21 - ТКП направлено Заказчику</t>
  </si>
  <si>
    <t>228_21</t>
  </si>
  <si>
    <t>Измерительный комплекс для лабораторной</t>
  </si>
  <si>
    <t>Норильский Государственный индустриальный институт</t>
  </si>
  <si>
    <t>19.04.21-запрос расписан через офис
- ИД направлены в РСС
28.04.21 - ТКП направлено Заказчику</t>
  </si>
  <si>
    <t>234_21</t>
  </si>
  <si>
    <t>ЧПО им.Чапаева</t>
  </si>
  <si>
    <t>20.04.21-запрос расписан через офис
21.04.21 - ТКП направлено Заказчику</t>
  </si>
  <si>
    <t>207_21</t>
  </si>
  <si>
    <t>Кабели</t>
  </si>
  <si>
    <t>08.04.21-запрос расписан через офис
12.04.21 - направлено в ПТЦ для согласования срока
22.04.21 - срок согласован. Отправлено Заказчику по электр. почте.</t>
  </si>
  <si>
    <t>235_21</t>
  </si>
  <si>
    <t>ЗИП КИВИИС-2</t>
  </si>
  <si>
    <t>28.04.21 (П. Мартынов) - телефонный звонок Заказчика: добавить в ТКП БП МЕТРАН 604.</t>
  </si>
  <si>
    <t>237_21</t>
  </si>
  <si>
    <t>Реконструкция и техническое перевооружение испытательной базы двигателя РД-191</t>
  </si>
  <si>
    <t>256_21</t>
  </si>
  <si>
    <t>тензометрическое оборудование</t>
  </si>
  <si>
    <t>23.04.21-запрос расписан через офис
29.04.21 - перечень уточняющих вопросов направлен Заказчику</t>
  </si>
  <si>
    <t>211_21</t>
  </si>
  <si>
    <t>MIC-236
MIC-036</t>
  </si>
  <si>
    <t>КХЗ</t>
  </si>
  <si>
    <t>164_20
225_20</t>
  </si>
  <si>
    <t>Система управления заправки ракетным топливом</t>
  </si>
  <si>
    <t>КрасМаш</t>
  </si>
  <si>
    <t>02.03.21-запрос расписан через офис
- отправлено Заказчику, исх. 767</t>
  </si>
  <si>
    <t>193_21</t>
  </si>
  <si>
    <t>мобильный комплекс измерения вибрации</t>
  </si>
  <si>
    <t>29.03.21-запрос расписан через офис
- ТКП отправлено Заказчику</t>
  </si>
  <si>
    <t>252_21</t>
  </si>
  <si>
    <t>MIC-1150P</t>
  </si>
  <si>
    <t>Титан Баррикады</t>
  </si>
  <si>
    <t>246_21</t>
  </si>
  <si>
    <t>техническое обслуживание</t>
  </si>
  <si>
    <t>23.04.21-запрос расписан через офис</t>
  </si>
  <si>
    <t>MIC-1500
2 комплекса</t>
  </si>
  <si>
    <t>Инфралинк
Энергомаш</t>
  </si>
  <si>
    <t>ДВЗ Звезда
Петров</t>
  </si>
  <si>
    <t>250_21</t>
  </si>
  <si>
    <t>262_21</t>
  </si>
  <si>
    <t>ЛИУС РПИ</t>
  </si>
  <si>
    <t>04.05.21-запрос расписан через офис</t>
  </si>
  <si>
    <t>070_21
071_21</t>
  </si>
  <si>
    <t>АСУ ТП</t>
  </si>
  <si>
    <t>198_21
199_21</t>
  </si>
  <si>
    <t>реконструкция и техническое перевооружение испытательного комплекса прочностных испытаний</t>
  </si>
  <si>
    <t>232_21</t>
  </si>
  <si>
    <t>стенды 26, 27, 28_ПД-8</t>
  </si>
  <si>
    <t>20.05.21-запрос расписан через офис
20.05.21- отказ в снижении цены исх. №914 (АО)</t>
  </si>
  <si>
    <t>238_21</t>
  </si>
  <si>
    <t>мобильный ИВК DDS-M</t>
  </si>
  <si>
    <t>278_21</t>
  </si>
  <si>
    <t>тензометрический комплекс</t>
  </si>
  <si>
    <t>ТМК НТЦ</t>
  </si>
  <si>
    <t>291_21</t>
  </si>
  <si>
    <t>Телеметрическая система</t>
  </si>
  <si>
    <t>20.05.21-запрос расписан через офис
26.05.21-ИД направлены в РСС, С.Кузянову
31.05.21-КП направлено неофиц. на соглас. Заказчику (Гилеву)
02.06.21-письмо у директора
03.06.21-ТКП направлено Заказчику исх. №995 (АО)</t>
  </si>
  <si>
    <t>296_21</t>
  </si>
  <si>
    <t>MIC-170</t>
  </si>
  <si>
    <t>25.05.21-запрос расписан через офис
26.05.21-ИД и ТКП переданы в РСС
31.05.21-офиц.запрос от Заказчика (ВХ.АО_772)
02.06.21-ТКП у В.Пака
04.06.21-ТКП направлено Заказчику исх. №1006</t>
  </si>
  <si>
    <t>306_21</t>
  </si>
  <si>
    <t>ГИПХ СПБ</t>
  </si>
  <si>
    <t>312_21</t>
  </si>
  <si>
    <t>аппаратура для измерительной системы вибрационного контроля</t>
  </si>
  <si>
    <t>АО Силовые машины</t>
  </si>
  <si>
    <t>02.06.21-запрос расписан через офис
02.06.21-ТЗ направлено в РСС
10.06.21-ТКП у А.Стифутина
15.06.21-ТКП направлено Заказчику
21.06.21-направлена версия 2 ТКП (Заказчик уменьшил кол-во датчиков)</t>
  </si>
  <si>
    <t>347_21</t>
  </si>
  <si>
    <t>ИВК MIC</t>
  </si>
  <si>
    <t>24.06.21-запрос расписан через офис
25.06.21-уточнение ИД
29.06.21-ТКП направлено Заказчику исх. №408(ООО)</t>
  </si>
  <si>
    <t>359_21</t>
  </si>
  <si>
    <t>внесение системы в госреестр</t>
  </si>
  <si>
    <t xml:space="preserve">КБХМ </t>
  </si>
  <si>
    <t>06.07.21-запрос расписан через офис
06.07.21-запрос направлен в РСС
16.07.21-ТКП направлено Заказчику исх. №444 (ООО)</t>
  </si>
  <si>
    <t>384_21</t>
  </si>
  <si>
    <t>испытания контейнеров</t>
  </si>
  <si>
    <t>Абаканвагонмаш</t>
  </si>
  <si>
    <t>22.07.21-запрос расписан через офис
22.07.21-ТЗ направлено в РСС
27.08.21-ТКП на согласовании в РСС</t>
  </si>
  <si>
    <t>399_21</t>
  </si>
  <si>
    <t>пультовая Ц-3</t>
  </si>
  <si>
    <t>29.07.21-запрос расписан через офис
30.07.21-ЧТЗ направлено в РСС</t>
  </si>
  <si>
    <t>266_21</t>
  </si>
  <si>
    <t>система нагружения</t>
  </si>
  <si>
    <t>Филиал ПАО "Компания "Сухой" "НАЗ им. В.П. Чкалова"</t>
  </si>
  <si>
    <t>14.05.21-запрос расписан через офис (запрос от 05.05.21)
18.05.21 - согласовано: Стифутин, Пак
19.05.21 - согласовано: Кокорев.
20.05.21 - отправлено Заказчику (исх. 908 АО)</t>
  </si>
  <si>
    <t>391_21</t>
  </si>
  <si>
    <t>401_21</t>
  </si>
  <si>
    <t>Тензометрия</t>
  </si>
  <si>
    <t>Гладченко Александр</t>
  </si>
  <si>
    <t>414_21</t>
  </si>
  <si>
    <t>газораспределительная установка</t>
  </si>
  <si>
    <t>11.08.21-запрос расписан через офис
25.08.21 - не хватает данных у РСС на проработку. Вопрос откладывается до сентября</t>
  </si>
  <si>
    <t>442_21</t>
  </si>
  <si>
    <t>Система индикаторов</t>
  </si>
  <si>
    <t>396_21</t>
  </si>
  <si>
    <t>АКУ РМ</t>
  </si>
  <si>
    <t>29.07.21-запрос расписан через офис
08.08.21 - согласовано Силаев, Стифутин
Передано на согласование Паку
12.08.21 - согласовано Пак, Семин
Отправлено Заказчику по электр. почте.</t>
  </si>
  <si>
    <t>277_21</t>
  </si>
  <si>
    <t>18.05.21-запрос от РСС
-отправлено на согласование с РСС
-на согласовании у В.Пака</t>
  </si>
  <si>
    <t>299_21</t>
  </si>
  <si>
    <t>НПО ЦКТИ</t>
  </si>
  <si>
    <t>26.05.21-запрос расписан через офис
-запрос у А.Скрипника
-на согласовании у Силаева
-направлено заказчику</t>
  </si>
  <si>
    <t>323_21</t>
  </si>
  <si>
    <t>ЦНИИАГ</t>
  </si>
  <si>
    <t>07.06.21-запрос расписан через офис
11.06.21-на проработке у РСС(замена МХ-146)
21.06.21-запрос в РСС
22.06.21-на согласовании у В.Пака
-направлено предварительное ТКП (2 варианта)</t>
  </si>
  <si>
    <t>335_21</t>
  </si>
  <si>
    <t>MIC-200М</t>
  </si>
  <si>
    <t>16.06.21-запрос расписан через офис
-запрошены актуальные контакты
24.06.21-исх.405, ТКП направлено заказчику</t>
  </si>
  <si>
    <t>420_21</t>
  </si>
  <si>
    <t>Новатор</t>
  </si>
  <si>
    <t>16.08.21-запрос по почте
-запрос направлен в РСС для подбора оборудования
23.08.21-повторно направлен запрос в РСС 
27.08.21-на проработке у РСС
02.09.21-запрос в РСС</t>
  </si>
  <si>
    <t>422_21</t>
  </si>
  <si>
    <t>СИОН</t>
  </si>
  <si>
    <t>11.08.21-запрос расписан через офис
-запрошен конечный пользователь (Силовые машины)
-запрошено ТЗ
-на согласовании у В.Пака
-ткп направлено заказчику</t>
  </si>
  <si>
    <t>437_21</t>
  </si>
  <si>
    <t>пульт Ц-3Б</t>
  </si>
  <si>
    <t>19.08.21-запрос от Скрипника А-ра.
-на согласовании у В.Пака
-направлено заказчику, исх. 515</t>
  </si>
  <si>
    <t>440_21</t>
  </si>
  <si>
    <t>обновление ПО</t>
  </si>
  <si>
    <t>19.08.21-запрос расписан через офис
-повторно направлено в РСС
-готовим отказ, согласование с А.Семиным</t>
  </si>
  <si>
    <t>293_21</t>
  </si>
  <si>
    <t>система контроля вибрации лопаток</t>
  </si>
  <si>
    <t>304_21</t>
  </si>
  <si>
    <t>модернизация проточной турбины К-1000-60/3000</t>
  </si>
  <si>
    <t>Калининская АЭС</t>
  </si>
  <si>
    <t>БН-1200М</t>
  </si>
  <si>
    <t>374_21</t>
  </si>
  <si>
    <t>АИС для винтового стенда АДП-14ОТ</t>
  </si>
  <si>
    <t>14.07.21-запрос расписан через офис
- отправлено Заказчику, исх. 1367</t>
  </si>
  <si>
    <t>375_21</t>
  </si>
  <si>
    <t>СИЛА-500</t>
  </si>
  <si>
    <t>14.07.21-запрос расписан через офис</t>
  </si>
  <si>
    <t>376_21</t>
  </si>
  <si>
    <t>ФОРА-500</t>
  </si>
  <si>
    <t>403_21</t>
  </si>
  <si>
    <t>система управления температурно-временными режимами</t>
  </si>
  <si>
    <t>28.07.21-запрос расписан через офис</t>
  </si>
  <si>
    <t>176_21</t>
  </si>
  <si>
    <t>459_21</t>
  </si>
  <si>
    <t>Казанский пороховой завод</t>
  </si>
  <si>
    <t>03.09.21-запрос расписан через офис
08.09.21-ТКП направлено Заказчику</t>
  </si>
  <si>
    <t>477_21</t>
  </si>
  <si>
    <t>15.09.21-запрос расписан через офис
16.09.21-запрос передан в РСС
12.10.21-ТКП направлено Заказчику исх. №628(ООО)</t>
  </si>
  <si>
    <t>514_21</t>
  </si>
  <si>
    <t>21.09.21-запрос расписан через офис
06.10.21-ИД направлены в РСС
13.10.21-ТКП на согласовании у А.Стифутина
15.10.21-ТКП направлено Заказчику</t>
  </si>
  <si>
    <t>458_21</t>
  </si>
  <si>
    <t>КСТ-1,5</t>
  </si>
  <si>
    <t>03.09.21-запрос расписан через офис
10.09.21 - ТКП на согласовании у Лазарева
15.09.21 - ТКП на согласовании у Пака
16.09.21 - согласовано. Заявка направлена в ДГ
22.09.21 - направлено письмо (исх. 1730 АО)</t>
  </si>
  <si>
    <t>460_21</t>
  </si>
  <si>
    <t>03.09.21-запрос расписан через офис
10.09.21 - ТКП на согласовании у Лазарева
15.09.21 - ТКП на согласовании у Пака
16.09.21 - согласовано. Заявка направлена в ДГ
22.09.21 - направлено письмо (исх. 1729 АО)</t>
  </si>
  <si>
    <t>467_21</t>
  </si>
  <si>
    <t>РСК МиГ</t>
  </si>
  <si>
    <t>09.09.21-запрос расписан через офис
-заданы вопросы заказчику по поводу уточнения типа РСТ и прибора, снятого с производства
13.09.21-жду стоимость блока питания
-на согласовании по технике у РСС
16.09.21-повторно направлено на согласование
22.09.21-на согласовании у А. Стифутина
-на согласовании у В.Пака</t>
  </si>
  <si>
    <t>468_21</t>
  </si>
  <si>
    <t>09.09.21-запрос расписан через офис
13.09.21-жду стоимость блока питания
-на согласоавнии по технике у РСС
16.09.21-повторно направлено на согласование
22.09.21-на согласовании у А.Стифутина
-на согласовании у В.Пака</t>
  </si>
  <si>
    <t>ТМКБ Союз</t>
  </si>
  <si>
    <t>521_21</t>
  </si>
  <si>
    <t>РСК МИГ</t>
  </si>
  <si>
    <t>535_21</t>
  </si>
  <si>
    <t>18.10.21-запрос расписан через офис
19.10.21-запрос цены на кабели в Глобалтест</t>
  </si>
  <si>
    <t>537_21</t>
  </si>
  <si>
    <t>разработка авиационного поршневого двигателя 500 л.с.</t>
  </si>
  <si>
    <t>измерительный комплекс mic-552</t>
  </si>
  <si>
    <t>25.01.21-запрос расписан через офис
26.01.21 - ТКП у А.Стифутина,
отправлено
05.02.21 - см. до 09.02.21</t>
  </si>
  <si>
    <t>Лобачев</t>
  </si>
  <si>
    <t>ПС-90А тяги подвески</t>
  </si>
  <si>
    <t>Филимонов</t>
  </si>
  <si>
    <t>Бобкин</t>
  </si>
  <si>
    <t>Каталог</t>
  </si>
  <si>
    <t>578_21</t>
  </si>
  <si>
    <t>MIC-224</t>
  </si>
  <si>
    <t>Компания Сухой ОКБ Сухого</t>
  </si>
  <si>
    <t>16.11.21-запрос расписан через офис
16.11.21- запрос направлен в РСС, 
-запросила кп на расходомеры
19.11.21-ТКП на согласовании в РСС
24.11.21-ТКП направлено Заказчику (только на наше оборудование+опросный лист на расходомеры)</t>
  </si>
  <si>
    <t>184_20</t>
  </si>
  <si>
    <t>БКНИТ</t>
  </si>
  <si>
    <t>458_21
460_21</t>
  </si>
  <si>
    <t>КСТ-1.5 (договорные материалы)</t>
  </si>
  <si>
    <t>315_21</t>
  </si>
  <si>
    <t>ПАО Туполев</t>
  </si>
  <si>
    <t>531_21</t>
  </si>
  <si>
    <t>строительство испытательного комплекса на промплощадке 2</t>
  </si>
  <si>
    <t xml:space="preserve">15.10.21-запрос расписан через офис
На согласовании у В.Пака
20.10.21-согласование сроков с ПТЦ
-необходимо сопоставить ткп с Эпиконом, связаться с заказчиком
-на согласовании с В.Паком
-на согласовании с Семиным
-направлен в РСС для проверки тех.части
-на согласовании у Семина
</t>
  </si>
  <si>
    <t>496_21</t>
  </si>
  <si>
    <t>перевооружение стенда 50 КБХА (кислород-керосин)</t>
  </si>
  <si>
    <t>586_21</t>
  </si>
  <si>
    <t>система измерения</t>
  </si>
  <si>
    <t>Старт</t>
  </si>
  <si>
    <t>585_21</t>
  </si>
  <si>
    <t>АСУИИС проливок СП-1</t>
  </si>
  <si>
    <t>ОАО Кузнецов</t>
  </si>
  <si>
    <t>590_21</t>
  </si>
  <si>
    <t>КТРВ</t>
  </si>
  <si>
    <t>600_21</t>
  </si>
  <si>
    <t>MIC-819</t>
  </si>
  <si>
    <t>НПО Энергомаш</t>
  </si>
  <si>
    <t>607_21</t>
  </si>
  <si>
    <t>тензостанция</t>
  </si>
  <si>
    <t>НПП РИСАЛ</t>
  </si>
  <si>
    <t>01.12.21-запрос расписан через офис
03.12.21-ТКП у В.Пака
-необходимо подойти с КП в РСС +согласовать срок с ПТЦ
10.12.21-схема Д. Бобкин</t>
  </si>
  <si>
    <t>436_21</t>
  </si>
  <si>
    <t>618_21</t>
  </si>
  <si>
    <t>НИЦ Строительство</t>
  </si>
  <si>
    <t>07.12.21-запрос расписан через офис
10.12.21-недостаточно ИД, запрос направлен в РСС</t>
  </si>
  <si>
    <t>621_21</t>
  </si>
  <si>
    <t>13.12.21-запрос расписан через офис</t>
  </si>
  <si>
    <r>
      <t xml:space="preserve">23.11.21-запрос расписан через офис
23.11.21-на согласовании у РСС
</t>
    </r>
    <r>
      <rPr>
        <sz val="9"/>
        <color rgb="FFFF0000"/>
        <rFont val="Times New Roman"/>
        <family val="1"/>
        <charset val="204"/>
      </rPr>
      <t>02.12.21-повторно отправлено на согласование</t>
    </r>
  </si>
  <si>
    <r>
      <t xml:space="preserve">Виброизмерения dewesoft
</t>
    </r>
    <r>
      <rPr>
        <u/>
        <sz val="11"/>
        <color rgb="FFFF0000"/>
        <rFont val="Calibri"/>
        <family val="2"/>
        <charset val="204"/>
        <scheme val="minor"/>
      </rPr>
      <t>вопросы</t>
    </r>
  </si>
  <si>
    <r>
      <rPr>
        <sz val="11"/>
        <rFont val="Calibri"/>
        <family val="2"/>
        <charset val="204"/>
        <scheme val="minor"/>
      </rPr>
      <t>ЕвроСибЭнерго</t>
    </r>
    <r>
      <rPr>
        <u/>
        <sz val="11"/>
        <color theme="10"/>
        <rFont val="Calibri"/>
        <family val="2"/>
        <scheme val="minor"/>
      </rPr>
      <t xml:space="preserve">
контакты</t>
    </r>
  </si>
  <si>
    <t>АИИС. PXI система</t>
  </si>
  <si>
    <t>Потолочин</t>
  </si>
  <si>
    <t>619_21</t>
  </si>
  <si>
    <t>630_21</t>
  </si>
  <si>
    <t>ОДК</t>
  </si>
  <si>
    <t>638_21</t>
  </si>
  <si>
    <t>КИС-500 РТС</t>
  </si>
  <si>
    <t>Сенкевич</t>
  </si>
  <si>
    <t>тензометрия mr-212</t>
  </si>
  <si>
    <t>тензометрическая система mic-185</t>
  </si>
  <si>
    <t>MIC-200; mc-201, mc-114</t>
  </si>
  <si>
    <t>19.11.21-запрос по телефону на обновление, и выставление проекта договора -исх.745 от 24.11.21</t>
  </si>
  <si>
    <t>Нефтемонтаж диагностика</t>
  </si>
  <si>
    <t>Узга АПД</t>
  </si>
  <si>
    <t>КБХА
Уралпромпроект</t>
  </si>
  <si>
    <t>Филимонов
Скрипник Ай</t>
  </si>
  <si>
    <t>Генподряд</t>
  </si>
  <si>
    <r>
      <t xml:space="preserve">23.06.21-запрос расписан через офис
25.06.21-письмо у А.Стифутина
01.07.21-ТПК направлено Заказчику исх. №1227 (АО)
</t>
    </r>
    <r>
      <rPr>
        <sz val="9"/>
        <color rgb="FFFF0000"/>
        <rFont val="Times New Roman"/>
        <family val="1"/>
        <charset val="204"/>
      </rPr>
      <t>Требуется проработка 2 (не известно время выделения бюджета) 26.01.22</t>
    </r>
  </si>
  <si>
    <t>ИСК Энергопромстрой</t>
  </si>
  <si>
    <t>Силаев
Бобкин</t>
  </si>
  <si>
    <t>574_21</t>
  </si>
  <si>
    <t>поршневые двигатели, серийные испытания Дубна</t>
  </si>
  <si>
    <t>АСУ ТПИ Ц12/3
Союз Лыткарино</t>
  </si>
  <si>
    <t>19.10.21 - запрос расписан через офис
19.10.21 - передано в РСС
26.01.22 - работа актуальна но в 22 году только концепт проект</t>
  </si>
  <si>
    <t>003_22</t>
  </si>
  <si>
    <t>Микроника</t>
  </si>
  <si>
    <t>10.01.22-запрос расписан через офис
12.01.22- Заказчику отправлен список вопросов
13.01.22 - переданы контакты заказчика Потолочину
19.01 - ожидается ответ от заказчика</t>
  </si>
  <si>
    <t>008_22</t>
  </si>
  <si>
    <t>Ульяновский Патронный Завод</t>
  </si>
  <si>
    <t>12.01.22-запрос расписан через офис
12.01.22-запрос передан в РСС
26.01.22 - ответ от РСС
09.02.22 - ТКП отправлено Заказчику
10.02.22 - получены новые данные по датчикам. Жду ответа И.Потолочина</t>
  </si>
  <si>
    <t>016_22</t>
  </si>
  <si>
    <t>АИИС Ц-17Т</t>
  </si>
  <si>
    <t>055_22</t>
  </si>
  <si>
    <t>МЕ-005</t>
  </si>
  <si>
    <t>27.01.2022-запрос расписан через офис
-уточнение запроса, ME-005 снят с производства
-запрос передан на согласование
31.01.2022 - отправлено ТКП заказчику</t>
  </si>
  <si>
    <t>001_22</t>
  </si>
  <si>
    <t>029_22</t>
  </si>
  <si>
    <t>596_21</t>
  </si>
  <si>
    <t>СИУИТ</t>
  </si>
  <si>
    <t>049_22</t>
  </si>
  <si>
    <t>24.01.22 (П. Мартынов) - запрос от Заказчика по электр. почте
28.01.22 - согласован срок изготовления (ПТЦ). Направлено на согласование РП
07.02.22 - согласовано РП. Направлено на согласование Паку
08.02.22 - согласовано Пак. Заказчик по телефону затребовал калькуляцию. Договорились дать ответ в понедельник
14.02.22 - ТКП и структура цены отправлены Заказчику (исх 199 и 200 АО)</t>
  </si>
  <si>
    <t>352_21</t>
  </si>
  <si>
    <t>САУ сооружения 4</t>
  </si>
  <si>
    <t>047_22</t>
  </si>
  <si>
    <t>КГКПЗ</t>
  </si>
  <si>
    <t>500_21
005_22</t>
  </si>
  <si>
    <t>043_22</t>
  </si>
  <si>
    <t>АИИС Ц-1А</t>
  </si>
  <si>
    <t>ОВИСТ</t>
  </si>
  <si>
    <t>17.12.21-запрос расписан через офис
- подготовка КП, 24.01.
- отправлено Заказчику, исх. 49</t>
  </si>
  <si>
    <t>АСУ ТП Ц12/3</t>
  </si>
  <si>
    <t>067_22</t>
  </si>
  <si>
    <t>ФНПЦ "Титан-Баррикады"</t>
  </si>
  <si>
    <t>074_22</t>
  </si>
  <si>
    <t>090_22</t>
  </si>
  <si>
    <t>09.02.2022-запрос расписан через офис
09.02.2022-запрос направлен в группы, взяла РСС
01.03.2022-ТКП согласовано РСС, у В.Пака
02.03.2022-ТКП согл с ПТЦ
04.03.2022-ТКП направлено Заказчику</t>
  </si>
  <si>
    <t>099_22</t>
  </si>
  <si>
    <t>22.02.2022-запрос расписан через офис
25.02.2022-направлено Ал-ру Скрипнику
25.02.2022-получена схема
03.03.2022-ТКП у Ал-ра Скрипника
04.03.2022-ТКП направлено Заказчику исх. №140 (ООО)</t>
  </si>
  <si>
    <t>104_22</t>
  </si>
  <si>
    <t>28.02.2022-запрос через Ал-ра Скрипника
03.03.2022-ТКП направлено Заказчику</t>
  </si>
  <si>
    <t>117_22</t>
  </si>
  <si>
    <t>разработка системы измерения и управления  (самолет SSJ-NEW)</t>
  </si>
  <si>
    <t>Авиатест</t>
  </si>
  <si>
    <t>118_22</t>
  </si>
  <si>
    <t>замена NI</t>
  </si>
  <si>
    <t>ПРОТОН-М</t>
  </si>
  <si>
    <t>115_22</t>
  </si>
  <si>
    <t>КБМ</t>
  </si>
  <si>
    <t>121_22</t>
  </si>
  <si>
    <t>РегионСтройКомплект</t>
  </si>
  <si>
    <t>MonitoringSystem</t>
  </si>
  <si>
    <r>
      <t xml:space="preserve">21.04.21-запрос расписан через офис
</t>
    </r>
    <r>
      <rPr>
        <b/>
        <sz val="9"/>
        <color rgb="FFFF0000"/>
        <rFont val="Times New Roman"/>
        <family val="1"/>
        <charset val="204"/>
      </rPr>
      <t xml:space="preserve"> актуально  -</t>
    </r>
    <r>
      <rPr>
        <sz val="9"/>
        <color rgb="FFFF0000"/>
        <rFont val="Times New Roman"/>
        <family val="1"/>
        <charset val="204"/>
      </rPr>
      <t xml:space="preserve"> Силаев (07.02.22)
ответ заказчика Сейчас не актуально 18.03.22</t>
    </r>
  </si>
  <si>
    <t>127_22</t>
  </si>
  <si>
    <t>Луна-Ресурс</t>
  </si>
  <si>
    <t>139_22</t>
  </si>
  <si>
    <t>ЭФКО (Транспорт будущего)</t>
  </si>
  <si>
    <t>в работе 2 приоритет</t>
  </si>
  <si>
    <t>19.11.21-запрос расписан через офис
22.11.21-запрос передан пля проверки в РСС
30.11.21-направлены вопросы от РСС Заказчику. Ожидаем ответ</t>
  </si>
  <si>
    <t>СОЮЗ-НИЦ РКП</t>
  </si>
  <si>
    <t>в работе (ближ 2 нед) 
или проработано, но на контроле</t>
  </si>
  <si>
    <t>борт MIC-1150</t>
  </si>
  <si>
    <t>09.02.2022-запрос расписан через офис
09.02.2022-запрос направлен в группы, взяла РСС
ТКП 090_22</t>
  </si>
  <si>
    <t>129_22</t>
  </si>
  <si>
    <t>153_22</t>
  </si>
  <si>
    <t>ЦНИИАМАШ</t>
  </si>
  <si>
    <t>156_22</t>
  </si>
  <si>
    <t>стенд для испытаний ДВС
Маянезники</t>
  </si>
  <si>
    <t>Лобачев
Филимонов</t>
  </si>
  <si>
    <t>185_22</t>
  </si>
  <si>
    <t>аналог системы HBM</t>
  </si>
  <si>
    <t>ВИК ТЕСТ</t>
  </si>
  <si>
    <t>04.04.2022-запрос расписан через офис
05.04.2022-ИД направлены в РСС
08.04.2022-ТКП направлено Заказчику</t>
  </si>
  <si>
    <t>194_22</t>
  </si>
  <si>
    <t>тех.обслуживание винтовых стендов</t>
  </si>
  <si>
    <t>196_22</t>
  </si>
  <si>
    <t>КТВИ КА</t>
  </si>
  <si>
    <t>07.04.2022 входящее 22_464</t>
  </si>
  <si>
    <t>ТЗ НИЦ РКП</t>
  </si>
  <si>
    <t>Филимонов
Потолочин</t>
  </si>
  <si>
    <t>система измерений 
PXI+Энкодеры</t>
  </si>
  <si>
    <t>mic-553 PXI MX-240 иMX- 340
2 комплекта</t>
  </si>
  <si>
    <t>212_22</t>
  </si>
  <si>
    <t>СИ БМП</t>
  </si>
  <si>
    <t>СИУ</t>
  </si>
  <si>
    <t>203_22</t>
  </si>
  <si>
    <t>статика, динамика</t>
  </si>
  <si>
    <t>УКБВ</t>
  </si>
  <si>
    <t>205_22</t>
  </si>
  <si>
    <t>13.04.2022-оплата</t>
  </si>
  <si>
    <t>058_22</t>
  </si>
  <si>
    <t>MIC-700</t>
  </si>
  <si>
    <t>28.01.2022-запрос от Скрипника
04.02.2022 - согласовано Скрипник. Отправлено Паку на согласование
07.02.2022 - согласовано Пак. 
Утверждено: Семин
Отправлено по электр. почте</t>
  </si>
  <si>
    <t>199_22</t>
  </si>
  <si>
    <t>управляющие вычислительные комплексы</t>
  </si>
  <si>
    <t>ПАО Криогенмаш</t>
  </si>
  <si>
    <t>206_22</t>
  </si>
  <si>
    <t>Уточнение информации по оборудованию</t>
  </si>
  <si>
    <t>НИИ СТС</t>
  </si>
  <si>
    <t>228_22</t>
  </si>
  <si>
    <t>стенд ресурсных испытаний ЦИИМ</t>
  </si>
  <si>
    <t>НПК УВЗ</t>
  </si>
  <si>
    <t>224_22</t>
  </si>
  <si>
    <t>МС-227UP</t>
  </si>
  <si>
    <t>Красмаш</t>
  </si>
  <si>
    <t>26.04.2022-запрос по почте на подбор модуля
-на согласовании у Семина по срокам
-на повторном согласовании в ПТЦ
-ткп направлено заказчику</t>
  </si>
  <si>
    <t>Дата для сводного письма</t>
  </si>
  <si>
    <t>email от</t>
  </si>
  <si>
    <t>email куда</t>
  </si>
  <si>
    <t>log</t>
  </si>
  <si>
    <t>pas</t>
  </si>
  <si>
    <t>skripnik@nppmera.ru</t>
  </si>
  <si>
    <t>rss@nppmera.ru</t>
  </si>
  <si>
    <t>22.12.21-запрос расписан через офис
23.12.21-ТКП на согласовании у А.Стифутина
29.12.21 Отправлнно направлено Заказчику</t>
  </si>
  <si>
    <t>Поездка в Союз Скрипник Ар, Лобачев
до 21.05.22</t>
  </si>
  <si>
    <t>264_22</t>
  </si>
  <si>
    <t>Модернизация стенда АСС</t>
  </si>
  <si>
    <t>НПП Звезда</t>
  </si>
  <si>
    <t>240_22</t>
  </si>
  <si>
    <t>Измерительное оборудование (MIC236+MR202+Recorder)</t>
  </si>
  <si>
    <t>НПП Парк-центр</t>
  </si>
  <si>
    <t>Комментарии РП</t>
  </si>
  <si>
    <t>18.03.2022-оплата</t>
  </si>
  <si>
    <t>12.01.22-запрос расписан через офис
-задан вопрос заказчику
-ТКП на согласовнии у В.Пака</t>
  </si>
  <si>
    <t>03.02.2022-запрос расписан через офис
-согласование срока поставки
-на согласовании у В.Пака
-идет подготовка РКМ
15.02.2022-заявка передана в ДГ
-запрошен номер ИГК, № гос.контракта
02.03.2022-повторно направлено письмо с информацией
-необходимо направить проект договора
03.02.2022-направлен проект договора, ведомость поставки</t>
  </si>
  <si>
    <t>01.03.2022-оплата</t>
  </si>
  <si>
    <t>24.01.2022-запрос расписан через офис
27.01.2022-ТКП обновлялось с ноябре, продублировано Заказчику</t>
  </si>
  <si>
    <t>28.01.2022-запрос расписан чреез офис
-сделала предзапуск, согласовано с Семиным
-исх. 57</t>
  </si>
  <si>
    <t>02.03.2022-просьба скинуть письмо о единственном поставщике
-на подписи у Семина
исх.130</t>
  </si>
  <si>
    <t>02.03.2022-запрос расписан через офис
09.03.2022-ответ не требуется, это ответ на наш запрос исх. №169 (АО), ждем ДС №2 для оформления, рабочая документация направлена Заказчику Сенкевичем</t>
  </si>
  <si>
    <t>01.02.2022-оплата</t>
  </si>
  <si>
    <t>Оплачено -   16 276 321</t>
  </si>
  <si>
    <t>24.02.2022-запрос расписан через офис
24.02.2022-оригиналы дог. переданы в ДГ
03.03.2022-подписанный оригинал дог. направлен Заказчику исх. №135 (ООО)</t>
  </si>
  <si>
    <t>22.2.22 (П. Мартынов) - задача поставлена Кокоревым: актуализировать ТКП
28.2.22 - запрос цены на комплектующие
07.03.22 - цены получены. Направлено на согласование в РСС
14.03.22 - согласовано РСС, Пак. 
16.03.22 - передано Семину
24.03.22 - подготовить отказное письмо!
27.03.22 - ТКП передано в группу БТК
08.04.22 - принято решение отказаться
11.04.22 - отправлено электронное отказное письмо.</t>
  </si>
  <si>
    <t>02.02.2022-оплата</t>
  </si>
  <si>
    <t>02.03.2022-запрос расписан через офис
03.03.2022 - передано в ДГ
03.03.2022 - отправлено Заказчику (исх 306 АО)</t>
  </si>
  <si>
    <t>24.01.22 - запрос в устной форме от Заказчика через группу РСС
26.01.22 - согласовано Скрипник Силаев
27.01.22 - направлено в ПТЦ для согласования срока изготовления
07.02.22 - ТКП поставлено на паузу в связи с отсутсвием актуальности задачи</t>
  </si>
  <si>
    <t>19.11.21-запрос расписан через офис (ТЗ передано через А-я Скрипника)
-запрос долго не брали в работу
02.12.21-создана задача в redmine #9295 для анализа
-направлены вопросы Заказчику
26.01.22- недостаточно ИД для ТКП,
ждем исходные данные и ответы от Заказчика</t>
  </si>
  <si>
    <t>07.12.21-запрос расписан через офис
10.12.21-ИД направлены в ГП и РСС
14.12.21-в работе в РСС
23.12.21-КП на согласовании у А.Стифутина
10.01.22-ТКП у А.Семина
13.01.22-ТКП в РСС
21.01.22-выдана новая версия схемы, изменился состав оборудования, корректировка ТКП
27.01.22-ТКП направлено Заказчику исх. №47 (ООО)</t>
  </si>
  <si>
    <t>17.12.21-запрос расписан через офис
20.21.21-задача направлена в РСС
21.12.21-задача направлена А.Сенкевичу
27.12.21-получены замечания С.Кузянова, необходимо ВКС с Заказчиком для обсуждения ТТ
- планируется приезд Заказчика к нам после НГ
12.01.22- Заказчику направлено письмо исх. №10 (ООО)</t>
  </si>
  <si>
    <t>21.01.2022-запрос от Скрипника
-на согласовании у В.Пака
-необходимо решение А.Семина
22.03.2022-по сообщению от Скрипника Алексея ждем ответ от Суриканта</t>
  </si>
  <si>
    <t>10.11.21-запрос расписан через офис
- на согласовании у Потапова
- подтверждение бюджета
- отправлено Заказчику, исх. 168</t>
  </si>
  <si>
    <t>26.01.2022-запрос расписан через офис
-ТЗ направлено Иванову К. для согласования
-ТЗ перенаправлено в РСС для проверки
-ТЗ составлено некоректно, необходимо уточнить детали  заказчика
16.02.2022-возможно расширение ТКП, ждем дополнительно ИД
02.03.2022-задача закрыта до появления новых данных</t>
  </si>
  <si>
    <t>11.03.2022-через группу whatsApp
29.03.2022-ожидаем цены на датчики
01.04.2022-необходимо обсуждение цены на оборудование МЕРА
07.04.2022-ТКП на согл. у А. Семина
07.04.2022-ТКП направлено Заказчику через А-я Скрипника</t>
  </si>
  <si>
    <t>02.03.2022-запрос расписан через офис
09.03.2022-запрос разослан в группы
10.03.22-в работе у РСС
30.03.2022-ждем совещание с Заказчиком по whatsApp
08.04.2022-на согл. в РСС у А.Стифутина
13.04.2022 -Заказчику направлено письмо исх. №228 (ООО) с ориентир. стоимостью
-продолжается тех.проработка подробного ТКП по доп. ИД, будет направлено дополнительно</t>
  </si>
  <si>
    <t>05.03.2022-запрос расписан через офис
09.03.2022-запрос разослан в группы
10.03.22-в работе у РСС
23.03.2022-отказ, нехватка программистов для решения такой задачи
07.04.2022 -решили предлагать своё оборудование, ПЗ готовит С.Силаев, КП на согласовании</t>
  </si>
  <si>
    <t>02.03.2022-запрос расписан через офис
-запрошен конечный пользователь (Няганьнефтегаз)
-направлено ТЗ в РСС
11.03.2022-Бобкин готовит схему
17.03.2022-направлены вопросы Заказчику, так как не хватает ИД
21.03.2022-Составлено ТКП по схеме, ТКП на согласовании у РСС
-недостаточно ИД, закрываю до ответов заказчика</t>
  </si>
  <si>
    <t>15.03.2022-запрос расписан через офис
15.03.2022-ТЗ направлено в группы
17.03.22-РСС взяли в работу
30.03.2022-прислали дополнения к ИД
12.04.2022-на согл.в РСС 
15.04.2022-у В.Пака
21.04.2022-ТКП направлено на согл. А.Н. Попову
-подойти с А.Лобачевым к Попов
16.05.2022-ответ Заказчику исх. №293 (ООО)</t>
  </si>
  <si>
    <t>23.03.2022-запрос расписан через офис
29.03.2022-формируется предварительное ТКП, согл. с РСС
30.03.2022-направлено 2 вар ТКП</t>
  </si>
  <si>
    <t>Тестпартнер
Авиадвигатель</t>
  </si>
  <si>
    <t>098_21
056_22</t>
  </si>
  <si>
    <t>нет прайса</t>
  </si>
  <si>
    <t xml:space="preserve">  </t>
  </si>
  <si>
    <t>автономная измерительная система
тензо  -500 кГц
вибро - 100 кГц</t>
  </si>
  <si>
    <t>Тема</t>
  </si>
  <si>
    <t>Приор.</t>
  </si>
  <si>
    <t>Тензостатика</t>
  </si>
  <si>
    <t>СУ</t>
  </si>
  <si>
    <t>Виброиспытания</t>
  </si>
  <si>
    <t>вер-ть опл. 2022</t>
  </si>
  <si>
    <t>БМП</t>
  </si>
  <si>
    <t>Проектирование</t>
  </si>
  <si>
    <t>СИР</t>
  </si>
  <si>
    <t>Мониторинг</t>
  </si>
  <si>
    <t>Серия</t>
  </si>
  <si>
    <t>ПО</t>
  </si>
  <si>
    <t>Борт</t>
  </si>
  <si>
    <t>Мелихов</t>
  </si>
  <si>
    <t>184_22</t>
  </si>
  <si>
    <t>MIC-185, MIC-355M</t>
  </si>
  <si>
    <t>091_20</t>
  </si>
  <si>
    <t>СЧ ОКР "Кремень-МЕРА"</t>
  </si>
  <si>
    <t>097_20</t>
  </si>
  <si>
    <t>МЕРА-Кремень (РКМ на ФЦ эт 3)</t>
  </si>
  <si>
    <t>АРМ ТВИ (ДС1 с ПР)</t>
  </si>
  <si>
    <t>271_22</t>
  </si>
  <si>
    <t>АПД-85</t>
  </si>
  <si>
    <t>272_22</t>
  </si>
  <si>
    <t>Корпорация Иркут</t>
  </si>
  <si>
    <t>13.04.2022-запрос расписан через офис
14.04.2022-запрос принят в работу
15.04.2022-запрос передан Скрипник Ал-й для проработки
20.04.2022-запрос передан на проработку Д.В. Браварцу (по срокам/возможностям)
25.04.2022-запрос возвращен в проработку Скрипник Ал-й для составления предварительных структурных схем
11.05.2022-Срок предоставления КП истек. Дальнейшая проработка уже нецелесообразна, отправлен отказ по e-mail</t>
  </si>
  <si>
    <t>Скрипник Ар
Лобачев</t>
  </si>
  <si>
    <t>03.06.22
Изменен приоритет на 2 (нет ОС с заказчиком)
17.05.22
Требуется организация конференц связи для обсуждения реализации проекта и ТКП</t>
  </si>
  <si>
    <r>
      <t xml:space="preserve">03.06.22 Снижен приоритет на 2
17.05.22
Проработано по левому ТЗ случайно попавшему в папку ТКП/ </t>
    </r>
    <r>
      <rPr>
        <sz val="9"/>
        <color rgb="FFFF0000"/>
        <rFont val="Times New Roman"/>
        <family val="1"/>
        <charset val="204"/>
      </rPr>
      <t>Требуется повторно отзвонить заказчику/ извиниться и узнать актуальность</t>
    </r>
  </si>
  <si>
    <t>03.06.22
Скинули актуальный прайс. Снижен приоритет на 2</t>
  </si>
  <si>
    <t>03.06.22
Мини НТС от РСС для принятия решения о обьеме нашего ТКП до 17.06.22</t>
  </si>
  <si>
    <t>03.06.22
Снижен приоритет на 2</t>
  </si>
  <si>
    <t>03.06.22
Требуется созвон и обновление. Обновление от РСС до 10.06.22</t>
  </si>
  <si>
    <t>03.06.22
Ждем ответов на вопросы.</t>
  </si>
  <si>
    <t>03.06.22
Второй приоритет до 24.06.22</t>
  </si>
  <si>
    <t>Вилков</t>
  </si>
  <si>
    <t>10.06.22
Смена приоритета на 2
03.06.22
Заказчик получил предложение, Ждем обновление от заказчика (цена примерно попала судя по отзыву). Проект вероятно 23 года</t>
  </si>
  <si>
    <t>10.06.22 Установлен приоритет 2
03.06.22 Заказчики ведут себя странно, переносят друг на друга ответственность. Пробуем прорабатывать</t>
  </si>
  <si>
    <t>kingsly</t>
  </si>
  <si>
    <t>Силаев 
Скрипник Ай</t>
  </si>
  <si>
    <t>1.  DAQ system ( Strain - 100 * ch ; Accelerometer - 4ch , LVDT - 4ch ; Thermocouple - 4ch ) Total : 112channels . -1no(system)</t>
  </si>
  <si>
    <t>Скачать</t>
  </si>
  <si>
    <t>405_21</t>
  </si>
  <si>
    <t>490_21</t>
  </si>
  <si>
    <t>16.05.2022-запрос расписан через офис
- отправлено Заказчику, исх. 717</t>
  </si>
  <si>
    <t>22.04.2022-запрос расписан через офис
26.04.2022-в работе у РСС
17.05.2022-проверить актуальность запроса
18.05.2022-контакты тех.спец. переданы Ал-ру Скрипнику
09.06.2022-задача неактуальна для Заказчика, тех. специалисты не могут ответить на вопросы</t>
  </si>
  <si>
    <t>- отправлено Заказчику, исх. 137, исх. 138</t>
  </si>
  <si>
    <t>СИМВ-ST-21
градуировка валов</t>
  </si>
  <si>
    <t>306_22</t>
  </si>
  <si>
    <t>307_22</t>
  </si>
  <si>
    <t>ИИС (MIC-553)</t>
  </si>
  <si>
    <t>ЦАГИ</t>
  </si>
  <si>
    <t>виброконтроль гидротурбины</t>
  </si>
  <si>
    <t>27.04.2022-запрос по почте от заказчика на обновление ткп
27.05.2022 - во вторник (31.05.22) планируется поездка, по результатам которой будет обновлено ТКП
17.06.2022 - задача переписана на Мелихова</t>
  </si>
  <si>
    <t>14.06.2022-письмо-задачу передал А.Семин
-созвон с Заказчиком для принятия решения по ДС
16.06.2022-проект письма  у А.Семина
22.06.2022-Заказчику направлено письмо исх. №388 и проект ДС (ООО)</t>
  </si>
  <si>
    <t>312_21
311_22</t>
  </si>
  <si>
    <t>325_22</t>
  </si>
  <si>
    <t>02.06.2022-запрос расписан через офис
- формирование ТКП 21.06.22
- отправлено Заказчику, исх. 393</t>
  </si>
  <si>
    <t>17.06.2022-запрос расписан через офис
20.06.2022-получены ИД, делаю ТКП
21.06.2022-ткп на линейке МХ на согласовании в рсс
23.06.2022-ТКП на линейке MR на согласовании в РСС
-на согласовании у В.Пака
-отправлено заказчику по e-mail</t>
  </si>
  <si>
    <t>Ц-1М вход. 614</t>
  </si>
  <si>
    <t>16.05.2022
Бюджет не выделен</t>
  </si>
  <si>
    <t>КИВИИС-2 Обслуживание</t>
  </si>
  <si>
    <t>30.06.22
- РСС провести совещание по реализации проекта до  08.07.22</t>
  </si>
  <si>
    <t>03.06.22 Проработка РСС до 17.06.22</t>
  </si>
  <si>
    <t>30.06.2022
Изменен статус на неактуально</t>
  </si>
  <si>
    <t>система тензометрирования</t>
  </si>
  <si>
    <t>УралВагонЗавод</t>
  </si>
  <si>
    <t>330_22</t>
  </si>
  <si>
    <t>САУ стенда проверки приводов и системы</t>
  </si>
  <si>
    <t>Пневмакс</t>
  </si>
  <si>
    <t>357_22</t>
  </si>
  <si>
    <t>244_22</t>
  </si>
  <si>
    <t>Система обработки</t>
  </si>
  <si>
    <t>Риццани де эккер</t>
  </si>
  <si>
    <t>214_22</t>
  </si>
  <si>
    <t>Испытания приборов и проводки ДВС</t>
  </si>
  <si>
    <t>ООО Соллерс форд</t>
  </si>
  <si>
    <t>20.04.2022-запрос расписан через офис
20.04.2022-запрос принят в работу. У Заказчика заппрошено полное ТЗ
25.04.2022-Ожидание соглашения о конфиденциальности для подписания
26.04.2022-Соглашение о конфиденциальности - на подписи у А.А.Семина
27.04.2022-Подписанное соглашение о конфиденциальности направлено Заказчику
28.04.2022-Ожидание полного ТЗ от Заказчика
05.05.2022-Ожидание установки приложения для организации доступа к ftp-серверу Заказчика (Заявка #3323 ИТЦ)
17.05.2022-Приложение для доступа к FTP-серверу установлено и настроено. Документы для проработки ТКП получены - отсутствуют основные технические спецификации тестируемого оборудования. Направлен запрос Заказчику
24.05.2022-Заказчик в отпуске до 29.05.2022. Запланированы переговоры.
30.05.2022-Заказчик представил спецификации навесного электрооборудования - направлено на проработку в РСС
03.06.2022-Получен отказ от РСС (Стифутин) в дальнейшей проработке ТКП - не наш профиль. Отказ направлен Заказчику по e-mail</t>
  </si>
  <si>
    <t>278_22</t>
  </si>
  <si>
    <t>работы по автоматизации гидравлических стендов</t>
  </si>
  <si>
    <t>Выксунский металлургический завод</t>
  </si>
  <si>
    <t>338_22</t>
  </si>
  <si>
    <t>Статзал</t>
  </si>
  <si>
    <t>347_22</t>
  </si>
  <si>
    <t>- перевооружение центрифуги СУ-267 (система измерений),
- система виброизмерений
- система управления пиротехникой</t>
  </si>
  <si>
    <t>351_22</t>
  </si>
  <si>
    <t>испытательное оборудование для проведения обкатки, регулировки и ПСИ</t>
  </si>
  <si>
    <t>ПАО Агрегат</t>
  </si>
  <si>
    <t>19.05.2022-запрос на е-mail на ДС№3
-сделать заявку на ДС
14.06.2022-жду информацию по срокам от РП, а он от ПТЦ
07.07.2022-закрываю задачу, много неопределенности, нужны переговоры с Заказчиком
Направлено предложение по увеличению аванса исх. №942 от 05.07.2022 (АО)</t>
  </si>
  <si>
    <t>Оплачено -   1 574 990</t>
  </si>
  <si>
    <t>11.07.22-оплата</t>
  </si>
  <si>
    <t>29.04.2022-запрос расписан через офис
29.04.2022-Запрос принят в проработку РСС, подготовлен перечень вопросов Заказчику
04.05.2022-Получена дополнительная информация от Заказчика
05.05.2022-Сроки доработки ПО согласованы с ЦР (Мельников)
06.05.2022-ТКП на согласовании у В.Пак
12.05.2022-ТКП согласовано В.Пак, на подписи у А.Семина
16.05.2022-ТКП направлено Заказчику по e-mail (Исх.№649 от 16.05.2022г.)
24.05.2022-Заказчик формирует упрощенные требования для запроса ТКП пониженной стоимости (сокращение втрое числа изм.каналов, отказ от доработки ПО в пользу анализа сигналов в WinПОС вручную). Направлено РЭ на MR-202 для анализа его метрологических характеристик.
14.06.2022-Запрошено подтверждение возможности передачи данных по протоколу OPC. Подтверждено - за доплату.
16.06.2022-Откорректированное ТКП согласовано В.Пак
17.06.2022-ТКП на подписи у А.Семина
21.06.2022-ТКП направлено Заказчику (исх.870 от 21.06.2022)
23.06.2022-Заказчик отказался от разработки ПО. Обновленное ТКП - на согласовании у В.Пак
24.06.2022-Запрошено подтверждение сроков производства в ПТЦ
27.06.2022-ПТЦ отказано в изготовлении контроллера в планируемой модификации - запрошено подтверждение в ЦР (Русаков)
28.06.2022- СТС согласован вариант с снижением характеристик, ТКП направлено Заказчику исх.904 от 28.06.2022
29.06.2022-Заказчик просит письмо, подтверждающее характеристики системы (опрос на частоте 54кГц), проект письма направлен в СТС (Прогонов)
06.07.2022-Письмо, подтверждающее характеристики системы направлено Заказчику по e-mail. Заказчика не устраивают сроки изготовления (требуется не более 2-х месяцев)</t>
  </si>
  <si>
    <t>28.04.2022-запрос расписан через офис
- ожидание технической информации от РСС
- направлен отказ</t>
  </si>
  <si>
    <t>17.06.2022
По ошибке в ТКП/ Реально допник к старому договору о ПНР</t>
  </si>
  <si>
    <t>20.07.22
Передано в работу Лазареву</t>
  </si>
  <si>
    <t>21.07.22
В ОМ передан опросник по ТЗ для отправки заказчику</t>
  </si>
  <si>
    <t>336_22</t>
  </si>
  <si>
    <t>РЭПХ</t>
  </si>
  <si>
    <t>17.06.2022-запрос расписан через офис
17.06.2022-в работе у РСС
14.07.2022-ТКП на наше оборудование готово, но схема не дорисована, ждем выход Ал-я Скрипника
20.07.2022-запрос неактуален, недостаточно ИД для КП</t>
  </si>
  <si>
    <t>15.07.2022-запрос расписан через офис
18.07.2022-запрос направлен в группы
19.07.2022-в работе у РСС
21.07.2022-передавно в ГП, выдана схема (Городецкий)
22.07.2022-ТКП 2 варианта направлено Заказчику</t>
  </si>
  <si>
    <t>025_22
364_22</t>
  </si>
  <si>
    <t>22.07.22
Повторный запрос ТКП364. От ОМ актуализация ТКП и отправка Суриканту</t>
  </si>
  <si>
    <t>не акт-но</t>
  </si>
  <si>
    <t>365_22
109_20</t>
  </si>
  <si>
    <t>22.07.22
Повторный запрос ТКП365. От ОМ актуализация ТКП и отправка Суриканту</t>
  </si>
  <si>
    <t>372_22</t>
  </si>
  <si>
    <t>370_22</t>
  </si>
  <si>
    <t>акустическая камера</t>
  </si>
  <si>
    <t>ООО АДМ СпецРТ</t>
  </si>
  <si>
    <t>14.03.2022-запрос расписан через офис
Ожидаются ИД и эскиз от РП.
25.03.2022 - ИД в полном объеме не выданы. По сообщению от РП ориентировочная дата выдачи ИД - 29.03 - 30.03
07.04.2022 - получен ИД и эскиз от Потолочина
15.04.2022 - отправлено ТЗ в ЦР на расчет трудоемкости
25.04.2022 - сегодня будет просчитано оборудование
28.04.2022 - оборудование пересчитано.
Есть вопросы по ПО. Проговорили с Заказчиком устроить видеоконференцию после праздников
13.05.2022 - приезд Заказчика. Обговорили технические нюаны. 17.05.2022 - проговорили с РП. До 25.05.2022 - собираем внутреннее совещание, корректируем эскиз и направляем в официальном порядке Заказчику с нашими замечаниями в ТЗ.
27.05.2022 - эскиз не готов. ТЗ на повторной проработке в ЦР (Злобин, Мельников)
06.06.2022 - получен полный перечень ИД для ТКП от всех служб. 
17.06.2022 - ТКП рассчитано, запущено на согласование
30.06.2022 - исправлены замечания. Направлно на согласование Потолочину и ПТЦ
28.07.2022 - ТКП утверждено. Отправлено Заказчику (исх 1100 АО)</t>
  </si>
  <si>
    <t>Оплачено -   1 719 804</t>
  </si>
  <si>
    <t>17.03.22-дубль запроса на почту
18.03.22 - ТКП ждёт согласования
21.03.22 - ТКП согласовано и отправлено</t>
  </si>
  <si>
    <t>17.05.2022-запрос на e-mail, согл. ТЗ для тендера
18.05.2022-ТЗ на согл. у А.Стифутина
-обновить ТКП
23.05.2022-запрос цен в Глобалтест
01.06.2022-получена цена от Глобалтест
02.06.2022-ТКП направлено Заказчику исх. №781 (АО)</t>
  </si>
  <si>
    <t>02.03.2022-оплата</t>
  </si>
  <si>
    <t>24.04.2022 - запрос по телефону на актуализацию ТКП
24.04.2022 - согласовано Лазарев, ЭП
26.04.2022 - согласовано Пак.
Отправлено по электр. почте.</t>
  </si>
  <si>
    <t>164_22</t>
  </si>
  <si>
    <t>MR-227С2</t>
  </si>
  <si>
    <t>26.04.2022-запрос расписан через офис
30.04.2022 - данные выданы в ДГ
23.05.2022 - направлен Заказчику (исх 698 АО)</t>
  </si>
  <si>
    <t>31.05.2022-запрос расписан через офис
01.06.2022 - уточнение тех. рук-ля со стороны Заказчика
06.06.2022 - запрос отправлен в 4 группы
07.06.2022 - взяло в работу РСС
15.06.2022 - были уточнены ИД от Заказчика через РСС.
20.06.2022 - ИД и эскиз от РСС не получены. Обещают проработать и выдать на этой неделе
21.06.2022 - данные от РСС получены. 
01.07.2022 - объективно доберусь до этой задачи 12.07.22
14.07.2022 - направлено Заказчику (исх 1005 АО)</t>
  </si>
  <si>
    <t>446_21</t>
  </si>
  <si>
    <t>Модули</t>
  </si>
  <si>
    <t>09.03.2022-запрос расписан через офис
16.03.2022 - ТКП, заявка на измение договора и РКМ на подписи у Пака
21.03.2022 - ТКП утверждено, заявка направлена в ДГ
25.03.2022 - РКМ подготовлены, на согласовании у Семина
05.04.2022 - отправлено Заказчику (исх 479 АО)</t>
  </si>
  <si>
    <t>20.01.2022-оплата</t>
  </si>
  <si>
    <t>11.01.22-запрос по почте
-на рассмотрении у А.Стифутина
-задан вопрос по конечному поьзователю
-ТКП на согласовании у В.Пака</t>
  </si>
  <si>
    <t>597_21</t>
  </si>
  <si>
    <t>MIC-140</t>
  </si>
  <si>
    <t>ОДК-Авиадвигатель</t>
  </si>
  <si>
    <t>07.04.2022-оплата</t>
  </si>
  <si>
    <t>31.03.2022-запрос расписан через офис
- отправлено Заказчику, исх. 532</t>
  </si>
  <si>
    <t>27.07.2022-запрос расписан через офис, ответ до 02.08
28.07.2022-встреча РСС с Заказчиком на МЕРЕ
28.07.2022-проект ТКП готово, кабели от Р.Филимонова
29.07.2022-ТКП согласовано с РСС и направлено Заказчику исх. №484 (ООО)</t>
  </si>
  <si>
    <t>04.07.2022-запрос расписан через офис, ответ до 11.07
11.07.2022-заявка на ДС передана в ДГ
13.07.2022-вх. 839
18.07.2022-проект ДС направлен Заказчику на согл
20.07.2022-получено замечание к ДС от Заказчика, переслано в ДГ
21.07.2022-направлено уточ. ДС на согл. Заказчику
27.07.2022-ФР направлено в ДГ, необх. откорр. ДС по замечанию Заказчика, подписать ДС 
28.07.2022-скан подписанного ДС направлен Заказчику по e-mail
01.08.2022-ещё правка ДС по просьбе Заказчика, ДС направлен Заказчику
02.08.2022-выбросили наши правки, прислали свою версию ДС, есть замечания по поводу БГ
03.08.2022-Заказчику направлен скан подписанного ДС</t>
  </si>
  <si>
    <t>28.07.2022-запрос договора от Заказчика по e-mail
29.07.2022-заявка на договор направлена в ДГ
03.08.2022-проект договора направлен Заказчику на согласование</t>
  </si>
  <si>
    <t>381_22</t>
  </si>
  <si>
    <t>МЕ-402</t>
  </si>
  <si>
    <t>НИИПМ</t>
  </si>
  <si>
    <t xml:space="preserve">02.08.22-запрос расписан через офис, ответ до 04.08
-ТКП направлено в РСС для согласования
-написать от СТС </t>
  </si>
  <si>
    <t>230_22
009_22</t>
  </si>
  <si>
    <t>стенд для
испытания ГМТ</t>
  </si>
  <si>
    <t>АО СКБМ</t>
  </si>
  <si>
    <t>01.08.2022-запрос на договор от Заказчика по телефону
-корректировка ТКП (искл. кросс)
03.08.2022-заявка на дог. направлена в ДГ
05.08.2022-Заказчику направлено обновл. ТКП и проект дог. на согл.</t>
  </si>
  <si>
    <t>342_22</t>
  </si>
  <si>
    <t>АИИС-Ц17Т</t>
  </si>
  <si>
    <t>390_22</t>
  </si>
  <si>
    <t>24.06.2022-запрос расписан через офис, ответ до 01.07
27.06.2022-запрос направлен в проработку РСС
11.07.2022-А.Семиным принято решение пересчитать ТКП 2017-2018гг с учетом инфляции и текущего прайса без привлечения РСС
13.07.2022-Направлено на проверку В.Пак. Согласовано все, кроме "пиротехника".
15.07.2022-В.Фельдман просит время до 24.07.2022 на проработку Пульта управления пиротехникой (по аналогии с Воткинском)
15.07.2022-А.Семин оставил ТКП у себя на проверку
22.07.2022-ТКП на СИ центрифуги направлено Заказчику исх. №1065 (АО) (Ежова М.)
01.08.2022-Перезапуск согласования ТКП по виброизмерениям (А.Семин) и пиротехнике (В.Фельдман)
03.08.0222-Фельманом принято решение не менять технику (из-за затягивания сроков по рекламации Воткинска). Перезапуск согласования ТКП
04.08.2022-ТКП на подписи у А.Семина
05.08.2022-ТКП направлено Заказчику по e-mail (исх.1149 АО)</t>
  </si>
  <si>
    <t>02.08.22-запрос расписан через офис, ответ до 04.08
-ТКП направлено в РСС для согласования
-написать от СТС 
08.08.22-повторно направлено в РСС
11.08.22-ответа от РСС нет</t>
  </si>
  <si>
    <t>385_22
047_22</t>
  </si>
  <si>
    <t>03.08.22-запрос расписан через офис, до 08.08
-ТКП направлено на согласование в РСС
-согласовано с РСС
-направлен вопрос о ВП заказчику
-на согласовании с ПТЦ по срокам (согласовано)
-альтернативные ТКП (подготовить)
-ТКП направлено Денису с оговоркой по ВП</t>
  </si>
  <si>
    <t>385_22</t>
  </si>
  <si>
    <t>Казанский Порховой завод</t>
  </si>
  <si>
    <t>11.08.22-запрос расписан через офис, до 18.08
-заявка направлена в ДГ
-изменена стоимость, заказчик отказался от ПНР и от командировок</t>
  </si>
  <si>
    <t>Карулина</t>
  </si>
  <si>
    <t>Модули PXI</t>
  </si>
  <si>
    <t>11.08.22-запрос расписан через офис, до 18.08
-заявка направлена в ДГ
-изменена стоимость, заказчик отказался от ПНР и от командировок
проект договора направлен заказчику</t>
  </si>
  <si>
    <t>406_22</t>
  </si>
  <si>
    <t>Quantum аналог</t>
  </si>
  <si>
    <t>19.08.22
Установлен приоритет 0</t>
  </si>
  <si>
    <t>25.08.22
Изменен приоритет на -1. По итогам совещания стало ясно, что у заказчика нет понимания системы, не могут сормулировать требования, какую часть работы требуется выполнить (ТЗ на все, при это мзапрос на малую часть т.к. "есть китайский подрядчик который это все делает")</t>
  </si>
  <si>
    <t>02.08.22-запрос расписан через офис, ответ до 04.08
-ТКП направлено в РСС для согласования
-написать от СТС 
08.08.22-повторно направлено в РСС
11.08.22-ответа от РСС нет
на согласовании у В.Пака
исх. 512</t>
  </si>
  <si>
    <t>414_22</t>
  </si>
  <si>
    <t>тензометрическая станция</t>
  </si>
  <si>
    <t>ЗАО Прочность</t>
  </si>
  <si>
    <t>1 195 904</t>
  </si>
  <si>
    <t>382_22</t>
  </si>
  <si>
    <t>MIC-185 (ТЗ)</t>
  </si>
  <si>
    <t>16.08.2022-запрос по почте
-необходимо проверить ТЗ
-на согласовании у РСС
-направлено заказчику с комментариями по ТЗ</t>
  </si>
  <si>
    <t>Aday Group
Туркменистан</t>
  </si>
  <si>
    <t>MIC-224 (mr-114/ 227)</t>
  </si>
  <si>
    <t>отпр-о</t>
  </si>
  <si>
    <t>25.08.22-запрос расписан через офис, до 26.08
-договор передан в ДГ
26.08.22 - направлен Заказчику (исх 534 ООО)</t>
  </si>
  <si>
    <t>401_22</t>
  </si>
  <si>
    <t>НПО Автоматика</t>
  </si>
  <si>
    <t>29.08.22
от ОМ - отправка ТКП заказчику
от РСС - после отправки получить обратную связь по ценам</t>
  </si>
  <si>
    <t>28.08.22
От ОМ требуется отправка ТКП с сопроводиловкой в которой указать - какие есть сертификаты на MIC</t>
  </si>
  <si>
    <t>28.08.22
В проработке РСС, ожидаем счета на покупные</t>
  </si>
  <si>
    <t>29.08.22
Проведен zoom с заказчиком. Ждем исх-ые данные</t>
  </si>
  <si>
    <t>424_22</t>
  </si>
  <si>
    <t>сервогидравлический автоматизированный стенд для испыт. строит. конструкций</t>
  </si>
  <si>
    <t>03.08.2022-задача от Ал-я Скрипника через whath app
10.08.2022-ТКП у Ал-я Скрипника
12.08.2022-поправила, ТКП у Ал-я Скрипника
05.09.2022-ориентировочное ТКП направлено Заказчику</t>
  </si>
  <si>
    <t>05.08.22-запрос расписан через офис, до 09.08
09.08.22-ТКП направлено в РСС на проверку
12.08.2022-ТКП на согл. в РСС, вопросы по ТЗ к Заказчику в работе в РСС
05.09.22-актуализация в РСС у А.Стифутина
-отложено до 12.09.2022 надо грамотно написать сопровод с Ал-ром Скрипником по ГОСТам и аттестации
14.09.2022-ТКП у В.Пака,
15.09.2022-ТКП направлено Заказчику исз. №567</t>
  </si>
  <si>
    <t>427_22</t>
  </si>
  <si>
    <t>ЗИП КВИИС-2</t>
  </si>
  <si>
    <t>26.08.22-запрос расписан через офис, до 05.09
05.09.2022-направлено в РСС
-необх. созвон с Заказчиком, ранее выставлялось КП в НИЦ РКП
- закладывают бюджет на след.год, отд.дог. с Красмаш
16.09.2022-ТКП направлено Заказчику</t>
  </si>
  <si>
    <t>ССД У-3ЛК</t>
  </si>
  <si>
    <t>448_22</t>
  </si>
  <si>
    <t>Rocket Motor static fire test bench</t>
  </si>
  <si>
    <t>03.06.2022-запрос расписан через офис, ответ до 15.06
17.06.2022-изменен отв. с Мартынова на Мелихова. Начата подготовка с РСС Скрипник Ал-р
28.06.2022-Запланировано совещание с РСС по подготовке ТКП
01.07.2022-РСС (Скрипник Ал-р) обещает выдать ТКП до 08.07.2022
07.07.2022-Для подготовки ТКП необходимо произвести расчет изготовления "стены" статзала. ТЗ передано в проработку ГПИИ (А.Абрамову)
08.07.2022-А.Абрамову для расчета бюджета необходимы чертежи
11.07.2022- А.Семиным принято решение об индексации КП 2017г с учетом изменений по гидравлике без участия РСС
12.07.2022-У А-ра Скрипника запрошено ТКП по гидросистеме
15.07.2022-ТКП согласовано В.Пак, передано на согласование А.Семину
01.08.2022-Перезапуск согласования ТКП
04.08.2022-ТКП на подписи у А.Семина
05.08.2022-ТКП направлено Заказчику по e-mail (исх.1148 АО)
23.08.2022-Заказчик запросил тех.характеристики оборудования по ТКП. Исполнителем от РСС назначен Р.Филимонов
02.09.2022-Р.Филимонов подтвердил дату готовности ответа - 07.09.22
05.09.2022-Тех.характеристики направлены Заказчику
06.09.2022-От Заказчика поступили дополнительные вопросы по теплоотводу МНС и Шкафа ПЧ МНС, а также по требованиям к фундаменту МНС. Ответ (Р.Филимонов) направлен по e-mail</t>
  </si>
  <si>
    <t>15.08.22-запрос расписан через офис, до 22.08
16.08.22-Заказчику направлены уточняющие вопросы
18.08.22-Заказчик готов обсудить вопросы 19.08.2022
19.08.22-ТКП на согласовании у В.Пак
22.08.22-ТКП согласовано, направлено Заказчику по e-mail</t>
  </si>
  <si>
    <t>29.08.2022-запрос расписан через офис, до 01.09
30.08.2022-Проведено предварительное обсуждение общей стоимости с РСС. Ожидание ТКП на значительную часть оборудования от поставщиков до 01.09.2022
01.09.2022-Сроки подачи ТКП продлены до 08.09.2022
02.09.2022-Р.Филимонов подтвердил получение обновленного КП от поставщика. Ожидаю размещения информации на сервере для обновления ТКП
05.09.2022-Сформировано ТКП с ценой выше НМЦ конкурса. Ожидание ТКП от поставщика со сниженной стоимостью до 06.09.22
07.09.2022-Сформировано ТКП с ценой ниже НМЦ конкурса. Ожилание ТКП от поставщика Альфа-Гидро для начала согласования ТКП МЕРА у И.А.Потапова. Отказ от участия в конкурсе</t>
  </si>
  <si>
    <t>434_22</t>
  </si>
  <si>
    <t>тензостанции (2шт.) на 200 каналов
на 16 каналов
(бюджетирование 2023)</t>
  </si>
  <si>
    <t>ООО СИНЕРКОН (для КБ УЗГА, Москва)</t>
  </si>
  <si>
    <t>451_22</t>
  </si>
  <si>
    <t>MIC-200 *с кабелем)+индикаторы
Бюджетирование 2023</t>
  </si>
  <si>
    <t>аналог NI</t>
  </si>
  <si>
    <t>ООО "ИнжПром" (для НПО "ЦентроТех", Росатом)</t>
  </si>
  <si>
    <t>комплекс управления и контроля</t>
  </si>
  <si>
    <t>ГосМКБ Вымпел</t>
  </si>
  <si>
    <t>14.09.22-запрос расписан через офис, до 16.09, запрос разослан по рабочим группам
15.09.22-РСС принял запрос в работу (А.Стифутин)
19.09.22-Получена структурная схема от РСС.
21.09.22-ТКП направлено на согласование в РСС
28.09.22-ТКП согласовано РСС
29.09.22-ТКП согласовано ПТЦ, ОЭП, В.Пак. ТКП направлено Заказчику</t>
  </si>
  <si>
    <t>464_22</t>
  </si>
  <si>
    <t>РГАТУ</t>
  </si>
  <si>
    <t>04.10.22
Не актуально, заказ выиграла другая организация</t>
  </si>
  <si>
    <t>433_22</t>
  </si>
  <si>
    <t>04.10.22
Не актуально. Конечный заказчик отмораживается не дает тех специалистов. Мы работаем через проставочную организацию, по ощущениям заказчики сумели получить предложение на NI</t>
  </si>
  <si>
    <t>04.10.22
Передано в ОМ для подписания и отправки заказчику 03.10.22</t>
  </si>
  <si>
    <t>455_22</t>
  </si>
  <si>
    <t>475_22</t>
  </si>
  <si>
    <t>разработка АСУ нагружения на базе электромеханических силовозбудителей</t>
  </si>
  <si>
    <t>НПК КБМ</t>
  </si>
  <si>
    <t>31.08.22-запрос расписан через офис, до 08.09
01.09.22-Запрос направлен на проработку в РСС
05.09.22-Предварительный ответ на согласовании в РСС - отказ
06.09.22-Сформировано 2 предложения на RX и PXI. Заказчика не устраивают предварительные сроки производства модулей PXI
08.09.22-Заказчик просит сформировать предложение, добавив в него кабели и модули коммутации по ТЗ
09.09.22-Заказчик предоставил ТЗ на испытательный стенд НПО "ЦентроТех" для подготовки комплексного ТКП
13.09.22-Запланированы переговоры Заказчика с РСС (Ай Скрипник)
16.09.22-Переговоры перенесены на 19.09.22 по причине командировки А-й Скрипник
03.10.22-Задача более не актуальна</t>
  </si>
  <si>
    <t>07.10.22
Заказчику отправлена схема с вопросами. Ждем ответ</t>
  </si>
  <si>
    <t>04.10.22
Требуется созвон с заказчиком для обсуждения схемы. Отправлено ориентировочное КП 29.09.22</t>
  </si>
  <si>
    <t>483_22</t>
  </si>
  <si>
    <t>Тензоинжиниринг</t>
  </si>
  <si>
    <t>Тензодинамика 40 кан</t>
  </si>
  <si>
    <t>29.09.22-запрос расписан через офис, до 03.10
29.09.22-обновление цены спецпроверки через Е.Устинову
30.09.2022-ТКП на согл. в РСС
05.10.22-ТКП с сопровод. у А.Семина
19.10.22-ТКП направлено Заказчику исх. 1561 (АО)</t>
  </si>
  <si>
    <t>08.09.22-запрос расписан через офис, до 15.09
14.09.22-Заказчику направлена схема и вопросы от РСС
15.09.22-получены ответы, требуется корр. схемы
23.09.22-выданы данные от РСС
28.09.22-ТКП на согл. в РСС
03.10.22-согл. с В.Паком
04.10.22-на согл. у А.Семина
19.10.22-ТКП направлено Заказчику</t>
  </si>
  <si>
    <t>368_22</t>
  </si>
  <si>
    <t>система регистрации и обработки параметров Старт и Старт 1</t>
  </si>
  <si>
    <t xml:space="preserve">Технодинамика </t>
  </si>
  <si>
    <t>26.09.22-запрос раписан через офис, до 29.09
-заказчику заданы вопросы по составу
согласовано с ПТЦ (6-8)
на согласовании у А.Карулиной/Стифутина
-заданы вопросы заказчику по ИД
03.10.22-данные переданы в РСС
на согласовании в ПТЦ
на согласовании у В.Потолочина
-на согласовании у В.Пака
-ТКП и схема направлены заказчику по e-mail</t>
  </si>
  <si>
    <t>494_22</t>
  </si>
  <si>
    <t>искрозащитные модули</t>
  </si>
  <si>
    <t>12.09.22-запрос расписан через офис, до 19.09
-направлен запрос в БСТК для проработки
15.09.22-повторно направлено в БТК
15.09.22-запрос направлен Скрипнику А-ю, т.к. им разрабатывались
20.09.22-направлены вопросы в ПТЦ, РСС, ЭП
Жду себестоимость от ПТЦ
13.10.22-себестоимость получена, запрошены данные у Светличного и поставщика до 17.10.22
-Заказчику сообщила срок поставки 
-предложили аналоги от компекс-Т, так как у нас снято с производства</t>
  </si>
  <si>
    <t>502_22</t>
  </si>
  <si>
    <t xml:space="preserve">переезд винтового стенда </t>
  </si>
  <si>
    <t>17.10.22-запрос расписан через офис, до 19.10
20.10.22- ТКП направлено Заказчику исх. №1584 (АО)</t>
  </si>
  <si>
    <t>500_22</t>
  </si>
  <si>
    <t>система контроля</t>
  </si>
  <si>
    <t>Авангард</t>
  </si>
  <si>
    <t>18.10.22-запрос по почте, до 19.10
исх. 1569 (АО)</t>
  </si>
  <si>
    <t>оплачен</t>
  </si>
  <si>
    <t>Коростелев</t>
  </si>
  <si>
    <t>Виброконтроль</t>
  </si>
  <si>
    <t>30.12.21-запрос обновить КП по тел.
11.01.22-ТКП +альтернативные направлено Заказчику</t>
  </si>
  <si>
    <t>"Старт", "Старт 1"</t>
  </si>
  <si>
    <t>21.10.22-оплата</t>
  </si>
  <si>
    <t>11.10.22
От ОМ требуется уточнить статус отправки ТКП</t>
  </si>
  <si>
    <t>оборудование LPSC Bangalor. Fire panel</t>
  </si>
  <si>
    <t>498_22</t>
  </si>
  <si>
    <t>Стенд статических испытаний ЛМС-901</t>
  </si>
  <si>
    <t>24.10.22 
От ОМ требуется уточнить статус подготовки ТКП
Требуется запросить проект договора(Попов)</t>
  </si>
  <si>
    <t>490_22</t>
  </si>
  <si>
    <t>аналог PXI-оборудования NI</t>
  </si>
  <si>
    <t>350_22</t>
  </si>
  <si>
    <t>СКВЛ для Калининской АЭС</t>
  </si>
  <si>
    <t>Стенд периодических испытаний на прочность</t>
  </si>
  <si>
    <t>515_22</t>
  </si>
  <si>
    <t>RFQ for vibratoin monitoring system</t>
  </si>
  <si>
    <t>31.10.22
Проработано</t>
  </si>
  <si>
    <t>366_22</t>
  </si>
  <si>
    <t>pressure and LabView</t>
  </si>
  <si>
    <t xml:space="preserve">Kingsly </t>
  </si>
  <si>
    <t>14.03.2022-запрос расписан через офис
25.03.2022-ТКП направлено Ал-ю Скрипнику
28.03.2022-2 ТКП направлено Заказчику через А-я Скрипника</t>
  </si>
  <si>
    <t>536_22</t>
  </si>
  <si>
    <t>аналоги комплексов</t>
  </si>
  <si>
    <t>ГК Эталон</t>
  </si>
  <si>
    <t>31.01.2022-запрос от Скрипника
04.02.2022 - направлено на согласование Скрипнику
09.02.2022 - Скрипник вносит правки в ТКП
14.02.2022 - ТКП откорректированы. На согласовании у Скрипника
18.02.2022 - согласовано Скрипник. Передано Паку
19.02.2022 - согласовано Пак.
22.02.2022 - обговорил ТКП с Семиным. Озвучили цену Заказчику. Принята предыдущая цена - 20 млн. руб. Решение: предоставление нового ТКП и ответа на письмо не требуется.</t>
  </si>
  <si>
    <t>26.01.2022-запрос расписан через офис
-ТЗ направлено Иванову К. для согласования
-ТЗ перенаправлено в РСС для проверки
-ТЗ составлено некоректно, необходимо уточнить детали заказчика
16.02.2022-возможно расширение ТКП, ждем дополнительно ИД
02.03.2022-задача закрыта до появления новых данных</t>
  </si>
  <si>
    <t>527_22</t>
  </si>
  <si>
    <t>ОНПП Технология им. А.Г. Ромашина</t>
  </si>
  <si>
    <t>29.12.21-запрос расписан через офис
- отправлено Заказчику, исх. 31, исх. 32</t>
  </si>
  <si>
    <t xml:space="preserve">27.04.2022-запрос по почте от заказчика на обновление ткп
29.04.2022-ТКП направлено на согласование в РСС и БТК
23.05.2022-по информации от Заказчика через А.Мелихова неактуально в связи с изменениями ИД
</t>
  </si>
  <si>
    <t>Филимонов
Карулина</t>
  </si>
  <si>
    <t>501_22</t>
  </si>
  <si>
    <t>Африкантова</t>
  </si>
  <si>
    <t>СИ реактор</t>
  </si>
  <si>
    <t>172_22</t>
  </si>
  <si>
    <t>сканеры</t>
  </si>
  <si>
    <t>ООО Контрол</t>
  </si>
  <si>
    <t>14.11.2022-запрос по e-mail через А.Карулину на ДС
14.11.2022-заявка на ДС направлена в ДГ
22.11.2022-скан подписанного ДС направлен Заказчику</t>
  </si>
  <si>
    <t>10.11.22-запрос расписан через офис, до 17.11
10.11.22-ИД разосланы в группы, взяли в работу РСС
15.11.22-получена схема от А.Лазарева
18.11.2022-ТКП направлено Заказчику</t>
  </si>
  <si>
    <t>14.07.2022-запрос расписан через офис, ответ до 21.07
15.07.2022-Запрос принят в проработку РСС
01.08.2022-Ожидание ТКП от подрядчика и доп.информации от Заказчика
08.08.2022-Запрошенная информация будет предоставлена после 15.08.2022 (выход специалиста Заказчика из отпуска)
16.08.2022-Ожидание доп.информации от Заказчика (инф-я от Потолочина)
24.08.2022-И.Потолочин по-прежнему ожидает информацию до 31.08.2022
06.09.2022-И.Потолочин ожидает ответ от Заказчика по дополнению исх.данных до 08.09.2022
08.09.2022-Заказчику направлены дополнительные вопросы от Поставщика
13.09.2022-Заказчик по-прежнему не предоставил методику испытаний и ответы на вопросы Поставщика
09.11.2022-Заказчику направлен запрос на предоставление методики испытаний ПОВТОРНО
15.11.2022-Заказчик приостановил проработку ТКП в связи с неготовностью исходных данных</t>
  </si>
  <si>
    <t>18.10.22-запрос расписан через офис, до 25.10
- проработка РСС, 14.10.
- формирование ТКП 02.11.22
- передано на согласование в РСС 31.10.22
- отправлено Заказчику, исх. 1727</t>
  </si>
  <si>
    <t>11.11.22-оплата</t>
  </si>
  <si>
    <t>543_22</t>
  </si>
  <si>
    <t>NI PXI платы</t>
  </si>
  <si>
    <t>15.11.22-запрос расписан через офис, до 18.11
-ожидаем счет на плату (через Коршунова)
-на согласовании у В.Пака
-на согласовании у Семина
-отказ, не наше оборудование</t>
  </si>
  <si>
    <t>522_22</t>
  </si>
  <si>
    <t>25.11.22
Заказчики отмораживаются, приоритет снижен -1</t>
  </si>
  <si>
    <t>25.11.22
Проработано: 15.11.22
от ОМ требуется отправка ТКП с учетом стоимости ПО</t>
  </si>
  <si>
    <t>541_22</t>
  </si>
  <si>
    <t>Испытания БМП</t>
  </si>
  <si>
    <t>КурганмашЗавод</t>
  </si>
  <si>
    <t>15.11.22-запрос расписан через офис, до 23.11
16.11.22-в работе у РСС
-ждем КП от Вибробит</t>
  </si>
  <si>
    <t>554_22</t>
  </si>
  <si>
    <t>модернизация стендов 19,20,21 для дв. Д-30</t>
  </si>
  <si>
    <t>572_22</t>
  </si>
  <si>
    <t>Аналог дино-стенда AVL</t>
  </si>
  <si>
    <t>УГАТУ</t>
  </si>
  <si>
    <t>568_22</t>
  </si>
  <si>
    <t>оборудование для усталостных испытаний резьбовых соединений</t>
  </si>
  <si>
    <t>АО ВМЗ</t>
  </si>
  <si>
    <t>03.10.22-запрос расписан через офис, до 10.10
-необходим перечень нашего оборудования для включения в космическую программу
07.10.22-РСС отправили Заказчику схему с вопросами, ждем ответы
06.12.22-ТКП на согл. в РСС</t>
  </si>
  <si>
    <t>30.11.22-запрос расписан через офис, до 07.12
01.12.22-У А.Семина запрошены контакты Заказчика для уточнения ТЗ
02.12.22-А.Семмин - задача не актуальна, прорааботку приостановить</t>
  </si>
  <si>
    <t>Уходит на след год. Нужна ориент стоимость</t>
  </si>
  <si>
    <t>08.12.22
РСС - есть схема и проект ТКП
от ОМ: оформить КП и отправить</t>
  </si>
  <si>
    <t>07.12.22
Получена заявка на договор. От РСС проработка ТЗ до 15.12.22
От ОМ: договор</t>
  </si>
  <si>
    <t>РУД
Стенды малыши
8-1, 8-2, 14-2, 15-1</t>
  </si>
  <si>
    <t>модернизация АСУТП стенда №1,2 (Винтай)</t>
  </si>
  <si>
    <t>558_22</t>
  </si>
  <si>
    <t>гальваника</t>
  </si>
  <si>
    <t>12.12.22-оплата</t>
  </si>
  <si>
    <t>15.12.22
от РСС: добавить в ТКП панель коммутации</t>
  </si>
  <si>
    <t>01.12.22-запрос расписан через офис, до 08.12
01.12.22-напправлен отказ (А-й Скрипник: не соответствуем требованиям, неконкурентны по цене)
09.12.22-Возобновлена проработка ТКП (А.Скрипник, А.Стифутин, С.Силаев). Обновлены схема и ТКП, направлено на согласование в РСС (С.Силаев). ТКП направлено на согласование В.Пак
12.12.22-ТКП на подписи у А.Семина
15.12.22-ТКП направлено Заказчику по e-mail исх.1937</t>
  </si>
  <si>
    <t>07.10.22-запрос расписан через офис, до 14.10
10.10.22-Запрос принят в работу РСС, разработана структурная схема (Р.Филимонов)
11.10.22-ТКП направлено на согласование в РСС (Р.Филимонову) и в ПТЦ (Е,Щербаковой)
12.10.22-ТКП согласовано РСС, ПТЦ, В.Пак (пересчитано в ценах из таблицы "себестоимость"), направлено Заказчику по e-mail</t>
  </si>
  <si>
    <t>592_22</t>
  </si>
  <si>
    <t>система сбора данных</t>
  </si>
  <si>
    <t>593_22</t>
  </si>
  <si>
    <t>596_22</t>
  </si>
  <si>
    <t>ТТ для сненда испытаний АПД</t>
  </si>
  <si>
    <t>система измерений на грузовик (Rocket transport)</t>
  </si>
  <si>
    <t>23.12.22
Не актуально. По словам Суриканта заказчик нищеброд, решили сами отказаться от проработки системы</t>
  </si>
  <si>
    <t>23.12.22
Не актуально. ТЗ написано под конкретного исполнителя (вероятно)</t>
  </si>
  <si>
    <t>Работы</t>
  </si>
  <si>
    <t>27.12.22
отправлено заказчику предварительное ТКП/ Ждем реакции. Приоритет на ТКП 0 (проработано)</t>
  </si>
  <si>
    <t>27.12.22
Конкурс прошел, наше КП существенно выше по стоимости.</t>
  </si>
  <si>
    <t>27.12.22
Отправлено заказчику 2 варианта
(pxi/ rxi)</t>
  </si>
  <si>
    <t>27.12.22
от ОМ: требуется отправка договора</t>
  </si>
  <si>
    <t xml:space="preserve"> </t>
  </si>
  <si>
    <t>591_22</t>
  </si>
  <si>
    <t>601_22</t>
  </si>
  <si>
    <t>Федор Мартынов</t>
  </si>
  <si>
    <t>600_22</t>
  </si>
  <si>
    <t>Система обработки данных испытаний</t>
  </si>
  <si>
    <t>Риццани де Эккер</t>
  </si>
  <si>
    <t>498_22
597_22</t>
  </si>
  <si>
    <t>008_23</t>
  </si>
  <si>
    <t xml:space="preserve">MIC-026 </t>
  </si>
  <si>
    <t>11.01.23-оплата</t>
  </si>
  <si>
    <t>18.11.22-запрос расписан через офис, до 26.11
-жду ИД от РСС
19.12.22-ТКП на согл. в РСС, запрос стоимости БГ в ДГ
26.12.22-обновление исх. данных от группы, ТКП на согл. в РСС
27.12.22-получены замечания от А.Попова, не успела откорректировать КП
10.01.23-откорр ТКП согл. у Попова, на согл. у А.Семина
12.01.23-ТКП направлено Заказчику</t>
  </si>
  <si>
    <t>13.12.22-запрос расписан через офис, до 20.12
13.12.22-направлено в РСС
По инф-ции от А-я Скрипника ТКП неактуально, ТЗ под конкретного исполнителя, нас рассматривали в качестве альтернативы</t>
  </si>
  <si>
    <t>20.12.22-запрос расписан через офис, до 28.12
20.12.22-в работе у РСС
13.01.23-ТКП неактуально, отказ по инициативе Kingsly</t>
  </si>
  <si>
    <t>26.12.22-запрос расписан через офис, до 13.01
27.12.22-уточнение у Заказчика, что за компания (физ.лицо), контакный тел., направлено в группы
10.01.23-моб. передан Ал-ю Скрипнику
11.01.23-направлены предварительные два варианта КП от РСС, наше КП не устроило по цене, Заказчик выбрал Dewesoft</t>
  </si>
  <si>
    <t>18.10.22-запрос расписан через офис, до 25.10
19.10.22-Требуется актуализация ТКП217_20. Проект ТКП направлен на согласование В.Пак
20.10.22-В.Пак затребовал структурную схему и счета/КП на датчики. Направлен запрос Поставщику-дистрибьютеру индуктивных датчиков перемещения (ответ ожидается до 31.10.2022)
24.10.22-Схема и ТКП направлены на согласование В.Пак
28.10.22-Направлена корректная схема В.Пак
10.11.22-Получены новые замечания по схеме от В.Пак
14.11.22-В.Пак направлены ответы на вопросы, произведена корректировка ТКП
17.11.22-В.Пак потребовал заново проработать ТКП (без учета наработок 2020г.) - ТКП и схема направлены на доработку в РСС
22.11.22-Назначен исполнитель от РСС (срок проработки ответа - до 26.11.22)
29.11.22-Заказчик откорректировал свои требования к системе (со слов РСС Р.Филимонов) - ожидаем ТКП от поставщиков до 05.12.22
16.12.22-Поставщик не предоставил ТКП на тензо-датчики - ориентировочный срок - 28.12.22
27.12.22-РСС (Р.Филимонов) направил Заказчику v4 в виду длительных сроков проработки ТКП Поставщиком. Заказчик должен направить на проработку в МЕРА новый запрос на часть системы (без покупного оборудования) в 2023г.</t>
  </si>
  <si>
    <t>22.12.22-запрос расписан через офис, до 28.12
22.12.22-Запрос передан в проработку РСС до 28.12.22
27.12.22-Направлено напоминание в РСС и А.Стифутину о необходимости проработки запроса ТКП. Назначен исполнитель РСС. Срок - до 16.01.2023
13.01.23-Задача передана Сныгиной (Сныгина)</t>
  </si>
  <si>
    <t>002_23</t>
  </si>
  <si>
    <t>MIC-553+MIC-236</t>
  </si>
  <si>
    <t>17.01.23-запрос от РСС, обновить КП
-на согласовании у В.Потолочина
-на согласовании у В.Пака
-кп направлено заказчику по e-mail</t>
  </si>
  <si>
    <t>004_23</t>
  </si>
  <si>
    <t>перечень оборудования для сопровождения системы КИВИИС-2</t>
  </si>
  <si>
    <t>НИЦ РКП (для КрасМаш)</t>
  </si>
  <si>
    <t>011_22</t>
  </si>
  <si>
    <t>РусГидро
Жигулевская ГЭС</t>
  </si>
  <si>
    <t>10.01.23-запрос расписан через офис, до 13.01
-разослан в группы, взяли РСС до 16.01
-запрошена стоимость датчиков
-на согласовании у В.Пака без датчиков
исх. 28 ООО</t>
  </si>
  <si>
    <t>019_23</t>
  </si>
  <si>
    <t>ПАО Ил-Авиастар</t>
  </si>
  <si>
    <t>16.01.23-оплата</t>
  </si>
  <si>
    <t>24.01.23
20.01.23: Передано в ОМ для оформления</t>
  </si>
  <si>
    <t>Балистический маятник
Устройство разделения
Координатник</t>
  </si>
  <si>
    <t>026_23</t>
  </si>
  <si>
    <t>045_23</t>
  </si>
  <si>
    <t>26.01.23-оплата</t>
  </si>
  <si>
    <t>582_19
439_20
197_22</t>
  </si>
  <si>
    <t>06.02.23
06.02.23 Запрос от заказчика обновить КП</t>
  </si>
  <si>
    <t>26.01.23-запрос расписан через офис, до 01.02
26.01.23-ТКП на согл. в РСС, у А.Карулиной
27.01.23-уточнение ИД по ТЗ у Заказчика, 
30.01.23-ТКП направлено Заказчику</t>
  </si>
  <si>
    <t>059_23</t>
  </si>
  <si>
    <t>Ц17Г3</t>
  </si>
  <si>
    <t>069_23</t>
  </si>
  <si>
    <t>MIC-236, MIC-553</t>
  </si>
  <si>
    <t>НИО №9</t>
  </si>
  <si>
    <t>034_23</t>
  </si>
  <si>
    <t>MIC-224, MIC-185</t>
  </si>
  <si>
    <t>ТАНТК им. Бериева</t>
  </si>
  <si>
    <t>21.12.22-запрос расписан через офис, до 28.12
22.12.22-Запрошена консультация в СТС (направлены вопросы), РСС принял запрос в проработку до 28.12.22
23.12.22-Заказчику направлены уточняющие вопросы
27.12.22-Направлено напоминание в РСС и А.Стифутину о необходимости проработки запроса ТКП. Назначен исполнитель РСС. Срок - до 28.12.22
16.01.23-Требуется выезд на объект Заказчика (запланировано на 19.01.23 РСС Р.Филимонов) для подготовки полного ТКП. Подготовлены, направлены Заказчику: проект договора с замечаниями ДО и ТКП на РКД
20.01.23-РСС ведет проработку информации полученной после проведенных переговоров до 27.01.23
23.01.23-Заказчику направлены схема и РЭ для проверки. Ждем ответ от Заказчика
24.01.23-Схема согласована Заказчиком, ТКП направлено на согласование В.Пак
25.01.23-ТКП на содписи у А.Семина
26.01.23-ТКП подписано, направлено Заказчику по e-mail исх.132 от 26.01.23
31.01.23-Заказчик принял решение закупать оборудование у конкурента - ИнформТест (более современное, перспективы перехода на Astra Linux)</t>
  </si>
  <si>
    <t>16.01.23-запрос расписан через офис, до 18.01
-ТЗ на согласовании у Карулиной
18.01.23-ТЗ направлено в РСС, так как заказ не серийный
20.01.23-в работе у РСС до 24.01
24.01.23-заданы вопросы заказчику
26.01.23-получены ответы
02.02.23-Земских М. делает КП
-согласование срока поставки с ПТЦ
-на согласовании у В.Пака
-направлено по e-mail</t>
  </si>
  <si>
    <t>073_23</t>
  </si>
  <si>
    <t>Data Acquisition System</t>
  </si>
  <si>
    <t>03.02.2023-запрос расписан через офис, до 10.02
09.02.23-из-за загруженности РСС, направлено в группы</t>
  </si>
  <si>
    <t>078_23</t>
  </si>
  <si>
    <t>07.02.23-оплата</t>
  </si>
  <si>
    <t>Мини СИС + СИС 10 тн
модернизация СИС РМ-1</t>
  </si>
  <si>
    <t>Наименование</t>
  </si>
  <si>
    <t>Штатная схема. Готовим ТКП, Отдаем в ОМ. ОМ выполняет действия:</t>
  </si>
  <si>
    <t>автоматизированная поверка</t>
  </si>
  <si>
    <t>412_22
091_23</t>
  </si>
  <si>
    <t>090_23</t>
  </si>
  <si>
    <t>аналоги NI</t>
  </si>
  <si>
    <t>НИИ командных приборов</t>
  </si>
  <si>
    <t>072_23</t>
  </si>
  <si>
    <t>080_23</t>
  </si>
  <si>
    <t>099_23</t>
  </si>
  <si>
    <t xml:space="preserve">13.02.23-запрос расписан через офис, до 17.02
- совещание с Заказчиком, 15.02.23
- отправлено Заказчику, исх. 272 </t>
  </si>
  <si>
    <t>АСУ ТП ЛВД ЛИВУП
ГИПРОНИИАВИАПРОМ</t>
  </si>
  <si>
    <t>стенд для поверки насосов АПД-80</t>
  </si>
  <si>
    <t>03.02.23
03.02.23: НПО Лавочкина запросили обновить КП на подсистему БМП</t>
  </si>
  <si>
    <t>ОДК Стар</t>
  </si>
  <si>
    <t>Цифровой двойник</t>
  </si>
  <si>
    <t>Рентген контроль</t>
  </si>
  <si>
    <t>054_23</t>
  </si>
  <si>
    <t>283_АО_23</t>
  </si>
  <si>
    <t>Поплавок
стенд для разгонных и циклических испытаний</t>
  </si>
  <si>
    <r>
      <t>20.02.2023
17.02.23:</t>
    </r>
    <r>
      <rPr>
        <b/>
        <u/>
        <sz val="11"/>
        <color theme="10"/>
        <rFont val="Calibri"/>
        <family val="2"/>
        <charset val="204"/>
        <scheme val="minor"/>
      </rPr>
      <t xml:space="preserve"> </t>
    </r>
    <r>
      <rPr>
        <u/>
        <sz val="11"/>
        <color theme="10"/>
        <rFont val="Calibri"/>
        <family val="2"/>
        <scheme val="minor"/>
      </rPr>
      <t>Отправлено заказчику за подписью Кокорева</t>
    </r>
  </si>
  <si>
    <t>27.10.22-запрос расписан через офис, до 04.11
27.10.22 - запрос разослан в группы
28.10.22 - РСС взял в проработку
- ожидание ответа от РСС
- официальное письмо в адрес Заказчика с замечаниями 19.12.22
- пауза с ответом до момента принятия решения Кокоревым
- отказ направлен Заказчику, исх. 283</t>
  </si>
  <si>
    <t>высокооборотный привод на 30000</t>
  </si>
  <si>
    <t>Технодинамика</t>
  </si>
  <si>
    <t>28.02.23
приоритет -1 (не актуально), генподрядчик проговорился, что заказано оборудование по проектной документации (Keysight)</t>
  </si>
  <si>
    <t>124_23</t>
  </si>
  <si>
    <t>ПНИПУ</t>
  </si>
  <si>
    <t>11.11.22-запрос срасписан через офис, до 18.11
- ожидание ответа от РСС
- официальное письмо в адрес Заказчика с замечаниями 19.12.22
- ожидание обратной связи от Заказчика
- предварительное ТКП направлено Заказчику, исх. 274</t>
  </si>
  <si>
    <t>ПАО Корпорация Иркут</t>
  </si>
  <si>
    <t>НВЦ Миль и Камов</t>
  </si>
  <si>
    <t>Система измерения и управления для стенда ресурсных испытаний ДТБ</t>
  </si>
  <si>
    <t>06.03.23
от РСC: отказ. ТЗ написано под trialsystems</t>
  </si>
  <si>
    <t>Регистрирует в таблице продаж обновление статуса</t>
  </si>
  <si>
    <t>Убеждается, что заказчик получил КП</t>
  </si>
  <si>
    <t>139_23</t>
  </si>
  <si>
    <t>УМПО Уфа</t>
  </si>
  <si>
    <t>09.03.23
Приоритет -1. Заказчик ориентирован на informtest</t>
  </si>
  <si>
    <t>142_23</t>
  </si>
  <si>
    <t>MIC-400</t>
  </si>
  <si>
    <t>ОКБ Союз</t>
  </si>
  <si>
    <t>06.03.23-запрос рапсисан через офис, до 10.03
-отправлены РЭ для подбора аналога
-на согласовании в РСС
15.03.23-исправила замечания РСС, посторно направила на согласование
-на подписи у Силаева
-отправлено по e-mail</t>
  </si>
  <si>
    <t>17.03.23
РСС: запуск формуляра 2954</t>
  </si>
  <si>
    <t>152_23</t>
  </si>
  <si>
    <t>Салют</t>
  </si>
  <si>
    <t>Проектирование и  прогро-аппарго вычислительного комплекса ... Самолета</t>
  </si>
  <si>
    <t>13.03.23
Выигран конкурс. РСС запуск формуляра 2962</t>
  </si>
  <si>
    <t>164_23</t>
  </si>
  <si>
    <t>Узга</t>
  </si>
  <si>
    <t>ПАО Кузнецов</t>
  </si>
  <si>
    <t>ЭДСУ РУД</t>
  </si>
  <si>
    <t>ОДК Салют</t>
  </si>
  <si>
    <t>20.03.23-оплата</t>
  </si>
  <si>
    <t>154_23</t>
  </si>
  <si>
    <t>ГазпромДобыча Иркут</t>
  </si>
  <si>
    <t>163_23</t>
  </si>
  <si>
    <t>16.01.23-запрос расписан через офис, до 23.01
17.01.23-Запрос направлен в раб.группы
18.01.23-Назначен исполнитель от РСС (А.Лобачев)
20.01.23-РСС ведет подбор оборудования у Поставщиков до 27.01.23
27.01.23-РСС перенес сроки подготовки схемы до 03.02.23
30.01.23-Направлен запрос Поставщикам ТКП (ГлобалТест, НИИФИ) по просьбе И.Потолочина
02.02.23-РСС планирует поездку к Заказчику для сбора исх.данных до 13.02.23
09.02.23-РСС проводит встречу на территории Заказчика
10.02.23-РСС ведет проработку структурной схемы до 20.02.2023
27.02.23-РСС (О.Коростелев) ожидает ТКП от поставщика датчика-угла отклонения до 15.03.23
10.03.23-Проект отказа направлен А.Семину на подпись
20.03.23-Отказ направлен Заказчику по e-mail исх.</t>
  </si>
  <si>
    <t>401_ООО_23</t>
  </si>
  <si>
    <t>ООО ИЦТМ</t>
  </si>
  <si>
    <t>Сныгина</t>
  </si>
  <si>
    <t>задержка, мс</t>
  </si>
  <si>
    <t>588_22</t>
  </si>
  <si>
    <t>ГАП</t>
  </si>
  <si>
    <t>Проектирование Ц2, Ц3</t>
  </si>
  <si>
    <t>177_23</t>
  </si>
  <si>
    <t>Испытание редукторов</t>
  </si>
  <si>
    <t>Система испытания энергосистемы</t>
  </si>
  <si>
    <t>Система регистрации</t>
  </si>
  <si>
    <t>175_23</t>
  </si>
  <si>
    <t>176_23</t>
  </si>
  <si>
    <t>01.03.23- запрос расписан через офис, до 10.03.23
01.03.23-нет ТЗ, ИД, созванивалась с Заказчиком, направила Заказчику опросный лист, ждем тех.хар-ки
09.03.23-получила ТЗ и схему, согласовала состав с А.Панферовым
09.03.23-письмо с КП у А.Семина
17.03.23-повторно пришел запрос ВХ. 375 расписан через офис, до 24.03
21.03.23-КП направлено Заказчику исх. №465 (АО)
-по информации от Заказчика они от нас ждут теперь общее ТКП ЭДСУ+MIC-355M (2 шт.) в одном договоре, 20 % аванс БГ (КП №140_23)</t>
  </si>
  <si>
    <t>03.03.23-запрос расписан через офис, до 10.03
03.03.23-запрос направлен в группы
06.03.23-РСС взяли в работу
09.03.23-РСС будет договариваться с подрядчиком  о возможном сотрудничестве в работе над этим проектом
29.03.23-по инф-ции от Р.Филимонова идет проработка ТЗ в РГАТУ
31.03.23-ответ направлен Заказчику исх. №198 (ООО)
-обещаем ответ о возможности реализации проекта до конца апреля</t>
  </si>
  <si>
    <t>171_23</t>
  </si>
  <si>
    <t>сканер давления жидкости</t>
  </si>
  <si>
    <t>Морской технический университет</t>
  </si>
  <si>
    <t>27.03.23-запрос расписан через офис, до 31.03
28.03.23-в работе у РСС
29.03.23-КП согл. с С.Силаевым, В.Паком, направлено Заказчику</t>
  </si>
  <si>
    <t>13.02.23-запрос расписан через офис, до 17.02
13.02.23-Запрос направлен в раб.группы
14.02.23-Заказчику направлено предложение - ознакомиться с продукцией на сайте. Запланирован звонок на 17.02.23. Исх.85 от 15.02.23
01.03.23-Назначены тел.переговоры на 09.03.23 (РСС) о подборе аналогов МЕРА
10.03.23-Заказчик выбрал конкурентов - InformTest</t>
  </si>
  <si>
    <t>28.03.23-запрос расписан через офис, до 30.03
28.03.23 - ответ отправлен по электр. почте</t>
  </si>
  <si>
    <t>182_23</t>
  </si>
  <si>
    <t>АСУ ТП Ц17Г3</t>
  </si>
  <si>
    <t>183_23</t>
  </si>
  <si>
    <t>Ровер</t>
  </si>
  <si>
    <t>30.03.23-оплата</t>
  </si>
  <si>
    <t>ПНР нагруж. Устр-ва
работы_СУОСК</t>
  </si>
  <si>
    <t>134_23
333_21</t>
  </si>
  <si>
    <t>ТКП Шаблон</t>
  </si>
  <si>
    <t>187_23</t>
  </si>
  <si>
    <t>17.03.23-запрос расписан через офис, до 24.03
20.03.23-взяли в работу РСС
03,04.23-РСС выдали схему, готовлю КП
06.04.23-взяла в работу (Сныгина) 
07.04.23-на согласовании у В.Пака
-направлено предварительное КП по e-mail (Сныгина)</t>
  </si>
  <si>
    <t>30.03.23-запрос расписан через офис, до 07.04
отправлено 06.04 по e-mail(Сныгина)</t>
  </si>
  <si>
    <t>20.03.23-запрос расписан через офис, до 27.03
- согласование ТКП у Потапова, дата отправки 04.04.
- отправлено Заказчику, исх. 593</t>
  </si>
  <si>
    <t>189_23</t>
  </si>
  <si>
    <t xml:space="preserve">разработка, изготовление и поставка стенда для предмонтажной наладки </t>
  </si>
  <si>
    <t>205_23</t>
  </si>
  <si>
    <t>модернизация Ц3
MIC-170</t>
  </si>
  <si>
    <t>29.03.23-запрос расписан через офис, до 04.04
30.03.23 - направлен запрос на стоимость рабочей станции DEPO
06.04.23 - КП от DEPO получено. В ТКП будут внесены правки и направлены на согласование 10.04
10.04.23 - направлены на согласование в РСС
11.04.23 - замечания по цене MB-2087. Через ЭП направлен запрос поставщикам на актуализацию цены
14.04.23 - получен ответ по срокам и цене. 
16.04.23 - запрос по разъемам РММ47
18.04.23 - поставщики не выдают цены и сроки по разъемам. Требуется переговорить с Заказчиком (на завтра)
21.04.23 - исх 710 АО</t>
  </si>
  <si>
    <t>29.03.23-запрос расписан через офис, до 04.04
10.04.23 - направлены на согласование в РСС
11.04.23 - замечания по цене MB-2087. Через ЭП направлен запрос поставщикам на актуализацию цены
14.04.23 - получен ответ по срокам и цене. 
16.04.23 - запрос по разъемам РММ47
18.04.23 - поставщики не выдают цены и сроки по разъемам. Требуется переговорить с Заказчиком (на завтра)
21.04.23 - исх 710 АО</t>
  </si>
  <si>
    <t>АТМ Гидравлик</t>
  </si>
  <si>
    <t>001_23</t>
  </si>
  <si>
    <t>ГБИП России</t>
  </si>
  <si>
    <t>221_23</t>
  </si>
  <si>
    <t>Статзал 4 канала</t>
  </si>
  <si>
    <t>19.04.23-запрос расписан через офис, до 27.04
21.04.23-письмо передано в ДГ, яв-ся частью договора
-ответ не требуется</t>
  </si>
  <si>
    <t>28.02.23-запрос расписан через офис, до 14.03
28.02.23-Запрос разослан в раб.группы для предварительной проработки до 06.03.23
02.03.23-Налажена обратная связь с тех.специалистами Заказчика для отправки вопросов по ТЗ (готовит РСС, А.Лобачев), вопросы направлены Заказчику, ожидаем ответ до 09.03.23
10.03.23-Получены данные по приводу, ожидаем данные по системе охлаждения до 15.03.23
16.03.23-Запрошено подтверждение мощности привода - есть расхождения в ТЗ, ведется поиск соисполнителя/поставщика по пневматической части до 20.03.23
20.03.23-РСС разрабатывает схему до 24.03.23
24.03.23-РСС ожидает ТКП от поставщиков до 03.04.23
03.04.23-РСС готовит схему до 14.04.23
14.04.23-РСС готовит схему до 24.04.23
25.04.23-РСС отказался от проработки из-за отсутствия предложений от поставщиков по системе охлаждения и запрошенных исх.данных от Заказчика</t>
  </si>
  <si>
    <t>202_22</t>
  </si>
  <si>
    <t>КБ Факел</t>
  </si>
  <si>
    <t>230_23</t>
  </si>
  <si>
    <t>Техностиль</t>
  </si>
  <si>
    <t>Вибровозбуждение лопасти</t>
  </si>
  <si>
    <t>231_23</t>
  </si>
  <si>
    <t>АНХК</t>
  </si>
  <si>
    <t>226_23</t>
  </si>
  <si>
    <t>ИФЗ РАН</t>
  </si>
  <si>
    <t>Аналоги NI
Драйвера LV</t>
  </si>
  <si>
    <t>Вибрации электрокомпрессора</t>
  </si>
  <si>
    <t>Коршунов
Коростелев</t>
  </si>
  <si>
    <t>Оплачено</t>
  </si>
  <si>
    <t>БИС-РУС
АНХК</t>
  </si>
  <si>
    <t>188_23</t>
  </si>
  <si>
    <t>Система загрузки стенда У-2350</t>
  </si>
  <si>
    <t>245_23</t>
  </si>
  <si>
    <t>Статзал Миль</t>
  </si>
  <si>
    <t>244_23</t>
  </si>
  <si>
    <t>ООО Альвекс</t>
  </si>
  <si>
    <t>MIC-355 с датчиками</t>
  </si>
  <si>
    <t>Сложн.
Заказа</t>
  </si>
  <si>
    <t>ОДК Сервис Ейск
НСО_АЛ-31Ф</t>
  </si>
  <si>
    <t>РСС: отказ. Не наша тема</t>
  </si>
  <si>
    <t>15.05.2023-Заказчик запроси актуализированное ТКП
16.05.2023-РСС запросил актуальные ТКП у Поставщиков
17.05.2023-ТКП направлено на согласование В.Пак
18.05.2023-ТКП подписано А.Семиным,  направлено Заказчику по e-mail исх.(АО)879 от 18.05.2023</t>
  </si>
  <si>
    <t>239_23</t>
  </si>
  <si>
    <t>Двигатель прототип</t>
  </si>
  <si>
    <t>УМПО</t>
  </si>
  <si>
    <t>21.04.23-запрос расписан через офис, до 28.04
24.04.23-запрос разослан по раб.группам для предварительной проработки, РСС принял в работу до 02.05.23
02.05.23-Подготовка схемы до 10.05.23
04.05.23-Заказчику направлен отказ - запрос вне компетенции МЕРА</t>
  </si>
  <si>
    <t>241_23</t>
  </si>
  <si>
    <t>проектная документация</t>
  </si>
  <si>
    <t>10.05.23-запрос расписан через офис, до 12.05
-отправлено на согласование Скрипнику А-р</t>
  </si>
  <si>
    <t>03.02.2023-запрос расписан через офис, до 13.02
- определение объема работ МЕРой
- ожидание ответа Заказчика по результатам совещания 09.02
- ожидание ответа от Заказчика по ИД
- переведен Заказчиком во 2 приоритет, ответ на данный момент не требуется
- задача закрыта до момента получения ИД от Заказчика</t>
  </si>
  <si>
    <t>25.04.23-оплата</t>
  </si>
  <si>
    <t>ОДК Сатурн (Омск)</t>
  </si>
  <si>
    <t>253_23</t>
  </si>
  <si>
    <t>КИВИИС-2 (дополнение)
Договор сопровождения</t>
  </si>
  <si>
    <t>266_23</t>
  </si>
  <si>
    <t>Перспективные</t>
  </si>
  <si>
    <t>отправлено 31.05.2023</t>
  </si>
  <si>
    <t>АО "АВТОВАЗ" на Локальный измерительный комплекс</t>
  </si>
  <si>
    <t>АО "АВТОВАЗ"</t>
  </si>
  <si>
    <t xml:space="preserve">нет католога </t>
  </si>
  <si>
    <t>284_23</t>
  </si>
  <si>
    <t>ЦНИИ Крылова</t>
  </si>
  <si>
    <t>аАльвекс</t>
  </si>
  <si>
    <t>12.05.23-запрос расписан через офис, до 19.05
15.05.23-в работе у РСС
15.05.23-Заказчику направлен список вопросов, ждем ответ
22.05.23-заказчик ответил, что уточняет ТЗ
26.05.23-жду схему от РСС для определения ориентировочной цены
26.05.23-Заказчику направлена ориентировочная предварительная цена одной строкой по схеме вар. 2</t>
  </si>
  <si>
    <t>261_23</t>
  </si>
  <si>
    <t>16.05.23-запрос расписан через офис, до 22.05
16.05.23  работе у РСС
23.05.23- направлено письмо на пропуск для сотрудников исх. №928 (АО), командировка 30-31.05 с целью тех. обследования стенда
29.05.23-Заказчику направлено письмо исх. №980 (АО)</t>
  </si>
  <si>
    <t>10.03.23-запрос расписан через офис, до 17.03
10.03.23-Направлено в проработку по раб.группам, принят в работу РСС
20.03.23-РСС ведер разработку схемы до 30.03.23, необходим выезд РСС на объект для оценки трудоемкости ремонтных работ
31.03.23-ТКП согласовано В.Пак, письмо на подписи у А.Семина
04.04.23-ТКП направлено Заказчику по e-mail (исх.(АО)№575 от 03.04.2023)
10.04.23-Запланированы переговоры с Заказчиком в г. Москва по ЧТЗ на ПО и расшифровке состава/стоимости работ в период 17-24.04.23 (А-р Скрипник)
25.04.23-Схема/ТКП будут готовы до 28.04.23 (требуется удешевление)
28.05.23-Схема на согласовании у Ар.Скрипник до 05.05.23
10.05.23-Схема требует согласования с Заказчиком  до 15.05.23 (А-р Скрипник ведет тех.переговоры)
16.05.23-РСС (А.Коршунов) должен откорректировать схему до 17.05.23
17.05.23-Проработка ТКП приостановлена в связи с отпуском Заказчика до 05.06.23
29.05.23-актуализированное ТКП направлено на согласование В.Пак
30.05.23-ТКП направлено Заказчику по e-mail - исх.(АО)991 от 30.05.23</t>
  </si>
  <si>
    <t>05.04.23-запрос расписан через офис, до 14.04
05.04.23-РСС (Р.Филимонов) принял запрос в проработку - требуется обновить цены на гидравлику до 13.04.23
14.04.23-А-й Скрипник не назначил исполнителя т.к. Р.Филимонов ничего по ТКП не делал. Определение срока проработки ТКП 17.04.23
17.04.23-Р.Филимонов принял запрос в проработку до 24.04.23
25.04.23-Р.Филимонов ожидает ТКП от поставщика гидравлики (Альфа-Гидро) до 28.04.23
28.04.23-ТКП согласовано В.Пак, на согласовании у А.Семина до 02.05.23
04.05.23-ТКП согласовано А.Семиным
10.05.23-ТКП направлено Заказчику по e-mail - исх.(АО)805 от 10.05.2023</t>
  </si>
  <si>
    <t>154_22</t>
  </si>
  <si>
    <t>MIC-355 (адвалорная доля)</t>
  </si>
  <si>
    <t>Газпром добыча Иркутск</t>
  </si>
  <si>
    <t>30.05.23-запрос расписан через офис, до 05.06
31.05.23-Запрошены ТКП Поставщиков в РСС для подготовки расчета
07.06.23-Письмо на согласовании у А.Семина
08.06.23-Ответ направлен Заказчику - исх.(ООО)№402 от 08.06.23</t>
  </si>
  <si>
    <t>293_23</t>
  </si>
  <si>
    <t xml:space="preserve">тензостанция  </t>
  </si>
  <si>
    <t>31.05.23-запрос расписан через офис, до 05.06
01.05.23-Заказчику направлены уточняющие вопросы - ожидаю ответ до 05.06.23
07.06.23-Заказчик предоставил доп.информацию - ТКП согласовано РСС, направлено в ПТЦ
08.06.23-ТКП согласовано В.Пак, А.Семиным, добавлена БГ 5%. Ответ направлен Заказчику по e-mail</t>
  </si>
  <si>
    <t>11.05.23-запрос расписан через офис, до 17.05
КП на согласовании у РСС
-на согласовании сроков поставки в ПТЦ
-на подписи в РСС
отправлено по e-mail, исх. 371 (ООО)</t>
  </si>
  <si>
    <t>246_23
247_23
248_23
249_23</t>
  </si>
  <si>
    <t>15.05.23-запрос расписан через офис, до 19.05
-уточнен вопрос по кабелям
-на согласовании у В.Пака
23.05.23-на подписи у Семина
30.05.23-на согласовании у Потолочина
-запрошена новая информация по КП
06.06.23-звонок заказчика с новыми данными
07.06.23-ТКП готовы. С дублем на MR. На согласовании у Потолочина
09.06.23-исх. 397</t>
  </si>
  <si>
    <t>16.05.23-запрос расписан через офис, до 18.05
-заданы вопросы заказчику
25.05.23-ответы получены
26.05.23-запрошены себестоимость в ПТЦ
26.05.23-задан вопрос по блоку питания заказчику
30.05.23-на согласовании у Силаева
31.05.23-запрос направлен по e-mail</t>
  </si>
  <si>
    <t>19.05.23-запрос по телефону
-на согласовании у В.Потолочина
-на согласовании у В.Пака
23.05.23-на подписи у Семина
-исх. 343</t>
  </si>
  <si>
    <t>31.05.23-запрос расписан через офис, до 05.06
проработка схемы до 07.06 Лазарев
07.06.23-ТКП на согласовании у Лазарева по технике
на согласовании у В.Пака
-кп направлено по e-mail</t>
  </si>
  <si>
    <t>11.04.23-запрос расписан через офис, до 14.04
02.05. принмиаем решение, скорее всего отказ
- отказ, письмо 06.06
- отказ направлен Заказчику, исх. 913</t>
  </si>
  <si>
    <t>Адаптация и доработка опытного стенда
Машинное зрение</t>
  </si>
  <si>
    <t>19.06.23-оплата</t>
  </si>
  <si>
    <t>24.04.23-запрос расписан через офис, до 03.05
27.04.23-Запрос направлен на проработку в раб.группы
28.04.23-РСС принял запрос в работу до 03.05.23
04.05.23-РСС готовит схему до 18.05.23
18.05.23-РСС готовит схему до 22.05.23
22.05.23 - РСС подготовил вопросы по оборудованию - направлены Заказчику до 29.05.23
29.05.23-Нет обратной связи от Заказчика, проработка приостановлена
07.06.23-Заказчик предоставил ответы на вопросы
15.06.23-РСС отказывается от проработки ТКП в виду отсутствия сертификата на сейсмостойкость (требование ТЗ), Заказчику направлен отказ по e-mail</t>
  </si>
  <si>
    <t>324_23</t>
  </si>
  <si>
    <t>27.06.23-запрос расписан через офис. до 29.06
28.06.23-ТКП у В.Пака
30.06.23-ТКП направлено Заказчику</t>
  </si>
  <si>
    <t>331_23</t>
  </si>
  <si>
    <t>286_23</t>
  </si>
  <si>
    <t>342_23</t>
  </si>
  <si>
    <t>19.07.23-оплата</t>
  </si>
  <si>
    <t>30.06.23-запрос расписан через офис, до 06.07
03.07.23-Ожидаю ТКП от поставщика индикаторов
05.07.23-ТКП на согласовании у А-р Скрипник до 06.07.23
07.07.23-ТКП на согласовании у И.Сныгиной
10.07.23-ТКП направлено Заказчику по e-mail</t>
  </si>
  <si>
    <t>04.07.23-запрос направлен на проработку в РСС - в ТКП не была учтена система пространственных измерений (А-й Скрипник) до 14.07.23
07.07.23-Ответ направлен Заказчику по e-mail - исх.(АО)1328 от 07.07.23</t>
  </si>
  <si>
    <t>011_23</t>
  </si>
  <si>
    <t>виброизмерительное оборудование</t>
  </si>
  <si>
    <t>РусГидро Жигулевская ГЭС</t>
  </si>
  <si>
    <t>04.07.23-запрос расписан через офис, до 10.07
04.07.23-обновленное ТКП направлено на согласование И.Сныгиной, А.Семин требует связаться с Заказчиком, чтобы убедиться, что Заказчик готов приобрести некомплектную систему (без датчиков)
05.07.23-Заказчик подтвердил (срок подготовки - до 14.07.23) потребность в комплектной системе - запрос направлен на проработку в РСС до 14.07.23
14.07.23-Проработка ТКП приостановлена - ТКП2022-511 Авангард - в приоритете (Ар Скрипник)</t>
  </si>
  <si>
    <t>27.06.23 - Получен запрос от Заказчика по количеству жил кабелей для расчета количества клемм, направлен ответ
28.06.23 - Получены дополнительные вопросы от Заказчика - направлены в ПТЦ и ПКГ, откорректировано ТКП (добавлены кабели и провод, исправлены опечатки в наименовании до 03.07.23
29.06.23 - Направлены ответы - предложены наименования кабелей, откорректирован тип MIC-1150, ожидаем запрос ТКП на корректированную конфигурацию модулей</t>
  </si>
  <si>
    <t>10.03.23-запрос расписан через офис, до 15.03
- проработка ТКП
- согласование ТКП, отправка 28.06.23
- отправлено Заказчику, исх. 1364</t>
  </si>
  <si>
    <t>04.04.23-запрос расписан через офис, до 10.04
06.04 - передано в РСС
- отправлено Заказчику, исх. 506</t>
  </si>
  <si>
    <t>29.03.23-запрос расписан через офис, до 05.04
- передано в РСС 30.03.23
- формирование ТКП 28.06
- ответ направлен Заказчику, исх. 1363</t>
  </si>
  <si>
    <t>358_23</t>
  </si>
  <si>
    <t>автоматизация стенда для проведения аэродинамических испытаний</t>
  </si>
  <si>
    <t>ООО ТРАКС</t>
  </si>
  <si>
    <t>Поверка
СИУИТ</t>
  </si>
  <si>
    <t>20.07.23-оплата</t>
  </si>
  <si>
    <t>электропривод и шкаф управления</t>
  </si>
  <si>
    <t>19.07.23-запрос расписан через офис, до 07.08
-ТЗ направлено на проработку в РСС (Сныгина)</t>
  </si>
  <si>
    <t>30.06.23-запрос расписан через офис, до 07.07
30.06.23-ТЗ передано Скрипнику А-ю, Силаеву
-посмотрят после отпуска ор. к 25.07
03.07.23-Вх. 876
04.07.23-обр. связь по ТЗ от А-ра Скрипника, требуется проработка, ждем Силаева и Скрипника А-я
05.07.23- Заказчику направлено письмо о заинтересованности участия в ОКР исх. №1293 (АО)
18.07.23-ТЗ смотрит С.Силаев
-жду переговоры А-я Скрипника с Лисейкиным по объему нашего участия в проекте</t>
  </si>
  <si>
    <t>361_23</t>
  </si>
  <si>
    <t>MIC-1200_компрессор_ГТЭ-65.1</t>
  </si>
  <si>
    <t>362_23</t>
  </si>
  <si>
    <t>Сияние</t>
  </si>
  <si>
    <t>363_23</t>
  </si>
  <si>
    <t>368_23</t>
  </si>
  <si>
    <t>Стенд промывки</t>
  </si>
  <si>
    <t xml:space="preserve">   </t>
  </si>
  <si>
    <t>06.07.23-оплата</t>
  </si>
  <si>
    <t>24.07.23-запрос раписан через офис, до 28.07
25.07.23-запрошены тех.характеристки или ТЗ у Заказчика, задача направлена Ал-ру Скрипнику на рассмотрение
26.07.23-ТЗ скинула Панферову и Скрипнику, требуется уточнение ИД
28.07.23-ИД от Скрипника, схема и фото направлены Заказчику
31.07.23-КП согл. Скрипник, Панферов, на согл. у Масловой
02.08.23-письмо у А.Семина
04.08.23-ТКП направлено Заказчику исх. №1559 (АО)</t>
  </si>
  <si>
    <t xml:space="preserve">30.06.23-запрос расписан через офис, до 06.07
06.07.23 - ожидаем рекомендательное письмо от ЦНИИАГ, чтобы открыть счет в НОВИКОМБАНК
12.07.23 - рекомендательное письмо получено. направлено в банк на открытие счета
19.07.23-счет будет открыт до 28.07
02.08.23 - исх 1351 АО
</t>
  </si>
  <si>
    <t>модернизация АСИ и УТП</t>
  </si>
  <si>
    <t>НИИМаш</t>
  </si>
  <si>
    <t>21.07.23-запрос расписан через офис, до 25.07
заданы вопросы по технике
вопросы по монтажу и технике заданы заказчику
согласовано с Силаевым
-на согласовании у Семина
направлено по e-mail</t>
  </si>
  <si>
    <t>20.07.23-запрос расписан через офис, до 04.08
20.07.23-ТЗ направлено в РСС (С.Силаеву) для проработки
26.07.23-РСС планирует переговоры с Заказчиком 27.07.23 по замечаниям
28.07.23-Обнаружены несоответствия в ТЗ и фактической реализации - А.Коршунов будет разбираться до 07.08.2023
03.08.23-ТКП на согласовании у Коршунова
04.08.23-ТКП отправлено Заказчику по e-mail исх.(АО)1571</t>
  </si>
  <si>
    <t>386_23</t>
  </si>
  <si>
    <t>ОНПП Технологии им. А.Г. Ромашина</t>
  </si>
  <si>
    <t>24.04.23-запрос расписан через офис, до 05.05
- передано Авиа 25.04.23 (отказ)
- передано РСС 26.04.23
- ответ направлен Заказчику, исх. 794</t>
  </si>
  <si>
    <t>19.07.23-запрос расписан через офис, до 31.07
- отказ, исх. 1524</t>
  </si>
  <si>
    <t>400_23</t>
  </si>
  <si>
    <t>Национальный испытательный центр Орел</t>
  </si>
  <si>
    <t>16.08.23-запрос расписан через офис, до 21.08
созвонились с заказчиком, запрос неактуален, реализуют на Овне</t>
  </si>
  <si>
    <t>395_23</t>
  </si>
  <si>
    <t>410_23</t>
  </si>
  <si>
    <t>ГКНПЦ Хруничева</t>
  </si>
  <si>
    <t>422_23</t>
  </si>
  <si>
    <t>432_23</t>
  </si>
  <si>
    <t>КБХМ Сияние</t>
  </si>
  <si>
    <t>20.07.23-запрос расписан через офис, до 31.07
26.07.23-совещание с новым Заказчиком, у нас есть интерес к задаче, проект недорогой, но в дальнейшем возможен ещё один стенд (нас рекомендовала Веза)
02.08.23-получены ИД, передано Скрипнику, Лобачеву
-жду схему от РСС
23.08.23-ТКП передавно на согл. Скрипнику Ал-ру
24.08.23-ТКП направлено Заказчику исх. №624 (ООО)</t>
  </si>
  <si>
    <t>421_23</t>
  </si>
  <si>
    <t>КИВИИС</t>
  </si>
  <si>
    <t>418_23</t>
  </si>
  <si>
    <t>НЦВ Миль и Камов</t>
  </si>
  <si>
    <t>423_23</t>
  </si>
  <si>
    <t>17.08.23-запрос расписан через офис, до 22.08 задан вопрос заказчику по поводу перехода на MR -решили взять MIC-355. заданы вопросы СТС по МХ-416
01.09.23-Принял в работу от И.Масловой (отпуск). С.Силаев ведет переговоры с Заказчиком по уточнению типа оборудования до 04.09.23
05.09.23-Ожидаю уточненные требования от Заказчика до 11.08.23
07.09.23-Поступил ответ от Заказчика, ожидаю схему от РСС
08.09.23-ТКП согласовано РСС, на подписи у А.Семина
11.09.23-ТКП согласовано В.Пак (по e-mail), направлено Заказчику по e-mail - исх.(ООО)679 от 11.09.2023</t>
  </si>
  <si>
    <t>138_23</t>
  </si>
  <si>
    <t>Статистика</t>
  </si>
  <si>
    <t>457_23</t>
  </si>
  <si>
    <t>ГТЭ65</t>
  </si>
  <si>
    <t>439_23</t>
  </si>
  <si>
    <t>Система измерения испытаний патрубков</t>
  </si>
  <si>
    <t>29.08.23-запрос расписан через офис, до 06.09
29.08.23-разослано в группы
30.08.23-в  работе у А-я Скрипника
12.09.23-направила КП на согл. в РСС
13.09.23-КП согл. с РСС, у А.Семина, направлено Заказчику</t>
  </si>
  <si>
    <t>08.09.23-запрос расписан через офис, до 15.09
08.09.23-Договор передан на проверку в ДО, ТЗ передано на проверку в РСС до 15.09.23
11.09.23-ТЗ согласовано РСС, подписан лист согласования Договора, Договор передан на подпись И.Потапову
18.09.23-Договор на регистрации у Л.Дышкант до 19.09.23
19.09.23-Договор направлен Заказчику - исх.№1939 от 19.09.23</t>
  </si>
  <si>
    <t>140_23
121_23</t>
  </si>
  <si>
    <t>460_23</t>
  </si>
  <si>
    <t>ОРГРЭС</t>
  </si>
  <si>
    <t>АО Эна</t>
  </si>
  <si>
    <t>Виброоборудование для диагностики насосов</t>
  </si>
  <si>
    <t>1256_ООО_23</t>
  </si>
  <si>
    <t>434_23</t>
  </si>
  <si>
    <t>ОАО МТЗ</t>
  </si>
  <si>
    <t>Испытания на прочность кабин тракторов (Статзал 3 канала)</t>
  </si>
  <si>
    <t>481_23</t>
  </si>
  <si>
    <t>НИИМАШ</t>
  </si>
  <si>
    <t>АСУиУ</t>
  </si>
  <si>
    <t>06.09.23-запрос расписан через офис, до 14.09
08.09.23 - Сделаю КП до 15.09.23 (из-за загруженности текущими задачами)
13.09.23 - ТКП готово на 90%
15.09.23 - направлено на согласование в РСС и ПТЦ
20.09.23 - согласовано ПТЦ, РСС, Маслова. Передано Семину
28.09.23 - по-прежнему на согласовании у Семина
04.10.23 - исх 2040 АО</t>
  </si>
  <si>
    <t>440_23</t>
  </si>
  <si>
    <t>Система измерения доп. к СУСР (малая)</t>
  </si>
  <si>
    <t>ГКНПЦ им. Хруничева</t>
  </si>
  <si>
    <t>06.09.23-запрос расписан через офис, до 14.09
12.09.23 - согласовано ПТЦ, Скрипник Ал-й, Семин
13.09.23 - отправлено Заказчику исх 1895 АО</t>
  </si>
  <si>
    <t>21.09.23 - проведено техническое совещаний у заказчика . Проект 24-о года. Рсс и заказчик - составление ТЗ на ПО до 20.10.23</t>
  </si>
  <si>
    <t>486_23</t>
  </si>
  <si>
    <t>Газпром Диагностика</t>
  </si>
  <si>
    <t>29.08.23-запрос пришел по почте, до 31.08
-необходима проверка техники
-на согласовании у Семина
14.09.23-ТКП направлено Заказчику</t>
  </si>
  <si>
    <t>492_23</t>
  </si>
  <si>
    <t>стендовая измерительная система</t>
  </si>
  <si>
    <t>435_23</t>
  </si>
  <si>
    <t>08.02.23-запрос расписан через офис, до 14.02
08.02.23-ТКП на согласовании у А.Семина
09.02.23-ТКП направлено Заказчику по e-mail
25.10.23-Заказчик бюждетирует 078_23/1 на 2025г., а 078_23/2 - на 2024г.</t>
  </si>
  <si>
    <t>19.04.23-запрос расписан через офис, до 27.04
24.04.23-Запрошена консультация в СТС
25.04.23-В связи с отпуском Д.Прогонова - запрос перенаправлен Д.Милосердову, переадресован Е.Кузнецову
25.04.23-После консультации с Е.Кузнецовым Заказчику заданы уточняющие вопросы, запрос перенаправлен А-й Скрипник (требуется совместимость с ПО LabVew) до 02.05.23
26.04.23-РСС (А-й Скрипник) принял проработку вопроса по совместимости ПО с LabVEW до 02.05.23
04.05.23-направлено предварительное предложение (срок разработки 1мес. испытания на крейте NI Заказчика). Ожидаю ответ до 10.05.23
10.05.23-Заказчик обдумывает предварительное предложение, запланирован звонок 15.05.23
15.05.23-Заказчик взял паузу до 13.06.23
14.06.23-Заказчик не имеет возможности в предоставлении своего крейта NI для проведения отладки - А.Скрипник готов проводить тестирование у Заказчика. Промежуточные результаты разработки у Фокина до 03.07.23
17.07.23-Промежуточные результаты разработки будут после выхода из отпуска А-й Скрипника до 24.07.23
24.07.23-Промежуточные результаты разработки будут после выхода из отпуска С.Фокина до 31.07.23
22.08.23-С.Фокин продолжает разработку ПО до 30.09.2023
24.10.23-С.Фокин продолжает разработку ПО до 30.11.2023</t>
  </si>
  <si>
    <t>24.08.23-Заказчик запросил ТКП для бюджетирования на 2024г. через А-й Скрипник
25.08.23-Проект ТКП направлен А-й Скрипник на согласование (А.Кокорев предложил заложить дополнительный резерв на работы), ТКП направлено Заказчику для бюджетирования 2024г.</t>
  </si>
  <si>
    <t>Балистический маятник</t>
  </si>
  <si>
    <t>505_23</t>
  </si>
  <si>
    <t>509_23</t>
  </si>
  <si>
    <t>515_23</t>
  </si>
  <si>
    <t>Ежова</t>
  </si>
  <si>
    <t>ООО Группа Ай-Эм-Си</t>
  </si>
  <si>
    <t>стенд для вертолетов Ка-62</t>
  </si>
  <si>
    <t>Возбуждение лопатки ударом</t>
  </si>
  <si>
    <t>517_23</t>
  </si>
  <si>
    <t>MIC-355+RS485</t>
  </si>
  <si>
    <t>Потолочин М.П.
Силаев</t>
  </si>
  <si>
    <t>Потолочин М.П.
Скрипник Ай</t>
  </si>
  <si>
    <t>L Scada</t>
  </si>
  <si>
    <t>489_23</t>
  </si>
  <si>
    <t>МСУ</t>
  </si>
  <si>
    <t>ПО управления рентген лучем</t>
  </si>
  <si>
    <t>Travelmax</t>
  </si>
  <si>
    <t>1457_ООО_23</t>
  </si>
  <si>
    <t>АСУТП Мастероской складского хозяйства honeywell</t>
  </si>
  <si>
    <t>MIC-1200 для ЛАЭС</t>
  </si>
  <si>
    <t>07.11.23-Заказчик запросил ТКП без опций и кабелей с индивидуальными BNC-разъемами
08.11.23-В ПТЦ запрошено подтверждение сроков изготовления, возможности изготовления исполнение с BNC-разъемами и веса/габаритов
09.11.23-ПТЦ подтвердил сроки и возможности, письмо на подписи у А.Семина.
10.11.23-ТКП и ТЗ направлены Заказчику по e-mail - исх.(ООО)843</t>
  </si>
  <si>
    <t>416_23</t>
  </si>
  <si>
    <t>MIC-026, MIC-036</t>
  </si>
  <si>
    <t>ОДК Инжиниринг</t>
  </si>
  <si>
    <t>08_22</t>
  </si>
  <si>
    <t>БМП-200 каналов</t>
  </si>
  <si>
    <t>24.10.23-запрос расписан через офис, до 03.11
25.10.23 - отправлен запрос в 4 группы
27.10.23 - ни одна из групп не взяла в работу
30.10.23 - проговорил с РСС, берут в работу
03.11.23 - ИД не получены
10.11.23 - ИД предполагаю получить до 17.11.23
16.11.23 - отказное письмо на подписи у Семина
17.11.23 - исх 2428 АО</t>
  </si>
  <si>
    <t>вх.1459_ООО_23
Система виброконтроля
MIC-236+ME-918</t>
  </si>
  <si>
    <t>326_23</t>
  </si>
  <si>
    <t>497_23</t>
  </si>
  <si>
    <t>498_23</t>
  </si>
  <si>
    <t>ЛМЗ
ОКБ Люльки</t>
  </si>
  <si>
    <t>MIC-1150 (борт)</t>
  </si>
  <si>
    <t>Мехатроника</t>
  </si>
  <si>
    <t>ДФМ</t>
  </si>
  <si>
    <t>Зазоры</t>
  </si>
  <si>
    <t>B</t>
  </si>
  <si>
    <t>D</t>
  </si>
  <si>
    <t>E</t>
  </si>
  <si>
    <t>F</t>
  </si>
  <si>
    <t>G</t>
  </si>
  <si>
    <t>H</t>
  </si>
  <si>
    <t>I</t>
  </si>
  <si>
    <t>J</t>
  </si>
  <si>
    <t>K</t>
  </si>
  <si>
    <t>M</t>
  </si>
  <si>
    <t>N</t>
  </si>
  <si>
    <t>O</t>
  </si>
  <si>
    <t>P</t>
  </si>
  <si>
    <t>R</t>
  </si>
  <si>
    <t>555_23</t>
  </si>
  <si>
    <t>НИКИЭТ</t>
  </si>
  <si>
    <t>479_23</t>
  </si>
  <si>
    <t>MIC-1200 ЦИАМ</t>
  </si>
  <si>
    <t>534_23</t>
  </si>
  <si>
    <t>Коростелев ОБ</t>
  </si>
  <si>
    <t>22.09.23-запрос расписан через офис, до 29.09
22.09.23-ТЗ направлено в РСС дополнительно к Вх. 1176 по той же теме
25.09.23-в проработке у РСС до 06.10.23 жду решение возьмёмся или нет
17.10.23-в проработке РСС до 26.10, требуется согл. решение с Поповым и Потаповым
исх. 2465 АО (Маслова)</t>
  </si>
  <si>
    <t>09.11.23-запрос расписан через офис, до 10.11
09.11.23-Заказчик сообщил, что проектируется новая система для ЦАГИ
10.11.23-запрос передан Ежовой М.
29.11.23-направлено ТКП№ 517_23 в ЦАГИ и вопрос, что отвечаем в Паралакс, возможно связанные запросы, т.к. Паралакс яв-ся подрядчиком ЦАГИ, но при этом запрос на MB
30.11.23-ЦАГИ передали наше ТКП №517_23 в Паралакс, закупка будет через них</t>
  </si>
  <si>
    <t>01.11.23 - получить данные от РСС после командировки 08-09 ноября
10.11.23 - схема будет получена 14.11.23, трудоемкости работ предполагаю получить до 16.11.23. ТКП планируем отправить до 24.11.23
17.11.23 - получены данные от Силаева. До 24.11.23 планируется отправка
27.11.23 - уточнение от Заказчика
29.11.23 - исправлена схема. ТКП на согласовании в РСС
30.11.23 - согласовано РСС
01.12.23 - передано Масловой И.
04.12.23 - исх 2560 АО</t>
  </si>
  <si>
    <t>547_23</t>
  </si>
  <si>
    <t>569_23</t>
  </si>
  <si>
    <t>Потолочин М</t>
  </si>
  <si>
    <t>Статзал кабин</t>
  </si>
  <si>
    <t>Испытания амортизаторов</t>
  </si>
  <si>
    <t>571_23</t>
  </si>
  <si>
    <t>Испытания шаг. Двиг.</t>
  </si>
  <si>
    <t>Грязнев</t>
  </si>
  <si>
    <t>21.11.23-оплата</t>
  </si>
  <si>
    <t>01.08.23-запрос расписан через офис, до 10.08
02.08.23 - направлен запрос в 5 раб. групп
10.08.23 - ожидают ИД и эскиз до 15.08.23
16.08.23 - в связи с уходом Коршунова на больничный, ТЗ прорабатывает Силаев. ИД для ТКП обещает выдать до завтра (17.08.23)
17.08.23 - сообщение Силаева - ИД будут выданы завтра (18.08) в середине раб. дня
22.08.23 - ИД по СИ выдано, по СУ - в проработке РСС до 30.08
30.08.23 - предварительные ИД по СУ выданы. Формирую ТКП до 05.09.23 (в связи с загрузкой по текущим проектам)
08.09.23 - по настоящее время ответы на вопросы от Заказчика не получены. До 12.09.23  направим официальное письмо с просьбой проработать вопросы, а также предложение о дальнейшей встрече
14.09.23 - Звонок от Мишина:
- до конца сентября Заказчик загружен
- в начале октября назначат ответственного по тех вопросам
- в октябре готовы встретиться для обсуждения
Направлен перечень вопросов исх 1900 АО</t>
  </si>
  <si>
    <t>26.05.23-оплата</t>
  </si>
  <si>
    <t>17.07.23-запрос актуализации цены
18.27.23 - ТКП согласовано И.Масловой, на согласовании у А.Семина</t>
  </si>
  <si>
    <t>09.11.23-оплата</t>
  </si>
  <si>
    <t>05.12.23 - Конкурс запланирован до конца 2023г. ТКП отклонено в виду отсутствия в нем гидроцилиндров - запрос направлен на проработку в РСС
06.12.23-Заказчик покупает систему на базе L-Card в "ПКЦ Системы Триал" - пересчет ТКП нецелесообразен</t>
  </si>
  <si>
    <t>АСУТПИ стендов 26,27, 28</t>
  </si>
  <si>
    <t>ГКНПЦ Хруничева РКЗ</t>
  </si>
  <si>
    <t>573_23</t>
  </si>
  <si>
    <t>Центр_Келдыша</t>
  </si>
  <si>
    <t>15.12.23-запрос от РСС для бюджета на конкурс
-КП согласовано Срипником А-й, Семиным А.
-КП направлено заказчику
исх. 2671 (АО)</t>
  </si>
  <si>
    <t>19.12.23-оплата</t>
  </si>
  <si>
    <t>16.11.23-запрос расписан через офис, до 20.11
заявка на договор передана в ДО
ТЗ передано в РСС
замечания по ТЗ направлены заказчику
договор с замечаниями направлен заказчику
28.11.согласовываем переход на линейку MR
21.12.23-запросили карточку предприятия для заключения договора</t>
  </si>
  <si>
    <t>15.12.23-запрос расписан через офис, до 25.12
18.12.23-запрос принят в проработку РСС до 25.12.23
25.12.23-РСС направил уточняющие вопросы Заказчику</t>
  </si>
  <si>
    <t>581_23</t>
  </si>
  <si>
    <t>КБХА</t>
  </si>
  <si>
    <t>03.05.23-А-1 Скрипник из разговора с Заказчиком выяснил, что от нас ждут "альтернативное" ТКП - И.Сныгина подготовила, направила ТКП - исх.(ООО) 292 от 04.05.23</t>
  </si>
  <si>
    <t>10.01.24-оплата</t>
  </si>
  <si>
    <t>работы по модернизации стендов для испытания диафрагм</t>
  </si>
  <si>
    <t>Уральский Турбинный завод</t>
  </si>
  <si>
    <t>ТверьКанатДор</t>
  </si>
  <si>
    <t>Потолочин МП</t>
  </si>
  <si>
    <t>Курчатовский институт
АСУСин АСУСКО
Перст</t>
  </si>
  <si>
    <t>003_24</t>
  </si>
  <si>
    <t>056_22</t>
  </si>
  <si>
    <t>C</t>
  </si>
  <si>
    <t>026_24</t>
  </si>
  <si>
    <t>испытания грузоподъемных вышек</t>
  </si>
  <si>
    <t>Комплекс измерительно-
вычислительный (7 и 12 модулей)</t>
  </si>
  <si>
    <t>Транснефть верхняя Волга</t>
  </si>
  <si>
    <t>23.01.24-оплата</t>
  </si>
  <si>
    <t>025_24</t>
  </si>
  <si>
    <t>Грязнев А</t>
  </si>
  <si>
    <t>Rocket_Fire_test</t>
  </si>
  <si>
    <t>022_24</t>
  </si>
  <si>
    <t>Dynamic signal acquisition system for EGB endurance test rig.</t>
  </si>
  <si>
    <t>10.01.23-запрос расписан через офис, до 17.01
09.01.23-информация передана А.Семину для решения о входе в проект, ответ на письмо не требуется</t>
  </si>
  <si>
    <t>12.01.24-запрос расписан через офис, до 17.01
-направила запрос в РСС и СТС
15.01.24-РСС рассмотрели ТЗ, берут в проработку до 19.01
КП направлено заказчику по e-mail</t>
  </si>
  <si>
    <t>10.01.24-запрос расписан через офис, до 17.01
-идет проработка в РСС, необходимо принять решение об участии в конкурсе
исх. 37 о продлении сроков конкурса
сроки продлили, прорабатываем КП, готовим документы. 
подача на конкурс 05.02
подались на конкурсе</t>
  </si>
  <si>
    <t>28.11.23-запрос расписан через офис, до 01.12
28.11.23-создана папка ТКП на сервере, РСС готовит схему до 01.12.23
05.12.23-РСС ожидает ТКП от поставщика гидравлики/пневматики до 07.12.23
15.12.23-РСС ожидает ТКП от поставщика до 18.12.23
26.12.23-ТКП передано на согласование А.Семину
28.12.23-ТКП направлено Заказчику по e-mail - исх.(ООО)972
01.02.24-Слишком дорого для Заказчика (рассчитывали на 30-50млн)</t>
  </si>
  <si>
    <t>046_24</t>
  </si>
  <si>
    <t>047_24</t>
  </si>
  <si>
    <t>утверждение типа СИ корпус 302</t>
  </si>
  <si>
    <t>048_24</t>
  </si>
  <si>
    <t>модернизация СИС</t>
  </si>
  <si>
    <t>06.02.24-запрос расписан через офис, до 12.02
06.02.24-ТКП направлено О.Б. Коростелеву</t>
  </si>
  <si>
    <t>002_24</t>
  </si>
  <si>
    <t>Союз</t>
  </si>
  <si>
    <t>033_24</t>
  </si>
  <si>
    <t>АСУТП ЛВД</t>
  </si>
  <si>
    <t>Скрипник Ар
Потолочин М</t>
  </si>
  <si>
    <t>059_24</t>
  </si>
  <si>
    <t>Проскурин</t>
  </si>
  <si>
    <t>оснащение 3, 4 блоков ЛАЭС-2 система контроля вибрации лопаток</t>
  </si>
  <si>
    <t>06.02.24-запрос расписан через офис, до 12.02
06.02.24-ТКП направлено О.Б. Коростелеву
09.02.24-запрос на доп.комплект mic-1200 (AstraLinux), но без разработки уже (разработка ПО заложена ранее в КП№435_23), хотят подробное КП</t>
  </si>
  <si>
    <t>058_24
435_23</t>
  </si>
  <si>
    <t>068_24</t>
  </si>
  <si>
    <t>skripnik@nppmera.ru, aa.korshunov@nppmera.ru</t>
  </si>
  <si>
    <t>075_24</t>
  </si>
  <si>
    <t xml:space="preserve">12.01.24-запрос расписан через офис, до 22.01 запрос направлен в РСС для технической проработки
15.01.24-РСС рассмотрели запрос, не хватает технических ИД готовим ВКС
18.01.24-провели ВКС, готовим технические вопросы
26.01.24-направили технические вопросы
02.02.24-прислали новые данные, ТЗ </t>
  </si>
  <si>
    <t>13.02.24-запрос расписан через офис, до 16.02
13.02.24-оригинал дог. передан в ДГ на подписание
15.02.24-подпис. дог. с ПР направлен Заказчику исх. №348 (АО)</t>
  </si>
  <si>
    <t>26.12.23-запрос расписан через офис, до 10.01.24
26.12.23-РСС уточняет ТЗ и готовит схему до 20.01.24
16.01.24-РСС подготовил схему, трудозатраты - до 20.01.24
17.01.24-ТКП направлено в РСС для оценки трудозатрат до 18.01.24
18.01.24-ТКП на согласовании РСС
19.01.24-ТКП на подписи у А.Семина
23.01.24-требуется справка о разработке ПО от РСС (А-й Скрипник)
26.01.24-ТКП направлено Заказчику по e-mail - исх.(АО)135</t>
  </si>
  <si>
    <t>Грязнев А
Потолочин М
Силаев С.</t>
  </si>
  <si>
    <t>081_24</t>
  </si>
  <si>
    <t>Завод вентилятор</t>
  </si>
  <si>
    <t>Испытания вентиляторов</t>
  </si>
  <si>
    <t>06.02.24-запрос расписан через офис, до 09.02
12.02.24-КП на согл. в РСС до 29.02
06.03.24-КП на мне, доделать
12.03.24-КП согл. РСС, И.Масловой, у А.Семина
14.03.24-ТКП направлено Заказчику</t>
  </si>
  <si>
    <t>06.02.24-запрос расписан через офис, до 09.02
09.02.24-в работе РСС до 29.02
01.03.24-КП согл. с РСС, письмо у А.Семина
04.03.24-КП направлено Заказчику исх. №172 (ООО)</t>
  </si>
  <si>
    <t>Испытания поршневых двигателей (доп. система вместо бортовой)</t>
  </si>
  <si>
    <t>Поршневые стенды - для исследований (индукторный тормоз)</t>
  </si>
  <si>
    <t xml:space="preserve">Инвест проект
</t>
  </si>
  <si>
    <t>сервисное обслуживание</t>
  </si>
  <si>
    <t>ТРВ-Инжиниринг</t>
  </si>
  <si>
    <t>20.03.24-запрос расписан через офис, до 22.03
исх.216 (ООО)</t>
  </si>
  <si>
    <t>20.02.24-Заказчик попросил привести ТКП в соответствие ТЗ, запрос направлен в РСС
26.02.24-у Заказчика запрошены замечания по ТКП (по просьбе Ай Скрипник)
20.03.24-получен отказ от Заказчика - оборудование МЕРА не соответствует требованию по наличию двойного АЦП</t>
  </si>
  <si>
    <t>051_24</t>
  </si>
  <si>
    <t>плагин для сканеров</t>
  </si>
  <si>
    <t>125_24
471_23</t>
  </si>
  <si>
    <t>Google</t>
  </si>
  <si>
    <t>06.02.24-запрос расписан через офис, до 09.02
09.02.24-в работе РСС до 29.02
04.03.24-проработка в РСС до 15.03
18.03.24-ждем ИД от Фаткулина, проработка РСС до 30.03.24
05.04.24-закрываю задачу до определения ИД от Заказчика</t>
  </si>
  <si>
    <t>07.02.24-запрос через Скрипника А-ра
14.03.24-дополнительно напомнили о себе 
20.03.24-информация от ОРПО не получена
22.03.24-получила трудоемкость от ОРПО, согласовано со Скрипником А-р
-на согласовании сроков
-направлено по e-mail</t>
  </si>
  <si>
    <t>19.02.24-запрос расписан через офис, до 27.02
-запрос направлен в РСС
26.02.24-получила схему от Грязнева
15.03.24-КП на согласовании в РСС
20.03.24-КП на согласовании у Семина
-письмо на подписи у Семина
исх. 651 (ООО)</t>
  </si>
  <si>
    <t>26.02.24-Объявлен конкурс на ЭТП АСТГОЗ
27.02.24-Срок подачи пакета документов на ЭТП - до 10:00 14.03.24
05.03.24-Запущен лист согласования по обновленному ТКП
11.03.24-Лист согласования у В.Мельникова требуется увеличение трудозатрат на разработку
13.03.24-Лист согласования подписан В.Мельниковым, А.Кокоревым, Л.Дышкант, А.Семиным. Пакет документов подан на ЭТП АСТ ГОЗ. Ожидаем решения комиссии по допуску к аукциону до 19.03.2024
25.03.24-Аукцион проигран. Ожидаем уведомление о решении комиссии 26.03.24
27.03.24-Получен протокол результатов аукциона - проигрыш по цене, конкурент неизвестен
29.03.24-Стало известно, что победила Лаборатория автоматизированных систем с оборудованием Informtest</t>
  </si>
  <si>
    <t>29.02.24-запрос расписан через офис. до 06.03 (227-ТЗ к дог., 228-договор)
29.02.24-заявка и оригиналы переданы в ДГ, требуется ПР в части срока эт.1
05.03.24-проект ПР направлен на согл. Заказчику
-ждем приезд Корюкова на МЕРУ 14.03, согласуем с ним срок и можно подписывать дог. с ПР и направлять скан Заказчику
18.03.24-жду данные от РСС по срокам по результатам встречи с Заказчиком
19.03.24-ИД для корректировки ПР к дог. направлены в ДГ и РСС, напр. ПР_в.1
20.03.24-Заказчику направлен ПР_в.2 (сменился подписант-ген.директор Кронштадта)
27.03.24-подписан дог. с ПР, скан направлен Заказчику, оригинал направлен нарочно исх. 696 (АО)</t>
  </si>
  <si>
    <t>134_24</t>
  </si>
  <si>
    <t>116_24</t>
  </si>
  <si>
    <t xml:space="preserve">взрывозащита </t>
  </si>
  <si>
    <t>ПАО "Техприбор"</t>
  </si>
  <si>
    <t>14.03.24-запрос расписан через офис, до 20.03
14.03.24-запрос направлен в РСС (з.2797)
22.03.24-подготовка КП
27.03.24-ТКП на согл. у А.Лазарева, ждем схему подключения и ответы на вопросы от Заказчика
02.04.24-нет сертификата на MIC-036 во взрывозащищенном исполнении, ждем отв. требуется ТКП на шкаф с ИЗБ
04.04.24-на согл. в РСС
05.04.24-КП согл. И.Масловой, КП направлено Заказчику</t>
  </si>
  <si>
    <t>19.03.24-запрос расписан через офис, до 26.03
подготовлена схема ориентирвочная
готовим проект ТЗ
03.04.24-ждем ответы по перечню измеряемых параметров.От поставщиков ждем загрузочных устройств цены.</t>
  </si>
  <si>
    <t>124_24</t>
  </si>
  <si>
    <t>MIC-356</t>
  </si>
  <si>
    <t>НПП Монотест (Газпром добыча Иркутск)</t>
  </si>
  <si>
    <t>20.03.24-запрос расписан через офис, до 22.03
-запрошен КП (ООО "ГАЗПРОМ ДОБЫЧА ИРКУТСК", КП 154_23)
25.03.24-ТКП направлено заказчику по e-mail</t>
  </si>
  <si>
    <t>147_24</t>
  </si>
  <si>
    <t>Икар</t>
  </si>
  <si>
    <t>148_24</t>
  </si>
  <si>
    <t>13.03.24-запро срасписан через офис, до 19.03
25.03.24-получила исх. данные от РСС
02.04.24-КП готово, направлено на согласовние в РСС
-коммерческое предложение направлено по e-mail в трех вариантах</t>
  </si>
  <si>
    <t>19.03.24-запрос пришел через Вишева
25.03.24 схема передана от РСС В ОП
28.03.24-взяла в работу
09.04.24-КП на 1 стенд передано Семину для согласования и озвучивания стоимости Вишеву</t>
  </si>
  <si>
    <t>25.12.23-запрос расписан через офис, до 29.12
25.12.23-запрос по срокам изг. ОПСИ-12 направлен С.Кузянову
09.01.24-письмо у А.Семина
10.01.24-ответ направлен Заказчику исх. №12 (АО)</t>
  </si>
  <si>
    <t>18.01.24-оплата</t>
  </si>
  <si>
    <t>139_24</t>
  </si>
  <si>
    <t>25.01.24-запрос передан нарочно от Головченко до 15.03
-документы переданы Скрипнику
вопросы технического характера направлены заказчику 01.02.24
20.02.24-взяла в работу схему
дали ориентировчноую стоимость, командировка 13.03.24</t>
  </si>
  <si>
    <t>135_24</t>
  </si>
  <si>
    <t>разгонный стенд</t>
  </si>
  <si>
    <t>350 каналов динамики</t>
  </si>
  <si>
    <t>ООО Лабмекканика</t>
  </si>
  <si>
    <t>Ц17Ж. Стенд испытаний ГТУ</t>
  </si>
  <si>
    <t>АПД-500</t>
  </si>
  <si>
    <t>166_24</t>
  </si>
  <si>
    <t>64 виброканала</t>
  </si>
  <si>
    <t>165_24</t>
  </si>
  <si>
    <t>174_24</t>
  </si>
  <si>
    <t>mic-1200_ГТЭ-170</t>
  </si>
  <si>
    <t>11.04.24-запрос расписан через офис, до 22.04
-жду решение РСС возьмёмся или отказ
15.04.24-отказ от РСС по причине отсутствия драйвером Labview для Linux</t>
  </si>
  <si>
    <t>154_24</t>
  </si>
  <si>
    <t>вибрационный стенд усталостную прочность</t>
  </si>
  <si>
    <t>КАДВИ</t>
  </si>
  <si>
    <t>29.03.24-запрос расписан через офис, до 05.04
кп на согласовании в РСС
исх. 841</t>
  </si>
  <si>
    <t>171_24</t>
  </si>
  <si>
    <t>Комплект для моделирования</t>
  </si>
  <si>
    <t>12.04.24-запрос от Скрипника Саши, согласовано с Кокоревым
исх. 865 (АО)</t>
  </si>
  <si>
    <t>172_24</t>
  </si>
  <si>
    <t>Комплект для диагностики</t>
  </si>
  <si>
    <t>173_24</t>
  </si>
  <si>
    <t>Комплект для поверки</t>
  </si>
  <si>
    <t>055_24
027_24</t>
  </si>
  <si>
    <t>177_24</t>
  </si>
  <si>
    <t>Системе сбора информации</t>
  </si>
  <si>
    <t>АО ГНЦ "Центр Келдыша"</t>
  </si>
  <si>
    <t>ЯГТУ/
УЗГА</t>
  </si>
  <si>
    <t>189_24</t>
  </si>
  <si>
    <t>Электроцилиндры</t>
  </si>
  <si>
    <t>Альянс telecomunication</t>
  </si>
  <si>
    <t>190_24</t>
  </si>
  <si>
    <t>176_24</t>
  </si>
  <si>
    <t>Система нагружения</t>
  </si>
  <si>
    <t>ВНИИТФ</t>
  </si>
  <si>
    <t>26.03.24-запрос расписан через офис, до 04.04
26.03.24-запрос направлен в группы
08.04.24-в работу взяли РСС проработка до 23.04
коммерческое предложение не требуется, вопрос снят совещанием РСС и ЯГТУ</t>
  </si>
  <si>
    <t>22.04.24-запрос расписан через офис, до 25.04.24
24.04.24-запрос направлен Заказчику по e-mail - исх.(ООО)292</t>
  </si>
  <si>
    <t>175_24</t>
  </si>
  <si>
    <t>перебазировка стендов 5А,3</t>
  </si>
  <si>
    <t xml:space="preserve"> ММП им. В.В. Чернышова</t>
  </si>
  <si>
    <t>032_24</t>
  </si>
  <si>
    <t>Разработка стендовой оснастки</t>
  </si>
  <si>
    <t>Казанский вертолетный завод
ЦИАМ</t>
  </si>
  <si>
    <t>25.01.24-запрос передан нарочно от Головченко до 09.02
-документы переданы Скрипнику
проработка технического решения до 06.02
Мы отправили несколько схем реализации. Там есть ряд технических вопросов, которые не могут между собой ЦИАМ и вертолетчики согласовать. Задача закрыта</t>
  </si>
  <si>
    <t>17.04.2024-запрос расписан через офис, до 19.04
19.04.2024 - ответ направлен по email</t>
  </si>
  <si>
    <t>миниСИС 0,5кг</t>
  </si>
  <si>
    <t>17.04.24-запрос поступил через Семина А.
17.04.24-запрос направлен на обоработку в РСС
19.04.24-ТКП передано на согласование (23.04-согалсовано)
23.04.24-ТКП направлено заказчику по e-mail</t>
  </si>
  <si>
    <t>181_24</t>
  </si>
  <si>
    <t>Измерительно-вычислительный комплекс, комплект технологической кабельной сети</t>
  </si>
  <si>
    <t>АО НПО Лавочкина</t>
  </si>
  <si>
    <t>186_24
312_23</t>
  </si>
  <si>
    <t>ОНПП Технология им. Ромашина</t>
  </si>
  <si>
    <t>23.04.24-запрос расписан через офис. до 03.05
03.05.24-ТКП направлено Проскурину Максиму на согласование
15.05.24-вышла путанница: изначально вх. 403 был запросом счета на оплату заказа 3080 и создания нового ткп не требовал</t>
  </si>
  <si>
    <t>27.04.24-запрос расписан через офис. до 13.05
02.05.24-запрошена помощь в проработке у РСС
03.05.24-заказчику направлены вопросы от Потолочина Ивана
14.05.24-заказчику направлено письмо со сроками и стоимостью исх. 1090-АО</t>
  </si>
  <si>
    <t>05.12.23-запрос принят в работу от РСС, готовлю ТКП по схеме до 08.12.23
07.12.23-предварительное ТКП направлено на согласование в РСС до 13.12.23
13.12.23-ТКП направлено Заказчику по e-mail - исх.(АО) 2635 для формирования бюджета на 2024г
15.12.23-РСС планрует поездку к Заказчику в январе 2024
30.01.24-РСС планрует поездку к Заказчику в марте-апреле 2024
20.02.24-Заказчик подтвердил готовность к последующей проработке. Необходим пересчет ТКП с учетом новых данных. Запрос направлен в РСС
04.03.24-РСС планирует выезд на объект 11.03.24 для переговоров с Заказчиком
03.04.24-Проведены переговоры с Заказчиком на объекте, ведется корректировка ТЗ, ожидаем новый запрос ТКП</t>
  </si>
  <si>
    <t>27.04.24-запрос расписан через офис. до 13.05
02.05.24-запрошена помощь в проработке у РСС (запрос заточен под ПТГ, узнать у Корорева, берут ли они этот запрос себе)
03.05.24-запрос дать контакты того, с кем вести диалог по технике
17.05.24-запрос на контакт направлен повторно (дозвониться так и не вышло)</t>
  </si>
  <si>
    <t>219_24</t>
  </si>
  <si>
    <t>СИПП-И</t>
  </si>
  <si>
    <t>ФЦДТ СОЮЗ</t>
  </si>
  <si>
    <t>16.05.24-запрос через офис, до 27.05
17.05.24-направлено в РСС
24.05.24-направлены замечания к ТЗ, актуализация состава оборудования</t>
  </si>
  <si>
    <t>19.04.24-запрос расписан через офис, до 27.04.24
24.04.2024 - ТКП на согласовании у Потолочина М.П.
27.04.24 - Закачику направлены уточняющие вопросы по тех.части
08.05.24 - ТКП согласуется с Д. Капустяном и с Р. Филатовым
16.05.24 - ТКП согласовано с Р. Филатовым, Потолочиным М.
20.05.24 - ТКП на согласовании у руководства</t>
  </si>
  <si>
    <t>211_24
447_22</t>
  </si>
  <si>
    <t>220_24
189_24
480_22</t>
  </si>
  <si>
    <t>02.05.24-запрос расписан через офис, до 17.05
13.05.24-запрос направлен в РСС, проработка до 20.05
Согласование матрицы отв. с заказчиком до 24.05.24
24.05.24-согласована матрица ответственности, на данный момент нет ТЗ для формирования КП. Ориентировочная стоимость озвучена Заказчику Ал-ем Скрипником. Ждём ТЗ от ГАП в адрес Заказчика
05.06.24-Заказчику направлено письмо исх. №1291 (АО)</t>
  </si>
  <si>
    <t>252_24</t>
  </si>
  <si>
    <t>NDT rus</t>
  </si>
  <si>
    <t>04.06.24-запрос через офис, до 07.06
07.06.24-направлен отказ - участвуем самостоятельно (Миратек)</t>
  </si>
  <si>
    <t>17.11.23 - Объявлен конкурс на ЭТП ТЭК-Торг. Прием предложений до 12:00 27.11.23
24.11.23 - РСС готовит полное тех.описание, ДО готовит пакет конкурсной документации до 12:00 01.12.23
27.11.23 - в ДО направлены полное описание, перечень оборудования, сроки выполнения работ, гарантийные обязательства, ДО готовит пакет конкурсной документации до 12:00 01.12.23
30.11.23-Заявка на участие направлена на ЭТП, ожидаем решение комиссии до 13.12.23 для подачи стоимости ТКП (2-й этап тендера)
18.12.23-РСС и А.Попов выясняют причины задержки принятия решения...
19.12.23-Продолжается работа комиссии - Заказчик анализирует протокол разногласий к Договору
26.12.23-Заказчик предлагает переговоры по протоколу разногласий к договору - жду решения от А.Семина по участию в переговорах
28.12.23-По результатам переговоров выяснено, что в рамках НИОКР закупка проводится без НДС. Стоимость договора необходимо защитить накладными, табелем, подтвержденными затратами на закупки у согласованных поставщиков.
15.01.24-ТКП пересчитано с учетом размера БГ (получено от ДО), ожидаем начала 2-го этапа закупки для подачи стоимости
26.01.24-ТКП подано через ЭТП, ожидаем протокол комиссии до 05.02.24
05.02.24-Ожидаем решение комиссии на площадке
15.02.24-Ожидаем решение комиссии на площадке (Заказчик рассматривает протокол разногласий к Договору)
29.02.24-Заказчик запросил план-график работ, структуру цены и стоимость этапов. Проект ответа - на согласовании в ДО
01.03.24-план-график работ, стоимость этапов направлены Заказчику, ожидаем решения закупочной комиссии
14.03.24-Заказчику направлены пояснения по увеличению стоимости на переторжке, ожидаем решения закупочной комиссии
20.03.24-Заказчик запросил калькуляцию затрат, подтверждающую стоимость ТКП - готовлю исх.данные до 25.03.24
25.03.24-Исходные данные направлены в ДО
28.03.24-Проект калькуляции направлен на проверку в ДО
01.04.24-Калькуляция проверена ДО, ожидаю решения В.Спиридонского по распределению закупок АО/ООО до 11:00 02.04.24
02.04.24-Калькуляция откорректирована согласно ФБК, направлена на проверку и дополнение в РСС
03.04.24-Заказчик направил гарантийное письмо (вх.400) для начала работ по Договору.</t>
  </si>
  <si>
    <t>16.05.24-запрос передан из СТС, до 27.05
Передан в работу 21.05.24
21.05.24-запрос направлен в РСС
07.06.24-продублировала запрос ещё раз А.Скрипнику и С.Силаеву
11.06.24-РСС выдал схему, готовлю КП
18.06.24-ТКП и письмо у И.Масловой
19.06.24-ТКП направлено Заказчику исх. №426 (ООО)</t>
  </si>
  <si>
    <t>05.06.24-запрос через офис, до 11.06
05.06.24-в работе у РСС
17.06.24-отказ, наши работы отсутствуют</t>
  </si>
  <si>
    <t>стенд для испытания вентилятора</t>
  </si>
  <si>
    <t>Ростов-Миль</t>
  </si>
  <si>
    <t>268_24</t>
  </si>
  <si>
    <t>264_24</t>
  </si>
  <si>
    <t>Тензостанция</t>
  </si>
  <si>
    <t>276_24</t>
  </si>
  <si>
    <t>ИВЗ+MIC224 c MR-212</t>
  </si>
  <si>
    <t>Унихимтек</t>
  </si>
  <si>
    <t>280_24</t>
  </si>
  <si>
    <t>Кабель</t>
  </si>
  <si>
    <t>ЦИАМ им. Баранова</t>
  </si>
  <si>
    <t>20.06.24-запрос через офис, до 27.06
20.06.24-направлено в РСС
21.06.24-варианты предлагаемых решений направлены Заказчику, требуется уточнение ИД (кол-во каналов, частота опроса)
26.06.24-получена схема
27.06.24-ТКП на согл. у И. Масловой
28.06.24-ТКП направлено Заказчику</t>
  </si>
  <si>
    <t>283_24</t>
  </si>
  <si>
    <t>Система контроля вибрационного состояния
лопаток Куданкулам АЭС бл.5</t>
  </si>
  <si>
    <t>26.06.24-оплата</t>
  </si>
  <si>
    <t>09.11.23-Заказчик предупредил о визите в МЕРУ в 13:00 13.11.23. Перечень вопросов будет направлен 10.11.23 через РСС.
10.11.23-Получен перечень вопросов от Заказчика, направлен в РСС для проработки
13.11.23-Проведена встреча с Заказчиком по техническим вопросам тендера, ожидаем результатов тендера до 15.11.23
15.11.23-Заседание комиссии перенесено на 16.11.23
17.11.23-Заседание комиссии 17.11.23 после 14:00. Запланириован звонок 20.11.23
21.11.23-Получен дозапрос информации:
- сметы
- отзывы по аналогичным проектам
- снижение аванса до 30%
24.11.23-А.Семин принял решение готовить РКМ с работами на 20млн. Начата подготовка исходных данных.
27.11.23-Исходные данные направлены в ДО
30.11.23-Информация по дозапросу направлена Заказчику. Ожидаю решения закупочной комиссии до 13.12.23
18.12.23-Заседание комиссии состоится до 25.12.23
20.12.23-ожидаем от Заказчика положительный протокол по тендеру до 25.12.23
15.01.24-ожидаем протокол конкурсной комиссии до 17.01.24
18.01.24-ТКП со сниженной стоимостью и проект Договора на согласовании у А.Семина
19.01.24-Заказчику направлен проект договора с согласованной стоимостью, ожидаем согласования до 29.01.24
26.01.24-Заказчик направил замечания к Договору - переданы в ДО до 31.01.24
31.01.24-Корректированный договор направлен Заказчику на согласование
07.02.24-Получены замечания и вопросы от Заказчика - направлены на проработку в ДО и РСС
14.02.24-Получен корректированный договор от ДО, ожидаю ответ от РСС (в части ТО)
16.02.24-Отправить корректированный договор Заказчику до 19.02.24
19.02.24-Корректированный Договор направлен Заказчику на согласование, Заказчик сообщил о готовности авансирования в феврале 2024.
01.03.24-Заказчик планирует внутреннее совещание 04.03.24. Ожидаю приглашения на переговоры
05.03.24-Заказчик принял все корректировки МЕРА за исключением ограничения ответственности 10% (штрафы-пени). Ожидается принятие решения 11.03.24
11.03.24-А.Семин принимает решение по увеличению ответственности до 25% (запрошено В.Пчелкиным) на штрафы-пени.
15.03.24-По результатам совещания - ДО готовит корректированный договор, РСС проверяет ТЗ до 20.03.24
20.03.24-Договор откорректирован, направлен А.Семину на согласование, запланиированы переговоры с Заказчиком 21.03.24 в 11:00
28.03.24-Договор подписан Заказчиком, ожидаем оригинал почтой до 12.04.24</t>
  </si>
  <si>
    <t>289_24</t>
  </si>
  <si>
    <t>294_24</t>
  </si>
  <si>
    <t>mic-1200 для ЭБ№3 Калининская АЭС</t>
  </si>
  <si>
    <t>293_24</t>
  </si>
  <si>
    <t>СПО для mic-1200 на ЛАЭС-2</t>
  </si>
  <si>
    <t>09.07.24-оплата</t>
  </si>
  <si>
    <t>поставка стенда испытаний поршневых двигателей 
400лс</t>
  </si>
  <si>
    <t>поставка стенда испытаний поршневых двигателей 
50лс</t>
  </si>
  <si>
    <t>156_24</t>
  </si>
  <si>
    <t>306_24</t>
  </si>
  <si>
    <t>Виброметр с пьезоэлектрическими преобразователями</t>
  </si>
  <si>
    <t>310_24</t>
  </si>
  <si>
    <t>Оборудование для измерения деформаций</t>
  </si>
  <si>
    <t>Интрис</t>
  </si>
  <si>
    <t>16СУ28+ MX-240,MX-340</t>
  </si>
  <si>
    <t>14.12.23-запрос расписан через офис, до 20.12
29.01.24-ТКП направлено Заказчику исх. №162 (АО)</t>
  </si>
  <si>
    <t>A</t>
  </si>
  <si>
    <t>05.07.24-запрос через офис, до 11.07 (см. ТКП 043_22)
19.07.24-получена информация от Скрипников и Е. Спиридонского, что требуется проиндексировать последнюю ранее направленную цену на Ц-16К
22.07.24-на согласовании у А. Семина (24.07-согласовано)
24.07.24-ТКП направлено заказчику исх. 500-ООО</t>
  </si>
  <si>
    <t>18.07.24-от Заказчика поступил запрос на обоновление ТКП для бюджетирования закупки
19.07.24-ТКП на согласовании у А.Семина
26.07.24-ответ направлен Заказчику по e-mail исх.(ООО)508</t>
  </si>
  <si>
    <t>ЦИАМ Овист. Ц17</t>
  </si>
  <si>
    <t>Циам</t>
  </si>
  <si>
    <t>Лобачев
Потолочин МП</t>
  </si>
  <si>
    <t>312_24
184_23</t>
  </si>
  <si>
    <t>19.07.24-запрос расписан через офис, до 29.07
22.07.24-запрос направлен в группы, взяли РСС
22.07.24-запросила тел. для контакта
24.07.24-контакты переданы в РСС
29.07.24-выдана схема
30.07.24-ТКП на согл. в РСС
31.07.24-РСС согл, у И.Масловой
01.08.24-ТКП направлено Заказчику</t>
  </si>
  <si>
    <t>302_24</t>
  </si>
  <si>
    <t>5 стендов. Усталостные испытания втулки изд.450</t>
  </si>
  <si>
    <t>338_24</t>
  </si>
  <si>
    <t>600chan+hi speed camera</t>
  </si>
  <si>
    <t>ОДК Сервис</t>
  </si>
  <si>
    <t>339_24</t>
  </si>
  <si>
    <t>21.06.24-запрос через офис, до 27.06
26.06.24-запрос на помощь в проработке КП направлен в РСС 28.06.24-от РСС назначен М. Потолочин
-заказчику направлены вопросы по технике
05.07.24-Потолочин М.П. звонил заказчику, заказчик сказал, что ответы на заданные вопросы всё ещё прорабатываются
08.07.24-в проработке у РСС до 16.07
17.07.24-ожидаем более конкретных ИД от заказчика (возможно, заказчик будет закупать у нас не часть ситстемы, а всю целиком)
21.07.24-заказчик приостановил работу над проектом: при его возобновлении планируют обратиться к нам с уже уточненными ИД</t>
  </si>
  <si>
    <t>02.07.24-запрос поступил от РСС
03.07.24-РСС попросили пока что не направлять ТКП заказчику, т.к. высока вероятность изменения состава запроса. Жду от РСС либо новых ИД, либо отмашки направить текущую версию КП
08.07.24-в проработке у РСС до 16.07
18.07.24-у РСС пока что нет информации, как действовать
15.08.24-от Грязнева А. поступила информация, что данное ТКП неактуально</t>
  </si>
  <si>
    <t>13.08.24-получена Спецификация от О.Б. Коростелева по доработке СПО
16.08.24-ТКП направлено на согл. О.Б. Коростелеву
20.08.24-ТКП согл. с Коростелевым, но пока не отправлем, т.к. Заказчик меняет ИД</t>
  </si>
  <si>
    <t>11.03.24-запрос расписан через офис, до 18.03
РСС прорабатывают ИД до 15.06
-неактуально</t>
  </si>
  <si>
    <t>10.05.23-Заказчик прислал подписанный со своей стороны Протокол, ожидает прибытие для проведения испытаний 15-19.05.23
12.05.23-Направлено письмо с подписанным протоколом, о комантировке на испытания. Ожидаю подтверждения даты испытаний до 15.05.23
15.05.23-Пуск ГТД не состоялся - жду подтверждения от Заказчика (А.Трофимова) для направления сотрудников ОРПО и СТС в командировку до 19.05.23
16.05.23-Получено подтверждение от Заказчика о готовности пропусков и неготовности ГТД - жду информации от Заказчика (А.Трофимов) по пуску ГТД
17.05.23-Пуск ГТД переносится на 22-26.05.23, ожидаю подтверждение от Заказчика (А.Трофимова) до 22.05.23
18.05.23-РСС (С.Силаев) готовит ПЗ и схему до 22.05.23
22.05.23-Пуск ГТД не состоялся - ожидаю информацию от Заказчика (А.Трофимова) до 29.05.23
24.05.23-Направлено письмо об оформлении дополнительного пропуска А.Мелихову (исх.938 от 24.05.2023) в связи с занятостью ранее заявленного персонала СТС
29.05.23-Ожидаю дату пуска ГТД от Заказчика (А.Трофимов)
30.06.23-Заказчик провел испытания ГТД, самостоятельно сохранил данные в MR-300
02.06.23-Данные переданы для обработки В.Каринскому. Заказчик предложил провести на своей территории презентацию оборудования и ПО МЕРА 08-09.06.23г. Ведется подготовка до 07.06.23
07.06.23-Дата презентации в РЭПХ переносится - ожидаю подтверждения от РЭПХ до 19.06.23
07.06.23-предварительное ТКП (по запросу М.Земских) направлено на согласование в РСС до 13.06.23
13.06.23-Дата презентации перенесена на 20.06.23
21.06.23-По результатам поездки - Заказчик обдумывает предложение по приобретению MIC-355, требуется корректировка структурной схемы (согласно замечаниям А.Трофимова) для согласования Газпром, Откорректировано ТКП (добавлен 4-й МХ-228)
26.06.23-А-й Скрипник корректирует структурную схему по замечаниям Заказчика до 29.06.23
30.06.2023-Структурная схема направлена Заказчику по e-mail, запланированы переговоры с Заказчиком до 10.07.23
07.07.2023-Корректированная структурная схема направлена Заказчику - ожидаю согласование до 17.07.23
17.07.23-Ожидание выхода из отпуска специалиста Заказчика (А.Трофимова) до 07.08.23
15.08.23-А.Трофимов вышел из отпуска, запланированы переговоры на 16.08.23
22.08.23-Структурная схема согласована, Заказчик ожидает ответ по протоколу совещания от 20.04.23. РСС готовит корректированное ТЗ и ПЗ по схеме до 31.08.2023
08.09.23-А-й Скрипник подготовил проект ТЗ, запланированы переговоры с В.Каринским до 18.09.23
19.09.23-В.Каринский рекомендовал реализовать ПО в рамках МЕДИАН, А-й Скрипник планирует совещание с Ф.Кротких
26.09.23-Ф.Кротких согласовал совещание 28.09.23
28.09.23-По результатам совещания - РСС готовит ТЗ, Ф.Кротких произведет оценку трудозатрат до 09.10.2023
10.10.23-РСС не подготовил ТЗ для ЦР, Ф.Кротких ожидает ТЗ для оценки трудозатрат
16.10.23-ЦР (А.Исайчева) приступил к оценке трудозатрат без ТЗ от РСС до 20.11.23 (конференция вертолеты)
21.12.23-ЦР не выдал результатов, РСС пробует реализовывать разработку ПО (в части SQL-БД) самостоятельно. Сроки разработки - неизвестны
05.04.24-РСС разработал базу данных SQL для хранения результатов измерений
15.07.24-Проработка приостановлена в связи с занятостью РСС</t>
  </si>
  <si>
    <t>352_24</t>
  </si>
  <si>
    <t>Strain DAQ project: 1536 channels + 96 voltages</t>
  </si>
  <si>
    <t>23.08.2024-запрос расписан через офис, до 29.08
26.08.24-запрос направлен в РСС
28.08.24-получена схема от РСС, ТКП согл. с РСС, на согл. у В.Спиридонского
28.08.24-ориентир. ТКП направлено Заказчику</t>
  </si>
  <si>
    <t>19.09.23-Заказик объявил о начале тендера
20.09.23-ДО готовит пакет документов до 25.09.23
25.09.23-Пакет документов направлен Заказчику по e-mail (исх.1970 от 25.09.2023). РСС готовит ТП, опыт и лист согласования до 09.10.23
26.09.23-РСС вносит корректировки в ТКП (т.к. бюджет у Заказчика - 60млн) до 09.10.23
09.10.23-Тех.предложение направлено Заказчику по e-mail. Ожидаем вызова на технические преговоры 13-26.10.2023
10.10.23-Проект ТКП (снижение стоимости до 60 млн.) и лист согласования переданы на подпись в РСС. Требуется проведение НТС с Поповым
16.10.23-Лист согласования подписан А.Поповым, ДО готовит протокол разногласий к договору
Срок проведения предквалификации - 16.11.2023г.
Срок проведения тендера - 28.11.2023г.
03.11.23-Пакет документов (без договора) передан И.Потапову по просьбе А-й Скрипник
14.11.23-Получен опросный лист для заполнения - передан в РСС до 16.11.23
15.11.23-И.Потапов подписал лист согласования ТКП
17.11.23-Заказчику направлен заполненный ОЛ
21.11.23-Протокол разногласий с корректировками РСС передан в ДО
24.11.23-Протокол разногласий к Договору передан И.Сныгиной для согласования с руководством
27.11.23-Сроки предквалификации и тендера переносятся - ждем дополнительного уведомления от Заказчика
22.12.23-РСС анализирует стоимость устранения части отклонений от требований ТЗ в области ПБ до 25.12.23
28.12.23-РСС увеличил резерв - ТКП2022-568/7.3 Заказчику направлен ОЛ, обновленный РСС в части ПБ
15.01.24-Заказчик не согласен с 2-мя пунктами ОЛ - РСС готовит корректировку по трудозатратам до 16.01.24
17.01.24-Заказчику направлен корректированный ОЛ, РСС не требует увеличения трудозатрат
12.02.24-ждем решения комиссии
16.02.24-получен протокол допуска к торгам. Подача ТКП до 12:00 22.02.2024. 
21.02.24-Подача ТКП ТКП до 12:00 27.02.2024 - ДО готовит пакет
26.02.24-ТКП и Протокол разногласий к Договору направлены Заказчику (15:54), ожидаем решения комиссии
28.02.24-Заказчик пригласил на переторжку, готовлю ТКП до 14:00 01.03.2024г.
01.03.24-Заказчику направлено оптимизированное ТКП. Ожидаем решения Заказчика.
04.03.24-Получен запрос на скидку по 2-му этапу переторжки
06.03.24-Заказчику отправлен отказ от предоставления дополнительной скидки, ожидаем решения закупочной комиссии
13.03.24-Предварительное решение Заказчика - выбор поставщика в Китае (60 млн.руб.), ожидаем протокол/сообщение
19.04.24-Решение по выбору поставщика Заказчиком не утверждено, ожидаем официальное уведомление
- закрыть задачу</t>
  </si>
  <si>
    <t>360_24</t>
  </si>
  <si>
    <t>Strain DAQ project: 24 channels</t>
  </si>
  <si>
    <t>Скрипник</t>
  </si>
  <si>
    <t>048_23
329_24</t>
  </si>
  <si>
    <t>334_24</t>
  </si>
  <si>
    <t>305_24</t>
  </si>
  <si>
    <t>16.07.24-запрос расписан через офис, до 19.07
18.07.24-тех.вопросы к заказчику (Силаев)
25.07.2024-Необходимо выдать КП для Селькова
-кп направлено по e-mail
-запрошены альтернативные КП</t>
  </si>
  <si>
    <t>22.08.2024-Актуализация ТКП по корректированной схеме по поручению И.Масловой
22.08.2024-Проект ТКП передан в РСС на согласование/дополнение
29.08.2024-ТКП на утверждении В.Спиридонского
04.09.2024-ТКП направлен Заказчику по e-mail - исх.(АО)2120</t>
  </si>
  <si>
    <t>309_24
355_24</t>
  </si>
  <si>
    <t>ОДК-УМПО ЛМЗ (Лыткарино)</t>
  </si>
  <si>
    <t>365_24</t>
  </si>
  <si>
    <t>ОКР Карагач, комплект гальваники+кабели</t>
  </si>
  <si>
    <t>АО ВПК НПО машиностроения</t>
  </si>
  <si>
    <t>372_24</t>
  </si>
  <si>
    <t>МиниСИС на ГТД</t>
  </si>
  <si>
    <t>26.05.2022-запрос расписан через офис
27.05.2022-запрос принят в проработку. Передан в проработку РСС
31.05.2022-получен отказ от РСС по выполнению заказа
23.06.2022-Организована командировка РСС на объект для предварительного обследования 24.06.2022
27.06.2022-РСС готовит корректированный расчет трудозатрат до 29.06.2022
28.06.2022-ТКП подписано А.Семиным, направлено Заказчику исх.904 от 28.06.2022</t>
  </si>
  <si>
    <t>26.12.22-запрос расписан через офис, до 13.01
27.12.22-Запрос направлен на проработку в РСС
17.01.22-Запланирована командировка РСС для обсуждения ТЗ у Заказчика на 20.01.23
23.01.23-Ведется анализ ТЗ, разработка схемы с учетом информации, полученной на переговорах до 27.01.23
27.02.23-РСС ожидает согласования доработанного ТЗ со стороны Заказчика до 06.03.23 (ответственность за дегазацию кабелей должна быть у Заказчика)
01.03.23-Запрос ТКП не актуален - Заказчик закупил оборудование Keysight</t>
  </si>
  <si>
    <t>17.09.2024 - запрос поступил от В.Спиридонского по WhatsApp. Ожидаю схему от РСС.
20.09.2024-ориентировочный срок проработки (загруженность РСС текущими заказами) - 30.09.2024</t>
  </si>
  <si>
    <t>30.09.2024-Запрос от Заказчика поступил через В.Спиридонского (WhatsApp)
30.09.2024-Проект ТКП передан на доработку по кабелям в РСС
03.09.2024-ТКП передано на согласование В.Спиридонскому
обновить статус 06.09
05.09.2024-Ответ на подписи у А.Семина
09.09.2024-Ответ направлен заказчику по e-mail - исх.(ООО)578</t>
  </si>
  <si>
    <t>380_24</t>
  </si>
  <si>
    <t>Тема - РОС. АСПУ</t>
  </si>
  <si>
    <t>392_24</t>
  </si>
  <si>
    <t>ОКБМ</t>
  </si>
  <si>
    <t>15.07.24-запрос расписан через офис, до 19.07
-согласуем ТЗ в РСС
-запросили у производителя нагрузочных устройств стоимости и комплектации (изменились мощности), правим ТЗ
13.09.24-задача передана Буряк О.
20.09.24-ТКП на согласовании у Спиридонского В. (23.09-отправлено на перерасчет и уточнение стоимостей позиций)
23.09.24-ТКП на согласовании у Спиридонского В. (01.10-согласовано)
02.10.24-ТКП направлено заказчику исх. 2315/1-АО</t>
  </si>
  <si>
    <t>558_22
365_24</t>
  </si>
  <si>
    <t>511_22
389_24</t>
  </si>
  <si>
    <t>23.09.2024-Заказчик запросил актуализированное ТКП
24.09.2024-Запрос направлен на проработку в РСС
25.09.2024-Направлены запросы ТКП поставщикам
26.09.2024-Заказчик просит выдать ТКП до 30.09.2024. В.Спиридонскому передано на согласование ТКП с +15% на покупное
01.10.2024-ТКП согласовано В.Спиридонским, А.Семиным, направлено Заказчику по e-mail - исх.(АО)2388</t>
  </si>
  <si>
    <t>5 стендов
- Нагрузочный 110кВт, 2 шт
- КСИ - 115кВт (винтовой)
- МВИС - 200лс (винтовой)</t>
  </si>
  <si>
    <t>ISRO-ТСT 2000 chans</t>
  </si>
  <si>
    <t>329_24</t>
  </si>
  <si>
    <t>379_24</t>
  </si>
  <si>
    <t>Алтай. Ракетный стенд</t>
  </si>
  <si>
    <t>ФНПЦ Алтай</t>
  </si>
  <si>
    <t>19.08.2024-запрос расписан через офис, до 23.08
20.08.24-запрос с ИД направлен в РСС
03.09.24-схема от РСС
10.09.24-задача на мне
18.09.24-в прайсе отсутствует MX-328, Каринский и Скрипник говорят продавай, для цены нужна себестоимость, жду инф-цию от Скрипника А-я 19.09
02.10.24-по решению директора платы MX-328 пока не продаем в Индию, зачада больше не акутальна, так как ТЗ конкурсное, без MX-328 мы не соответствует требованиям запроса. Kingsly снимает запрос, они сами не будут участвовать</t>
  </si>
  <si>
    <t>09.09.2024 - запрос расписан через офис, до 16.09
10.09.2024-рассылка по рабочим группам. Подача до 16:00мск 18.09.2024г.
12.09.2024-БСТК принял запрос в проработку до 16.09.2024
17.09.2024-продление срока подачи на ЭТП до 23.09.2024
19.09.2024-ожидаю схему от РСС/БСТК
20.09.2024-ТКП на согласовании у В.Спиридонского. 
23.09.2024-ТКП утверждено А.Семиным, заявка подана на ЭТП</t>
  </si>
  <si>
    <t>12.09.2024 - запрос расписан через офис до 20.09
13.09.2024-ТКП на проработке в РСС
02.10.2024-ТКП на проработке в РСС до 04.10.2024
03.10.2024-задача неактуальна по информации от РСС</t>
  </si>
  <si>
    <t>Измеритель_крутящего_момента_и_давления</t>
  </si>
  <si>
    <t>КГТУ</t>
  </si>
  <si>
    <t>433_24</t>
  </si>
  <si>
    <t>17.09.2024 - запрос поступил от В.Спиридонского по WhatsApp. Ожидаю схему от РСС.
20.09.2024-ориентировочный срок проработки (загруженность РСС текущими заказами) - 30.09.2024
25.09.2024-подготовлена схема, проект ТКП направлен РСС на уточнение трудозатрат
01.10.2024-Требуется ценообразование на МЕ-012, МЕ-014 (переговоры В.Спиридонский - Ай.Скрипник)
01.10.2024-РСС обещает закончить правки до 02.10.2024
17.10.2024-корректированное ТКП направлено на согласование в РСС
23.10.2024-ТКП повторно направлено на согласование в РСС и В.Спиридонскому
25.10.2024-Корректированное ТКП направлено В.Спиридонскому и А.Семину
28.10.2024-Получены правки от А.Семина по ВТК и резерву, корректированное ТКП направлено В.Спиридонскому
30.10.2024-Согласовано В.Спиридонским, направлено Заказчику по e-mail - исх.(АО)2674</t>
  </si>
  <si>
    <t>30.08.24-запрос через e-mail пришёл на А.Скрипника
03.09.24-РСС подготовил структурную схему
10.09.24-задача передана Буряк О.
12.09.24-вопрос Панферову А. (Браварец Д. в копии), можно ли использовать MS-340 с MIC-1150 в промышленном исполнении
19.09.24-ожидаю ответ от РСС по комплектности оборудования Мера (24.09-ответ)
25.09.24-запрошены ТКП на грузоперевозку в Индию
-Скрипник А. направил часть ИД на датчики
26.09.24-РСС продолжает прорабатывать ТКП (нужны термопары, тензодатчики и кабельная продукция)
28.10.24-по информации от РСС запрос неактуален</t>
  </si>
  <si>
    <t>410_24</t>
  </si>
  <si>
    <t>03.10.2024 - запрос расписан через офис до 15.10
14.10.2024 - проведены переговоры с Заказчиком, задан ряд уточняющих вопросов - ожидаем ответов Заказчика, либо корректированного ТЗ (текущее ТЗ с ВП не содержит оборудования МЕРА)</t>
  </si>
  <si>
    <t>413_24</t>
  </si>
  <si>
    <t>КП на MS402, MS405 и панель управления для MIC1150PE</t>
  </si>
  <si>
    <t>418_24</t>
  </si>
  <si>
    <t xml:space="preserve">АСУТПИ </t>
  </si>
  <si>
    <t>431_24</t>
  </si>
  <si>
    <t>434_24</t>
  </si>
  <si>
    <t>Пульты на стендах, примеры реализации</t>
  </si>
  <si>
    <t>109_24
596_22
174_23</t>
  </si>
  <si>
    <t>Разработка, изготовление, пуско-наладочные работы эмулятора рабочего места пилота АЕ300</t>
  </si>
  <si>
    <t>КНИТУ-КАИ им. А.Н. Туполева</t>
  </si>
  <si>
    <t>455_24</t>
  </si>
  <si>
    <t>Стат нагружение 10 каналов</t>
  </si>
  <si>
    <t>453_24</t>
  </si>
  <si>
    <t>Тормозной стенд AVL</t>
  </si>
  <si>
    <t xml:space="preserve">MIC-224 </t>
  </si>
  <si>
    <t>31.10.24-от РСС поступил запрос на возобновление работы над ТКП и данные для расчета, до 05.11
02.11.24-корректировка Ид от РСС
05.11.24-ожидаю информации от РСС по разработке ПО до 13.11
11.11.24-ТКП направлено заказчику по e-mail</t>
  </si>
  <si>
    <t>440_24</t>
  </si>
  <si>
    <t>Ремонт системы автоматики и управления медицинскими кондиционерами</t>
  </si>
  <si>
    <t>456_24</t>
  </si>
  <si>
    <t>460_24</t>
  </si>
  <si>
    <t>Уральский Федеральный университет (УРФУ)</t>
  </si>
  <si>
    <t>Многопрофильный медицинский центр</t>
  </si>
  <si>
    <t>РМ-8 (аналог РМ6 p2301)</t>
  </si>
  <si>
    <t>205_24</t>
  </si>
  <si>
    <t>Система управления РУД</t>
  </si>
  <si>
    <t>Вертикаль</t>
  </si>
  <si>
    <t>15.05.24-запрос через офис, до 22.05
16.05.24-письмо с отказом у А.Семина
17.05.24-письмо исх. №1132 (АО) направлено Заказчику</t>
  </si>
  <si>
    <t>07.10.2024 - запрос расписан через офис до 15.10
16.10.2024 - ТКП на согласовании у А-я Скрипника
24.10.2024- вопрос о возможности монтажа модулей в сущетвующий MIC-1150 на согласовании с Панферовым и СТС, решение будет на следующей неделе
статус, отправить
28.10.2024 - ожидание согласования с А.Панферовым и А-ем Скрипником
01.11.2024 - Запрос передан в работу А.Грязневу
02.11.2024 - ТКП на согласовании с А.Грязневым
05.11.2024 - ТКП на согласовании у А-я Скрипника
06.11.2024 - ожидание согласования ТКП с А.Н. Поповым
06.11.2024 - ТКП направлено Заказчику по e-mail</t>
  </si>
  <si>
    <t>21.10.2024 - запрос расписан через офис до 29.10
23.10.2024 - С.Силаев готовит схему до 25.10.2024
24.10.2024 - ЦР (ОРПО, А.Березняцкоий) анализирует ТЗ в части ПО
30.10.2024 - готовлю проект ТКП по схеме
02.11.2024-проект ТКП направлен на согласование в РСС до 06.11.2024
07.11.2024 - ТКП на согласовании у В.Спиридонского до 08.11.2024
08.11.2024 - ТКП согласовано, ответ на подписи у А.Семина
11.11.2024 - ответ направлен Заказчику по e-mail - исх.2776</t>
  </si>
  <si>
    <t>05.11.2024 - запрос расписан через офис до 12.11
13.11.2024 - направлен отказ по e-mail - нет оборудования МЕРА</t>
  </si>
  <si>
    <t>08.11.2024 - запрос расписан через офис до 15.11
09.11.2024 - запрос принят в проработку РСС до 15.11.2024
15.11.2024 - запланированы переговоры с Заказчиком 29.11.2024 (потенциально - отказ)</t>
  </si>
  <si>
    <t>451_24</t>
  </si>
  <si>
    <t>Система контроля вибрации лопаток турбины</t>
  </si>
  <si>
    <t>08.11.2024 - запрос расписан через офис до 15.11
11.11.2024-сделан запрос в группы, кто возьмёт в проработку
-ОКП взял задачу себе
12.11.2024-РСС работал над данной задачей 2 года назад, задача ушла к РСС
14.11.2024-инф-ция от РСС, что это система Силовых Машин (мы изготовим подпистему в случае их запроса)
15.11.2024-ожидаю инф-цию от Спиридонского В.Е. (19.11-ответ, см. ТКП 350_22)
21.11.2024-цена состави + 2% к цене из исх. 708-ООО от 02.11.2022 (по согласованию со Спиридонским В.Е. и Семиным А.А.)
-ТКП направлено заказчику исх. 745-ООО</t>
  </si>
  <si>
    <t>468_24</t>
  </si>
  <si>
    <t>Измерительная система для объекта СТЕНД. Корпус ЛКБМ</t>
  </si>
  <si>
    <t>АДМ СпецРТ</t>
  </si>
  <si>
    <t>473_24</t>
  </si>
  <si>
    <t>Система диагностики подшипников</t>
  </si>
  <si>
    <t>08.11.2024 - запрос расписан через офис в РСС
11.11.2024-запрос передан в работу ОП (выяснить контактные лица)
13.11.2024-контакт для связи по технике направлен в РСС
15.11.2024-проработка от РСС (25.11-ИД направлены в ОП)</t>
  </si>
  <si>
    <t>Корректировка спецификации ТКП в части явно указанных  ТЗ покупных стандартных позиций</t>
  </si>
  <si>
    <t>Проводит согласование с отделами. При необходимости привлекать УП для консультаций</t>
  </si>
  <si>
    <r>
      <t xml:space="preserve">Готовит сопроводиловку с итоговой суммой. Сбор замечаний для сопроводиловки.
</t>
    </r>
    <r>
      <rPr>
        <sz val="9"/>
        <color rgb="FFFF0000"/>
        <rFont val="Calibri"/>
        <family val="2"/>
        <scheme val="minor"/>
      </rPr>
      <t>условиями поставки (Не только сроки но и нюансы)</t>
    </r>
  </si>
  <si>
    <t>474_24</t>
  </si>
  <si>
    <t>477_24</t>
  </si>
  <si>
    <t>Перенос 2-х пультов Ц4Н за пределы барокамеры</t>
  </si>
  <si>
    <t>Тензостанция ndtd@imran.ru</t>
  </si>
  <si>
    <t>Рос. Академия наук</t>
  </si>
  <si>
    <t>501_24</t>
  </si>
  <si>
    <t>Богучарская ГЭС</t>
  </si>
  <si>
    <t>АО_ФЦДТ_Союз_ИВК к СИПП</t>
  </si>
  <si>
    <t xml:space="preserve">Стат зал </t>
  </si>
  <si>
    <t>508_24</t>
  </si>
  <si>
    <t>Испытания изделий РКТ
Система контроля КСТ</t>
  </si>
  <si>
    <t>Скрипник Ар
Потолочин МП</t>
  </si>
  <si>
    <t>СКБ АРД АПД 200</t>
  </si>
  <si>
    <t>СКБ АРД</t>
  </si>
  <si>
    <t>511_24</t>
  </si>
  <si>
    <t>Силовые Машины</t>
  </si>
  <si>
    <t>496_24</t>
  </si>
  <si>
    <t>ГТЭ170.2 MIC-ДФМ</t>
  </si>
  <si>
    <t>ГТЭ170.2 СИ (похожий 3129)</t>
  </si>
  <si>
    <t>СИС РД-171</t>
  </si>
  <si>
    <t>518_24</t>
  </si>
  <si>
    <t>504_24
219_24</t>
  </si>
  <si>
    <t>Потолочин ИМ</t>
  </si>
  <si>
    <t>002_25</t>
  </si>
  <si>
    <t>005_25</t>
  </si>
  <si>
    <t>Автоваз</t>
  </si>
  <si>
    <t>VibroConrol</t>
  </si>
  <si>
    <t>006_25</t>
  </si>
  <si>
    <t>Flight data recorder</t>
  </si>
  <si>
    <t>Скрипник Ай
Силаев</t>
  </si>
  <si>
    <t>64 channels DAQ</t>
  </si>
  <si>
    <t>013_25</t>
  </si>
  <si>
    <t>015_25</t>
  </si>
  <si>
    <t>\\Fserv\e\MERA\WORKS\ДСИ\РСС\ТКП\Отдел продаж.xlsx</t>
  </si>
  <si>
    <t>28.10.2024 - запрос расписан через офис до 31.10
29.10.2024-запланировано совещание на 30.10.2024 с ОМ по разработке презентации пультов
30.10.2024-РСС готовит схемы (3 варианта) до 11.11.2024
31.10.2024-ЦР (КО, А.Васильев) прорабатывает схему до 18.11.2024
18.11.2024 - РСС и КО продолжают проработку 3х вариантов схемы до 25.11.2024
25.11.2024 - РСС и КО продолжают проработку 3х вариантов схемы до 06.12.2024
17.01.2025 - задача закрыта до поступления дополнительниго запроса от Заказчика</t>
  </si>
  <si>
    <t>29.10.2024 - запрос расписан через офис до 06.11
30.10.2024 - Заказчику направлены уточняющие вопросы
02.11.2024 - РСС принял запрос в проработку
06.11.2024 - направлены уточняющие вопросы, ожидаем ответы Заказчика
15.11.2024 - ожидание приезда Заказчика для принятия решения по разработке СИ или комплектации ИВК
16.01.2025 - Ожидание нового запроса с уточненными исходными данными</t>
  </si>
  <si>
    <t>12.11.2024 - запрос расписан через офис до 19.11
13.11.2024 - запрос принят в проработку РСС до 22.11.2024
12.12.2024 - Заказчик не выходит на связь (требуется уточнение исходных данных)
16.01.2025 - Ожидаем новый запрос с уточненными исходными данными (Заказчик не выходит на связь)</t>
  </si>
  <si>
    <t>15.11.2024-запрос на подписание ТЗ
18.11.2024-собираю подписи на лист согласования
03.12.2024-требуется переписать ТЗ по другому ГОСТ (по итогам согласов. с Поповым А.Н.)
26.12.2024-подготовлена новая версия ТЗ
-собираю подписи на лист согласования
09.01.2025-сканы ТЗ направлены заказчику по e-mail</t>
  </si>
  <si>
    <t>12.12.2024 - запрос расписан через офис до 23.12 (см. хронологию вх. 1579-АО)
-запрос расчета трудоемкости на разработку ЭП в ОСП с 06.12
17.12.2024-ответ Филатова Р.А. о необходимости изменений в трудоемкостях
-ответ от Березняцкого А.В. 
19.12.2024-повторное согласование с Березняцким А.В.
25.12.2024-собираю подписи на лист согласовнаия
26.12.2024-направлены вопросы по технике Лебедеву М.В.
16.01.2025-ТКП направлено заказчику исх. 3218-АО</t>
  </si>
  <si>
    <t>16.12.2024 - запрос расписан через офис до 23.12
17.12.2024-запросила контакт по технике от заказчика (17.12-ответ)
-ТКП в проработке РСС до 23.12
24.12.2024-расчет от РСС поступил в ОП
25.12.2024-собираю лист согласования
16.01.2025-ТКП направлено заказчику исх. 3231-АО</t>
  </si>
  <si>
    <t>24.12.2024 - без запроса, исполнение условий Договора, до 16.01.2024
28.12.2024 - сведения о факт. трудоемкости по этапу запрошены у А.Лазарева
13.01.2025 - данные по этапу представлены для расчета в бухгалтерию
17.01.2025 - Факт затраты направлены исх. №72 от 17.01.2025</t>
  </si>
  <si>
    <t>09.01.2025 - запрос расписан через офис до 16.01
15.01.2025-поступили ИД от РСС
-ТКП направлено заказчику исх. 12-ООО</t>
  </si>
  <si>
    <t>17.01.2025-продолжение работы над ТКП 431_24
22.01.2025-ИД для расчета ТКП поступили в ОП
27.01.2025-ТКП направлено заказчику по e-mail</t>
  </si>
  <si>
    <t>20.01.2025-запрос по e-mail направить ТКП с разбивкой цен по позициям
21.01.2025-ТКП направлено заказчику исх. 90-АО</t>
  </si>
  <si>
    <t>АВТОВАЗ</t>
  </si>
  <si>
    <t>15.01.2025 - запрос расписан через офис до 23.01
16.01.2025 - запрос в работе в РСС
20.01.2025 - РСС продолжает проработку до 27.01.2025</t>
  </si>
  <si>
    <t>025_25</t>
  </si>
  <si>
    <t>ПТЕРО</t>
  </si>
  <si>
    <t>030_25</t>
  </si>
  <si>
    <t>031_25</t>
  </si>
  <si>
    <t>Модернизация стендов</t>
  </si>
  <si>
    <t>Поршневые стенды, 17 шт</t>
  </si>
  <si>
    <t>048_25</t>
  </si>
  <si>
    <t>128Channel_Temperature_Recorder</t>
  </si>
  <si>
    <t>Vibro control 16 channels</t>
  </si>
  <si>
    <t>PXI Sistem FirePanel2</t>
  </si>
  <si>
    <t>Ada engine. MIC-312</t>
  </si>
  <si>
    <t>040_25</t>
  </si>
  <si>
    <t>043_25</t>
  </si>
  <si>
    <t>VSSC ISRO</t>
  </si>
  <si>
    <t>OF MIC-312</t>
  </si>
  <si>
    <t>418_24
572_23
252_22</t>
  </si>
  <si>
    <t>25.11.2024 - запрос от залказчика по e-mail
26.11.2024 - запрос принят в проработку РСС до 06.12.2024
18.12.2024 - ТКП на согласовании у В.Спиридонского
28.12.2024 - РСС внес корректировки, согласование ТКП будет перезапущено 09.01.2025
10.01.2025 - РСС планирует переговоры с Заказчиком на объекте для согласования схемы
17.01.2025 - ТКП на согласовании в РСС
20.01.2025 - ТКП на согласовании у В.Спиридонского
23.01.2024 - ответ направлен Заказчику по e-mail</t>
  </si>
  <si>
    <t>30.01.2025-продолжение работы над вх. 35
-в работе у РСС до 07.02
07.02.2025-ответ направлен заказчику исх. 261-АО</t>
  </si>
  <si>
    <t>24.01.2025 - запрос расписан через офис до 31.01
-запрос в проработке у РСС
29.01.2025-закрытие запроса в связи с неактуальностью для заказчика</t>
  </si>
  <si>
    <t>28.01.2025 - запрос расписан через офис до 03.02
29.01.2025-отказ, наше оборудование не соотв. ТЗ</t>
  </si>
  <si>
    <t>037_25</t>
  </si>
  <si>
    <t>066_25</t>
  </si>
  <si>
    <t>EKLES SERTIFICATE Диёр Расулев</t>
  </si>
  <si>
    <t>063_25</t>
  </si>
  <si>
    <t>АПД_2 стенда</t>
  </si>
  <si>
    <t>076_25</t>
  </si>
  <si>
    <t>DDS-M-110</t>
  </si>
  <si>
    <t>Обновление стендовой базы, РОС</t>
  </si>
  <si>
    <t>065_25
109_24
068_24</t>
  </si>
  <si>
    <t>Матрица проверок</t>
  </si>
  <si>
    <t>СКБМ</t>
  </si>
  <si>
    <t>22.02.2025 - Заказчик запросил ТКП на АИС стенда отдельно, РСС возобновил проработку
17.02.2025 - Заказчику направлен отказ (нет оборудования МЕРА)</t>
  </si>
  <si>
    <t>25.12.2024 - запрос расписан через офис до 15.01
28.12.2024 - запрос на проработке в РСС до 17.01.2025
20.01.2025 - РСС готовит схему до 27.01.2025
21.01.2025 - направлен дозапрос исх.данных Заказчику - исх(АО)89</t>
  </si>
  <si>
    <t>31.01.2025-продолжение работы над вх. 86
-запрос на проработке у РСС до 05.02
05.02.2025-уточнение ИД у заказчика (12.02-ответа нет)
12.02.2025-ТКП направлено заказчику исх. 75-ООО</t>
  </si>
  <si>
    <t>071_25</t>
  </si>
  <si>
    <t>080_25</t>
  </si>
  <si>
    <t>081_25</t>
  </si>
  <si>
    <t>ОДК-Инжиниринг</t>
  </si>
  <si>
    <t>14.02.2025 - Задача поступила в работу от В.Спиридонского по e-mail через А.Семина.
14.02.2025 - запланированы переговоры в 10:00 18.02.2025 (ДСИ, РСС, ПКГ, ОСП)
18.02.2025 - проведены переговоры, ожидаем обратную связь</t>
  </si>
  <si>
    <t>098_25</t>
  </si>
  <si>
    <t>112_25</t>
  </si>
  <si>
    <t>НПП Старт им. А.И. Яскина</t>
  </si>
  <si>
    <t>Арктик СПГ</t>
  </si>
  <si>
    <t>Жел. Дор комплекс</t>
  </si>
  <si>
    <t>MIC-ДФМ</t>
  </si>
  <si>
    <t>Дооснащение системы 2687, 2932</t>
  </si>
  <si>
    <t>Филатов</t>
  </si>
  <si>
    <t>Стенд 3, 4 БМП</t>
  </si>
  <si>
    <t>24.02.2025 - запрос расписан через офис до 03.03
25.02.2025 - запрос принят в проработку РСС
26.02.2025 - ТКП на согласовании у В.Спиридонского
28.02.2025 - исх.(АО)449 у А.Семина на подписи</t>
  </si>
  <si>
    <t>25.02.2025 - Заказчик запросил актуализированное ТКП на 2026г.
26.02.2025 - ТКП на согласовании у В.Спиридонского
27.02.2025 - исх(АО)406</t>
  </si>
  <si>
    <t>117_25</t>
  </si>
  <si>
    <t>03.03.2025 - оплата</t>
  </si>
  <si>
    <t>126_25</t>
  </si>
  <si>
    <t>MIC-ДФМ.</t>
  </si>
  <si>
    <t>MIC-ДФМ
АЭС Куданкулам</t>
  </si>
  <si>
    <t>2 стенда АПД</t>
  </si>
  <si>
    <t>127_25</t>
  </si>
  <si>
    <t>электро-поршневые двигатели</t>
  </si>
  <si>
    <t>АО "ЭКОЛИБРИ"</t>
  </si>
  <si>
    <t xml:space="preserve">26.02.2025 - Проведен ВКС с заказчиком, получена первая версия тз на изделие
</t>
  </si>
  <si>
    <t>153_25</t>
  </si>
  <si>
    <t>АСУТП б3,4</t>
  </si>
  <si>
    <t>125_25</t>
  </si>
  <si>
    <t>154_25</t>
  </si>
  <si>
    <t>Дооснащение датчик момента</t>
  </si>
  <si>
    <t>СКВЛ ЛАЭС 4 агрегата</t>
  </si>
  <si>
    <t>Дооснащение ст.9 (заказ 1600)</t>
  </si>
  <si>
    <t>05.02.2025 - запрос поступил от А.А. Сёмина
10.02.2025 - ТКП подготовлено и передано И.Новацкому для формирования ИД для РКМ
12.02.2025 - Подготовка ИД для РКМ с учетом командировок и доставки
13.02.2025 - Запрошено КП у поставщика на доставку
20.02.2025 - ИД для РКМ и ДС направлены в ДО
26.02.2025 - Заказчику направлен запрос исх. 384 от 26.02.2025 на утверждение ДТЗ №1, после чего мы сможем оформить дополнительное соглашение к Договору
10.03.2025 - получено ДТЗ
Открыта новая задача вх. 290</t>
  </si>
  <si>
    <t>05.03.2025 - заказчик направил согласованный проект ТЗ для формирования ТКП
-ТКП в проработке у РСС
-ИД для расчета ТКП переданы в ОП
17.03.2025-передано на согласование Потаапову И.А.
20.03.2025-ТКП направвлено заказчику исх. 161-ООО</t>
  </si>
  <si>
    <t>26.02.2025 - запрос расписан через офис до 05.03
27.02.2025 - запрос о возможности модернизации системы направлен в РСС
03.03.2025 - Заказчику направлен список вопросов от РСС
13.03.2025 - направлен исх. № 528 от 13.03.2025 об отсутствии необходимости доработки системы</t>
  </si>
  <si>
    <t>138_25</t>
  </si>
  <si>
    <t>140_25</t>
  </si>
  <si>
    <t>ОДК-Кузнецов</t>
  </si>
  <si>
    <t>18.03.2025 - запрос расписан через офис до 25.03
18.03.2025 - запрос направлен в группы, РСС приняли задачу в работу</t>
  </si>
  <si>
    <t>Гидротормоз на 10МВт</t>
  </si>
  <si>
    <t>Измерение пульсаций давления</t>
  </si>
  <si>
    <t>Камера_термовакуумной_сушки</t>
  </si>
  <si>
    <t>159_25</t>
  </si>
  <si>
    <t>ЭРСТВАК</t>
  </si>
  <si>
    <t>17.03.2025 - запрос расписан через офис до 24.03
20.03.2025-уточняю, кто прорабатывает по технике
25.03.2025-инф-ция от Потолочина М.П., что ОДК-Стар законтрактовались с др. поставщиком
26.03.2025-запрос закрыт в связи с неактуальностью</t>
  </si>
  <si>
    <t>176_25</t>
  </si>
  <si>
    <t>091_25</t>
  </si>
  <si>
    <t>171_25
376_23</t>
  </si>
  <si>
    <t>АПД</t>
  </si>
  <si>
    <t>S</t>
  </si>
  <si>
    <t>УВЗ</t>
  </si>
  <si>
    <t>15.01.2025 - запрос расписан через офис до 22.01
21.01.2025 - на согласовании в ДО
22.01.2025 - Проект ДС №2 о переносе сроков выполнения работ и БГ направлен Заказчику исх. №33 от 22.01.2025</t>
  </si>
  <si>
    <t>21.03.2025-заказчик продлил конкурс до 28.03
25.03.2025-согласование возможности утверждения типа СИ с Филатовым Р.А. (27.03-согласовано)
27.03.2025-уточнение метрологии для тех. предложения
-запрос заказчику о продложении конкурса
28.03.2025-цена ТКП согласована с Семиным А.А.
01.03.2025-согласование тенх. предложения с Коростелевым О.Б. и ОСП (02.04-согалсовано)
02.04.2025-ТКП и тех. предложение переданы в ДО
-ТКП и тех. предложение поданы на конкурс</t>
  </si>
  <si>
    <t>05.03.2025 - запрос расписан через офис до 14.03
13.03.2025 - ожидание ИД от М.Потолочина до 17.03
14.03.2024 - получены ИД
17.03.2025 - запрошены КП у поставщиков датчиков
24.03.2025 - согласовано с Д. Капустяном, Р.Филатовым
26.03.2025 - ТКП на согласовании у В. Е. Спиридонского
02.04.2025 - ТКП на согласовании у А.А. Семина
04.04.2025 - ТКП направлены Заказчику по e-maill</t>
  </si>
  <si>
    <t>156_25</t>
  </si>
  <si>
    <t>20.03.2025 - запрос поступил в работу через РСС
24.03.2025 - ТКП на согласовании у В.Спиридонского
28.03.2025 - ТКП направлено Заказчику по e-mail</t>
  </si>
  <si>
    <t>21.03.2025 - запрос поступил по телефону
21.03.225 - согласование срока поставки с ПТЦ
24.03.2025 - согласование договора с А.Коршуновым и В. Спиридонским
27.03.2025 - договор на согласовании у А.Семина
28.03.2025 - проект договора направлен Заказчику по e-mail исх. № 187 от 28.03.2025</t>
  </si>
  <si>
    <t xml:space="preserve">21.03.2025 - запрос расписан через офис до 01.04 (см. ТКП 080_25)
02.04.2025-со Скрипником А.А. согласован отказ ввиду того, что работы непрофильные для меры 
-направлен отказ исх. 198-ООО </t>
  </si>
  <si>
    <t>ПАО ОДК Кузнецов</t>
  </si>
  <si>
    <t>219_25</t>
  </si>
  <si>
    <t>230_22</t>
  </si>
  <si>
    <t>202_25</t>
  </si>
  <si>
    <t>07.04.2025-запрос расписан через офис до 14.04 (заказчик попросил направить ТКП до 09.04)
-запрос в проработке у РСС
11.04.2025-заказчику направлены вопросы по ТЗ
14.04.2025-ин-фция от заказчика, что запрос неактуален</t>
  </si>
  <si>
    <t>220_25</t>
  </si>
  <si>
    <t>223_25</t>
  </si>
  <si>
    <t>237_25</t>
  </si>
  <si>
    <t>15.04.2025 - оплата</t>
  </si>
  <si>
    <t>244_25</t>
  </si>
  <si>
    <t>ЛИИП Гризодубовой</t>
  </si>
  <si>
    <t>Испытания ГТД</t>
  </si>
  <si>
    <t>245_25</t>
  </si>
  <si>
    <t>241_25</t>
  </si>
  <si>
    <t>249_25</t>
  </si>
  <si>
    <t>17.04.2025 - запрос расписан через офис до 22.04
23.04.2025 - ТКП отправлено Скрипнику А-ру для направления Заказчику</t>
  </si>
  <si>
    <t>242_25</t>
  </si>
  <si>
    <t>измерительной системы средств разделения КА (ИССР)</t>
  </si>
  <si>
    <t>UPS ники</t>
  </si>
  <si>
    <t>257_25</t>
  </si>
  <si>
    <t>Потолочин МП
Силаев С</t>
  </si>
  <si>
    <t>МГТД У-05</t>
  </si>
  <si>
    <t>Данилин</t>
  </si>
  <si>
    <t>MIC-185 demo</t>
  </si>
  <si>
    <t>Аэродинамический расчет</t>
  </si>
  <si>
    <t>21.01.2025 - запрос расписан через офис до 27.01 (см. хронологию вх. 41)
-запрос в проработке у РСС
22.01.2025-ТКП направлено закзачику по e-mail</t>
  </si>
  <si>
    <t>07.02.2025 - РСС подготовил схему для актуализации ТКП
20.02.2025 - ожидание ТКП поставщика (Лисейкин)
26.02.2025 - ТКП на согласовании у В.Спиридонского
28.03.2025 - Заказчик внес правки в ТЗ, требуется корректировка ТКП, РСС уточняет исходные данные
15.04.2025 - ТКП на согласовании в РСС
16.04.2025 - ТКП на согласовании у Спиридонского В.Е.
12.05.2025-продолжение работы над задачей вх. 514</t>
  </si>
  <si>
    <t>26.03.2025 - запланирован ВКС с Протон-ПМ по конструктивам
28.03.2025 - с Заказчиком согласован перенос срока ответа на 14.04.2025
10.04.2025 - на проработку запроса РСС просит дополнительное время - Заказчику направлен на согласование срок до 28.04.2025
11.04.2025 - РСС продолжает корректировку схемы по результатам переговоров с Заказчиком
22.04.2025-заказчику направлен исх. 881-АО за подписью Попова А.Н. с предложением концепт-проекта</t>
  </si>
  <si>
    <t>14.04.2025 - запрос расписан через офис до 21.04
-ТКП в проработке у РСС до 23.04
24.04.2025-от Грязнева А.А. ТКП передано в проработку Потолочину М.П. и Скрипнику А-й.А.
-заказчику сообщена по e-mail ориент. дата ответа - 30.04</t>
  </si>
  <si>
    <t>07.04.2025-запрос расписан через офис до 14.04
14.04.2025-Буряк О.П., Потолочин И.М. потеряли запрос, до 14.04 он не обрабатывался
-запрос в проработке у РСС (16.04-ИД перданы в ОП)
17.04.2025-уточнение у заказчика, нужно ли ПО и кабельная продукция (17.04-ответ, не нужны)
18.04.2025-цена и срок поставки предварительно согласованы со Спиридонским В.Е.
23.02.2025-ТКП на согласов. со Спиридонским В.Е. (24.04-согласов.)
24.04.2025-ТКП направлено заказчику по e-mail</t>
  </si>
  <si>
    <t>16.04.2025 - запрос расписан через офис до 23.04
-ТКП в проработке у РСС
18.04.2025-требуются доп.ИД для расчета НСО
-запрос на согл. о конфеденц. в ДО (для получ. доп. ИД)
22.04.2025-проект согл. о конф. направлен заказчику
23.04.2025-ИД для расчета переданы в ОП
24.04.2025-ТКП с ROM-ценами направ/ заказчику по e-mail</t>
  </si>
  <si>
    <t>28.04.2025 - оплата</t>
  </si>
  <si>
    <t>05.05.2025 - оплата</t>
  </si>
  <si>
    <r>
      <t xml:space="preserve">- всех DI/ DO
- переходные сопротивления реле
- функуция проверки Rлин, Rиз-ии
- Уставка по току/ напряжению
- Замер шумов (сделано на 0,5 Ом - лампочка), </t>
    </r>
    <r>
      <rPr>
        <b/>
        <sz val="20"/>
        <color rgb="FFFF0000"/>
        <rFont val="Times New Roman"/>
        <family val="1"/>
        <charset val="204"/>
      </rPr>
      <t>требуется переснять на 2-8 Ом (имитатор ПП)</t>
    </r>
  </si>
  <si>
    <t>31.01.2025-продолжение работы над ТКП 043_24, вх. 104
-запрос на проработке у РСС до 05.02
06.02.2025-на согласовании у Спиридонского В.Е.
07.02.2025-отправлено заказчику по e-mail</t>
  </si>
  <si>
    <t>17.04.2025 - запрос расписан через офис до 24.04
22.04.2025 - ИД получены. Расчет ТКП до 29.04
16.05.2025 - ТКП на согласовании у Семина
Отправлено Заказчику - исх 1026 АО</t>
  </si>
  <si>
    <t>279_25</t>
  </si>
  <si>
    <t>СИР Литвинов</t>
  </si>
  <si>
    <t>285_25</t>
  </si>
  <si>
    <t>Модальный шейкер 2500Н</t>
  </si>
  <si>
    <t>Буряк</t>
  </si>
  <si>
    <t>БП оформление ТКП</t>
  </si>
  <si>
    <t>291_25</t>
  </si>
  <si>
    <t>22.05.2025-запрос поступил от заказчика по e-mail
-ТКП в проработке у РСС
23.05.2025-отказ, запрос не наше оборудование</t>
  </si>
  <si>
    <t>отказ</t>
  </si>
  <si>
    <t>27.03.24_x000D_
Проиграли по цене снизив резерв до 0._x000D_
Победил ЛАС - будут делать на Informtest. Так же учавствовали Zetlab (сняты комиссией по формальным признаккам, цена была ниже нашей), Висом (цена была выше нашей), Dewesoft (цена была выше, сняты по формальным признакам). Про Меру были разговору "вообще учавствовать не будут, для них это мелочь/ не интересно у них сейчас большие заказы"</t>
  </si>
  <si>
    <t>17.11.23_x000D_
РСС: подготовленые исходные для расчета ТКП_x000D_
ОМ: оформление и отправка ТКП</t>
  </si>
  <si>
    <t>20.11.23_x000D_
РСС: Проработка до 18.05.23_x000D_
РСС: отказ из-за отсутствия сертификата на сейсмостойкость</t>
  </si>
  <si>
    <t>20.11.23_x000D_
РСС: Передано в УМП</t>
  </si>
  <si>
    <t>17.04.23_x000D_
РСС: проработка до 06.04.23</t>
  </si>
  <si>
    <t>04.04.23
офиц. запрос. Уточнение цены да рабочую станцию и официальный ответ</t>
  </si>
  <si>
    <t>26.04.23_x000D_
РСС: требуется поездка до 28.04.23</t>
  </si>
  <si>
    <t>17.04.23_x000D_
от РСС: пробуем договориться с подрядчиком (специализация компьютерное зрение и нейросети) о возможном сотрудничестве по работе над проектом (до 20.03.23)</t>
  </si>
  <si>
    <t>04.05.23_x000D_
РСС: пишем отказ (у заказчика есть все оборудование, просит замну только контроллера (не наша тема))</t>
  </si>
  <si>
    <t>21.04.23_x000D_
От заказчика пришел запрос на обновление</t>
  </si>
  <si>
    <t>21.02.24_x000D_
_x000D_Ждем подписанное ТЗ от заказчика. Потом предполагается поездка к заказчику (до 29.02.24)</t>
  </si>
  <si>
    <t>17.04.23_x000D_
27.12.22 - Требуется коррекция ТЗ в части каналов на утв. Типа (в проработке у Солдатова) - треб.-я обсуждение ПО (после нг т.к. спец. Винтай на больничном)</t>
  </si>
  <si>
    <t>19.04.23
отказались учавствовать в конкурсе</t>
  </si>
  <si>
    <t>20.01.25_x000D_
УМП: подготовка договора до,</t>
  </si>
  <si>
    <t>21.02.24_x000D_
ждем аванс (обещают февраль)</t>
  </si>
  <si>
    <t>18.04.24_x000D_
ОМ: Заказчик продолжает согласование протокола разногласий к Договору. Статус закупки на ЭТП - работа комиссии._x000D_
РСС: Вх.400 - гар. Письмо. Требуется предзапуск?</t>
  </si>
  <si>
    <t>19.03.24_x000D_
ОМ: Проработка договора и РКМ</t>
  </si>
  <si>
    <t>19.03.24_x000D_
РСС: подано в рамках инвестпроектов. ТКП33_24</t>
  </si>
  <si>
    <t>30.01.23
17.02 отправка ТКП заказчику (Земкских)</t>
  </si>
  <si>
    <t>17.04.23_x000D_
От заказачика ждем ответы на вопросы</t>
  </si>
  <si>
    <t>290_25
283_25</t>
  </si>
  <si>
    <t>Иванов К.</t>
  </si>
  <si>
    <t>Мирэа</t>
  </si>
  <si>
    <t>Воздуходувка</t>
  </si>
  <si>
    <t>296_25</t>
  </si>
  <si>
    <t>17.04.2025 - РСС ведет переговоры по уточнению ИД
04.06.2025 - Задача не актуальна</t>
  </si>
  <si>
    <t>293_25</t>
  </si>
  <si>
    <t>298_25</t>
  </si>
  <si>
    <t>НПК "КБМ"</t>
  </si>
  <si>
    <t>29.05.2025 - запрос поступил по телефону
30.05.2025 - ТКП направлено Заказчику по e-mail</t>
  </si>
  <si>
    <t>304_25</t>
  </si>
  <si>
    <t>Стативы ГТЭ65</t>
  </si>
  <si>
    <t>МТ-200</t>
  </si>
  <si>
    <t>Модернизация ст.№50</t>
  </si>
  <si>
    <t>ОКБ Гидропресс</t>
  </si>
  <si>
    <t>Система виброиспытаний</t>
  </si>
  <si>
    <t>339_25</t>
  </si>
  <si>
    <t>Мобильная система 64 канала</t>
  </si>
  <si>
    <t>337_25</t>
  </si>
  <si>
    <t>351_25</t>
  </si>
  <si>
    <t>МО УПМИ</t>
  </si>
  <si>
    <t>Солнышков</t>
  </si>
  <si>
    <t>356_25</t>
  </si>
  <si>
    <t>ОАО МАЗ</t>
  </si>
  <si>
    <t>Мобильная система + РТС</t>
  </si>
  <si>
    <t>в работе</t>
  </si>
  <si>
    <t>313_25</t>
  </si>
  <si>
    <t>128 кан. БМП</t>
  </si>
  <si>
    <t>ОКБ Микояна</t>
  </si>
  <si>
    <t>319_25</t>
  </si>
  <si>
    <t>325_25</t>
  </si>
  <si>
    <t>Камаз</t>
  </si>
  <si>
    <t>Нагрузочный стенд испытаний</t>
  </si>
  <si>
    <t xml:space="preserve">11.06.25_x000D_
ОП: Подготовить формальный ответ о том, что прорабатываем возможность изготовления такой системы; Сможем выдать ответ после проработки </t>
  </si>
  <si>
    <t>25.06.2025-заказчик запросил скидку на оборудование, т.к. планирует использовать его в демонстрационных целях
27.06.2025-согласование срока поставки с ПТЦ (30.06-ответ, MIC-185 в резерве есть, но нет экспорт. исп.)
30.06.2025-со Спиридонским В.Е. согласов. скидка 10%
03.07.2025-ТКП на согласовании со Спиридонским В.Е.
04.07.2025-ТКП направлено заказчику по e-mail</t>
  </si>
  <si>
    <t xml:space="preserve">03.06.2025-заказчик в рабочем порядке запросил заключить согл. о конфенд-ти
04.05.2025-заявка на соглашение направлена в ДО
09.06.2025 - проект соглашения о конфед-ти направлен на согласование Заказчику </t>
  </si>
  <si>
    <t>07.07.2025 - оплата</t>
  </si>
  <si>
    <t>25.06.2025 - Заказчик запросил дополнительно монтаж датчиков/стативов
26.06.2025 - ТКП направлено Заказчику по e-mail</t>
  </si>
  <si>
    <t>05.06.2025 - запрос расписан через офис до 12.06 
06.06.2025 - запрос направлен на проработку в РСС
16.06.2025 - РСС направил уточняющие вопросы Заказчику, ожидаем ИД от Заказчика
20.06.2025 - Заказчику напрален запрос на уточнение исх.данных исх.(АО)1336</t>
  </si>
  <si>
    <t>326_25</t>
  </si>
  <si>
    <t>16.06.2025 - запрос поступил в работу через М.Проскурина
19.06.2025 - ТКП на согласовании у В.Спиридонского
20.06.2025 - Заявка на счет направлена в ДО
24.06.2025 - счет направлен Заказчику по e-mail</t>
  </si>
  <si>
    <t>338_25</t>
  </si>
  <si>
    <t>24.06.2025 - запрос расписан через офис до 01.07
-ТКП в проработке у РСС до 30.06
-в-сы от РСС направлены заказчику, ждем ответ
11.07.2025-закрытие запроса, в связи с несоотвествием требованиям заказчика по технике</t>
  </si>
  <si>
    <t>335_25</t>
  </si>
  <si>
    <t>Газпром трансгаз Югорск</t>
  </si>
  <si>
    <t>366_25</t>
  </si>
  <si>
    <t>Kingly</t>
  </si>
  <si>
    <t>380_25</t>
  </si>
  <si>
    <t xml:space="preserve"> Инжиниринговый центр Самарского университета (ИЦ 206)</t>
  </si>
  <si>
    <t>Диагностика лопаток</t>
  </si>
  <si>
    <t>64-Channel Portable Data Acquisition System</t>
  </si>
  <si>
    <t>В работе</t>
  </si>
  <si>
    <t>ТКП</t>
  </si>
  <si>
    <t>АО Дукс</t>
  </si>
  <si>
    <t>408_25</t>
  </si>
  <si>
    <t>Статические испытания (линейные перемещения)</t>
  </si>
  <si>
    <t>02.07.2025 - возобновление проработки ТКП - подготовлена схема
03.07.2025 - подготовка проекта ТКП
09.07.2025 - ТКП на согласовании в РСС/ПТЦ
15.07.2025 - РСС выдал корректировки по схеме
17.07.2025 - ТКП на согласовании у Ай Скрипника
18.07.2025 - ТКП на согласовании у В.Спиридонского
22.07.2025 - ТКП направлено Заказчику по e-mail</t>
  </si>
  <si>
    <t>405_25</t>
  </si>
  <si>
    <t>04.07.2025-запрос пришёл через РСС
-ТКП в проработке у РСС до 10.07
11.07.2025-в ПТЦ направлена служебка с запросом на доработку MP-07: если ЦР даст положительный ответ, то ТКП будет направлено заказчику
18.07.2025-запрошено ТКП на усилитель на глобалтест (18.07-ответ)
-заказчик направлены в-сы по структурной схеме
21.07.2025-ИД для расчета переданы в ОП
24.07.2025-ТКП направлено заказчику по e-mail</t>
  </si>
  <si>
    <t>403_25</t>
  </si>
  <si>
    <t>432_25</t>
  </si>
  <si>
    <t>433_25</t>
  </si>
  <si>
    <t>Блоки ИВЗ</t>
  </si>
  <si>
    <t>160 channels</t>
  </si>
  <si>
    <t>PDAS system</t>
  </si>
  <si>
    <t>465_25</t>
  </si>
  <si>
    <t>30.12.2024-запрос на обновление ТКП по e-mail
04.01.2025-ТКП согласовано по технике Лазаревым А.Е. и Коростелевым О.Б.
05.01.2025-ТКП направлкено закачику по e-mail</t>
  </si>
  <si>
    <t>24.04.2025 - оплата</t>
  </si>
  <si>
    <t>30.06.2025 - запрос расписан через офис до 07.07
03.07.2025 - получены уточненные ИД от Лазарева А.
04.07.2025 - получен рассчет стоимости МХ-248 от Лысакова С.
08.07.2025 - получено описание модуля от Каринского В.
09.07.2025 - отправлено предварительное ТКП на согласование в РСС
11.07.2025 - ожидание данных для расчета кабельной продукции
22.07.2025 - ожидание данных от РСС по кабелю
23.07.2025 - запрос передан в работу А.Мелихову
31.07.2025 - РСС продолжает проработку ТЗ с Заказчиком
01.08.2025 - ТКП на согласовании в РСС
14.08.2025 - ТКП направлено Заказчику по e-mail</t>
  </si>
  <si>
    <t>452_25</t>
  </si>
  <si>
    <t xml:space="preserve"> Инжиниринговый центр СГАУ (ИЦ 206)</t>
  </si>
  <si>
    <t>08.07.2025 - запрос расписан через офис до 15.07
09.07.2025 - запрос на проработке в раб.группах
10.07.2025 - РСС принял запрос в проработку до 15.07.2025
11.07.2025 - проработка приостановлена до выхода из отпуска М.Потолочина - Заказчик планирует приехать в МЕРУ после 28.07.2025</t>
  </si>
  <si>
    <t>ОКБ Люлька</t>
  </si>
  <si>
    <t>15.08.2025 - ТКП отправлено Лазареву А. на согласование
18.08.2025 - ТКП отправлено Лазареву А. для направления заказчику</t>
  </si>
  <si>
    <t>18.08.2025 - запрос расписан через офис до 26.08
19.08.2025 - заявка на счет направлена в ДО
21.08.2025 - запрос на проработке в РСС
22.08.2025 - ответ не требуется, счет ранее был оплачен.</t>
  </si>
  <si>
    <t>МАИ</t>
  </si>
  <si>
    <t>ГСУ500</t>
  </si>
  <si>
    <t>486_24
406_22</t>
  </si>
  <si>
    <t>15.05.2025 - запрос ТКП поступил через РСС
16.05.2025 - ТКП на согласовании у В.Спиридонского
20.05.2025 - ТКП направлено Заказчику по e-mail - исх.(АО)1040
04.08.2025 - Заказчик ожидает подтверждения субсидирования</t>
  </si>
  <si>
    <t>23.06.2025 - Ожидаем выхода из отпуска специалиста Заказчика для уточнения исходных данных до 07.07.2025
07.07.2025 - ожидаю исх.данные для расчета от РСС до 01.08.2025
03.09.2025 - задача закрыта из-за отсутствия конкретного ТЗ - ожидаем новый запрос от Заказчика</t>
  </si>
  <si>
    <t>22.07.2025 - запрос разослан по раб.группам
23.07.2025 - РСС принял запрос в проработку
19.08.2025 - ТКП на согласовании в РСС
20.08.2025 - ТКП (2 варианта) на согласовании у В.Спиридонского
22.08.2025 - ТКП направлены Заказчику по e-mail
28.08.2025 - Заказчик бюджетирует 2026г., решение будет принято 09-10.2025г.</t>
  </si>
  <si>
    <t>15.08.2025-продолжение работы над вх. 838
-ТКП в проработке у ОП
28.08.2025-запрос закрыт в связи с неактуальностью для заказчика</t>
  </si>
  <si>
    <t>15.08.2025-продолжение работы над вх. 838
-в проработке у РСС
28.08.2025-запрос закрыт в связи с неактуальностью для заказчика</t>
  </si>
  <si>
    <t>22.08.2025 - Возобновление проработки ТКП по схеме РСС
25.08.2025 - ТКП на согласовании в РСС
27.08.2025 - ТКП на согласовании у В.Спиридонского
28.08.2025 - ТКП направлено Заказчику по e-mail</t>
  </si>
  <si>
    <t>479_25</t>
  </si>
  <si>
    <t>488_25</t>
  </si>
  <si>
    <t>ФГБОУ ВО «КГТУ»</t>
  </si>
  <si>
    <t>03.09.2025 - запрос расписан через офис до 11.09
04.09.2025 - запрос в работе ОУП ориентировочно до 12.09.2025</t>
  </si>
  <si>
    <t>494_25</t>
  </si>
  <si>
    <t>НПП Адвент</t>
  </si>
  <si>
    <t>498_23
498/8_23</t>
  </si>
  <si>
    <t>MIC-355 с усилителями заряда</t>
  </si>
  <si>
    <t>fire panel 2</t>
  </si>
  <si>
    <t>НИЦ Строительство ZetLab</t>
  </si>
  <si>
    <t>Мониторинговый кейс</t>
  </si>
  <si>
    <t>481_25</t>
  </si>
  <si>
    <t>ИС_ДВС_БПЛА</t>
  </si>
  <si>
    <t>НПФ_Кубаньнефтемаш</t>
  </si>
  <si>
    <t>500 каналов</t>
  </si>
  <si>
    <t>331_25
450_23</t>
  </si>
  <si>
    <t>Коробков</t>
  </si>
  <si>
    <t>23.06.2025 - ожидаем уточнение исх.данных от Заказчика до 07.07.2025
07.07.2025 - ожидаю исх.данные для расчета от РСС до 01.08.2025
12.09.2025 - Заказчик сообщил, что задача не актуальна - купили у Завод 31</t>
  </si>
  <si>
    <t>334_25</t>
  </si>
  <si>
    <t>28.08.2025-запрос ТКП в рабочем порядке
-ТКП в проработке у РСС
01.09.2025-РСС сообщили заказчику, что часть ТТ нашим оборудованием не выполняются, предварительно будет отказ от проекта, но пока ожидаем решение заказчика
09.09.2025-запрос по крайней мере выставить ТКП на те позиции, которые выполняют ТТ
10.09.2925-все позиции удовлетвор. ТТ лишь частично
-заказчику направлен отказ от предоставления ТКП в связи с невыполнением ТТ</t>
  </si>
  <si>
    <t>03.09.2025 - запрос расписан через офис до 11.09
04.09.2025 - запрос в работе ОУП ориентировочно до 12.09.2025
11.09.2025 - Заказчику направлен отказ по e-mail</t>
  </si>
  <si>
    <t>501_25</t>
  </si>
  <si>
    <t>506_25</t>
  </si>
  <si>
    <t>МГТД 500Н</t>
  </si>
  <si>
    <t>МГТД 200Н</t>
  </si>
  <si>
    <t>Дооснащение 3119</t>
  </si>
  <si>
    <t>АКБ</t>
  </si>
  <si>
    <t>12.08.2025-запушен процесс согласования ТЗ, сделана рассылка рук-лям подразделений
-заказчику направлен исх. 1755-АО о составе ЗИП
28.08.2025-согласовано с ПКГ
02.09.2025-идет согласование с ОРПО (спор по поводу трудемкости и функционала Medyan)
15.09.2025-задача приостановлена до 22.09 из-за невозможности согласования с ОСП</t>
  </si>
  <si>
    <t>02.07.2025 - запрос расписан через офис до 09.07.2025
10.07.2025 - ожидаем решение И.А. Потапова по вступлению в проект для выдачи исх.данных для расчета ТКП
19.09.2025 - задача закрыта по решению И.А.Потапова</t>
  </si>
  <si>
    <t>15.09.2025 - запрос на выставление счета
17.09.2025-запрос счета направлен в ДО
-счет направлен заказчику по e-mail</t>
  </si>
  <si>
    <t>18.09.2025 - оплата</t>
  </si>
  <si>
    <t>206_25</t>
  </si>
  <si>
    <t>541_25</t>
  </si>
  <si>
    <t>392_24
532_25</t>
  </si>
  <si>
    <t>04.09.2025 - Запрос поступил в работу через офис до 12.09.2025
08.09.2025 - РСС принял запрос в проработку
19.09.2025 - получены исходные данные для расчета ТКП
22.09.2025 - ТКП на согласовании в РСС
24.09.2025 - ТКП на согласовании у В.Спиридонского
25.09.2025 - ТКП на согласовании у И.Загребина
29.09.2025 - ответ на подписи у В.Спиридонского
02.10.2025 - отве направлен Заказчику по e-mail - исх.(АО)2146</t>
  </si>
  <si>
    <t>537_25</t>
  </si>
  <si>
    <t>150 АРЗ</t>
  </si>
  <si>
    <t>30.09.2025 - запрос расписан через офис до 08.10
01.10.2025-ТКП в проработке у РСС</t>
  </si>
  <si>
    <t>измерение биений ротора</t>
  </si>
  <si>
    <t>Управление центрифугой</t>
  </si>
  <si>
    <t>Диагностика насосов
Тензометрирование реактора</t>
  </si>
  <si>
    <t>Испытания двигателей (управление гидротормозом +СИР)</t>
  </si>
  <si>
    <t>Невский завод
РЭПХ</t>
  </si>
  <si>
    <t>063_25
461_24</t>
  </si>
  <si>
    <t>Система запуска силовой установки для питания электрических двигателей</t>
  </si>
  <si>
    <t>MIC224+датчик+волновод
Пульсации давлений</t>
  </si>
  <si>
    <t>564_25</t>
  </si>
  <si>
    <t>Модальный анализ</t>
  </si>
  <si>
    <t>FLN</t>
  </si>
  <si>
    <t>557_25</t>
  </si>
  <si>
    <t>Смоленская АЭС</t>
  </si>
  <si>
    <t>MIC-1200</t>
  </si>
  <si>
    <t>10.10.2025 - оплата</t>
  </si>
  <si>
    <t>19.08.2025 - запрос расписан через офис до 26.08
21.08.2025 - запрос на проработке в РСС
29.08.2025 - запланирована поездка к Заказчику 02.09.2025
09.09.2025 - РСС готовит структурную схему
24.09.2025 - получены дополнительные исх.данные от Заказчика, продолжается разработка схемы в РСС
03.10.2025 - на согласовании у В.Спиридонского
06.10.2025 - возвращено на согласование ОРПО, И.Загребину, А.Кокореву
08.10.2025 - на согласовании у В.Спиридонского
09.10.2025 - ТКП отправлено Заказчику по e-mail</t>
  </si>
  <si>
    <t>552_25</t>
  </si>
  <si>
    <t>554_25</t>
  </si>
  <si>
    <t>17.10.2025 - запрос поступил в работу через В.Спиридонского</t>
  </si>
  <si>
    <t>ME-405, 30 шт</t>
  </si>
  <si>
    <t>Коскин - модули для теста PXI</t>
  </si>
  <si>
    <t>ОПСИ, 32 шт</t>
  </si>
  <si>
    <t>Отправка ТКП. УМП</t>
  </si>
  <si>
    <t>Шаблон</t>
  </si>
  <si>
    <t>590_25</t>
  </si>
  <si>
    <t>ЮУрГу</t>
  </si>
  <si>
    <t>26.09.2025 - запрос расписан через офис до 03.10
29.09.2025 - запрос направлен на рассмотрение М.П. Потолочину. Запрошены КП у поставщиков, обговариваются условия работы с ЦИАМ
06.10.2025 - РСС передали КП на проработку в ОП
09.10.2025 - ожидание от А-я Скрипника актуальной версии ТЗ, ожидание от Заказчика ответов на вопросы по проекту Договора
14.10.2025 - ТЗ на согласовании у А.Н. Попова
- ТКП на согласовании Р. Филатова
20.10.2025 - требуется корректировка ТЗ по замечаниям А.Н. Попова
24.10.2025 - заявка на договор направлена в ДО, заказчику направлено ТКП по e-mail исх. №2335 от 24.10.2025
29.10.2025 - сопровод. письмо к договору на подписи у В.Е. Спиридонского
31.10.2025 - проект Договора и обновленное ТЗ направлены Заказчику по e-mail исх 2392</t>
  </si>
  <si>
    <t>30.10.2025 - Заказчик запросил паспортные характеристики системы, референс, встречу с тех.специалистами на референтном объекте
31.10.2025 - Заказчику направлен отказ в связи с отсутствием готового решения</t>
  </si>
  <si>
    <t>14.10.2025 - запрос расписан через офис до 21.10
15.10.2025 - готовлю ТКП
17.10.2025 - ТКП на согласовании в РСС
24.10.2025 - ТКП на согласовании у И.Загребина
28.10.2025 - ТКП на согласовании у В.Спиридонского
29.10.2025 - ТКП согласовано В.Спиридонским, ответ - на подписи у В.Спиридонского
31.10.2025 - ответ на правлен Заказчику по e-mail - исх.(ООО)717</t>
  </si>
  <si>
    <t>558_25</t>
  </si>
  <si>
    <t>28.10.2025 - Заказчик запросил ТКП на постаку, шеф-монтаж и ПНР по WhstsApp через М.Проскурина
29.10.2025 - ТКП направлено на согласование в РСС
30.10.2025 - ТКП на согласовании у В.Спиридонского
31.10.2025 - заявка на счет направлена в ДО
01.11.2025 - счет направлен Заказчику через М.Проскурина</t>
  </si>
  <si>
    <t>586_25</t>
  </si>
  <si>
    <t>593_25</t>
  </si>
  <si>
    <t>КурганМашЗавод</t>
  </si>
  <si>
    <t>391_23</t>
  </si>
  <si>
    <t>mr-212+кабель</t>
  </si>
  <si>
    <t>ГТЭ65 доп. арм</t>
  </si>
  <si>
    <t>Испытание трубок воздухом
Воздухоочистители</t>
  </si>
  <si>
    <t>Модальный анализ/ 40 каналов динамики</t>
  </si>
  <si>
    <t>607_25</t>
  </si>
  <si>
    <t>Гидропресс</t>
  </si>
  <si>
    <t>615_25</t>
  </si>
  <si>
    <t>ЛАЭС. СКВЛ</t>
  </si>
  <si>
    <t>609_25</t>
  </si>
  <si>
    <t>Силаев
Потолочин</t>
  </si>
  <si>
    <t>14.07.2025 - запрос расписан через офис до 22.07
18.07.2025 - ТКП на согласовании в РСС
23.07.2025 - В.Спиридонский проверяет прайсовую стоимость (себестоимость) МЕ900 с 4хME-914/1
09.12.2025 - ТКП на согласовании у В.Спиридонского</t>
  </si>
  <si>
    <t>17.09.2025 - Заказчик запросил актуализированное ТКП на 2028г.
03.10.2025 - Заказчику направлен ответ по e-mail - исх.(ООО)2192</t>
  </si>
  <si>
    <t>23.10.2025 - запрос расписан через офис до 30.10
24.10.2025 - запрос на проработке в РСС
13.11.2025 - выданы ИД для расчета ТКП
14.11.2025 - ТКП на согласовании у В.Спиридонского
17.11.2025 - ТКП на согласовании у А.Кокорева
18.11.2025 - ТКП возвращено в РСС для обоснования размера скидки
27.11.2025 - запрос не актуален - не успеваем податься на конкурс</t>
  </si>
  <si>
    <t>31.10.2025 - запрос расписан через офис до 21.11
17.11.2025 - РСС принял в проработку
02.12.2025 - отказ - в запросе нет оборудовани МЕРА</t>
  </si>
  <si>
    <t>26.11.2025 - запрос расписан через Спиридонского В., запрос расписан через офис до 04.12
04.12.2025 - ТКП на согласовании с С.Силаевым
05.12.2025 - ТКП направлено Заказчику по e-mail</t>
  </si>
  <si>
    <t>627_25</t>
  </si>
  <si>
    <t>08.12.2025 - запрос расписан через офис до 15.12
09.12.2025-ТКП в проработке ОУП</t>
  </si>
  <si>
    <t>GTRE_Tender_High Bandwidth DAQ</t>
  </si>
  <si>
    <t>СУ статзал</t>
  </si>
  <si>
    <t>LN</t>
  </si>
  <si>
    <t>630_25</t>
  </si>
  <si>
    <t>MIC-355
Казанский пороховой</t>
  </si>
  <si>
    <t>Бросковые испытания ткп 127-22
Центрифуга 347-22</t>
  </si>
  <si>
    <t>Грязнев
Лобачев</t>
  </si>
  <si>
    <t>Потолочин МП
Силаев</t>
  </si>
  <si>
    <t>ИТЦ Автотор</t>
  </si>
  <si>
    <t>Испытательная камера</t>
  </si>
  <si>
    <t>Инжиниринговый центр, г.Саратов</t>
  </si>
  <si>
    <t>МАИ Статзал (комс. на амуре)</t>
  </si>
  <si>
    <t>Таблица Отдела продаж 2026</t>
  </si>
  <si>
    <t>01.12.2025 - Заказчик запросил правки в ДС-2, запрос направлен в ДО
02.12.2025 - проект ДС направлен Заказчику на согласование
04.12.2025 - Заказчик вернул ДС с замечаниями
08.12.2025 - РСС (М.Проскурин) предлагает притормозить с подписанием ДС до формирования доп.ТЗ</t>
  </si>
  <si>
    <t>Силовые машины (Куданкулам)</t>
  </si>
  <si>
    <t>005_26</t>
  </si>
  <si>
    <t>ЛИАЗ</t>
  </si>
  <si>
    <t>Нагрузочные испытания автобуса</t>
  </si>
  <si>
    <t>Потолочин МП
Лобачев</t>
  </si>
  <si>
    <t>Грязнев
Потолочин</t>
  </si>
  <si>
    <t>20.06.2025 - запрос расписан через офис до 27.06
24.06.2025 - Заказчику направлен перечень вопросов, но Заказчик пока в отпуске
25.07.2025 - проблемные вопросы с Заказчиком не решены в связи с отпуском М.П. Потолочина
13.08.2025 - Заказчику направлена доп. информация о нашем оборудовании. Ожидается длительная проработка вопросов на стороне Заказчика
30.12.2025 - нет обратной связи от Заказчика</t>
  </si>
  <si>
    <t>10.12.2025-запрос от РСС на расторжение договора по з2986
-треб. отказ от работ по спец-ции № 2
22.12.2025-заявка на соглашение направлена в ДО
14.01.2026-заказчику направлен исх. № 9-АО об изменении стоиомсти работ</t>
  </si>
  <si>
    <t>10.12.2025-запрос от РСС на расторжение договора по з3151
-треб. отказ от работ по спец-ции № 5
22.12.2025-заявка на соглашение направлена в ДО
14.01.2026-заказчику направлен исх. № 9-АО об изменении стоиомсти работ</t>
  </si>
  <si>
    <t>26.11.2025 - запрос зарегистрирован в 1С
16.12.2025 - запрос расписан Спиридонским В.Е. до 23.12
17.12.2025 - готовлю ТКП по ИД
19.12.2025 - запрошены уточнения ИД в РСС
15.01.2026 - получены ИД для расчета, готовлю ТКП
16.01.2026 - ТКП на согласовании в РСС
21.01.2026 - ТКП на согласовании у И.Загребина
22.01.2026 - ТКП на согласовании у В.Спиридонского
23.01.2026 - ТКП направлено Заказчику по e-mail</t>
  </si>
  <si>
    <t>21.01.2026 - оплата этап 3</t>
  </si>
  <si>
    <t>018_26</t>
  </si>
  <si>
    <t>РТУ МИРЭА</t>
  </si>
  <si>
    <t>019_26</t>
  </si>
  <si>
    <t>017_26</t>
  </si>
  <si>
    <t>029_26</t>
  </si>
  <si>
    <t>23.01.2026 - запрос расписан через офис до 30.01
28.01.2026 - запрос принят в работу РСС
31.01.2026 - заказчику направлен отказ - в запросе нет оборудования МЕРА</t>
  </si>
  <si>
    <t>025_26</t>
  </si>
  <si>
    <t>Спецэнергокомплект</t>
  </si>
  <si>
    <t>03.02.2026 - запрос расписан через офис до 10.02
04.02.2026-в запросе работы не нашего профиля, отказ согласован Скрипником А-й.А.,
04.02.2026-письмо на согласовании в МЕРЕ
05.02.2026-заказчику направлен отказ исх. 81-ООО</t>
  </si>
  <si>
    <t>Портативная система измерения</t>
  </si>
  <si>
    <t>МАЗ</t>
  </si>
  <si>
    <t>Контакт в BLM</t>
  </si>
  <si>
    <t>Модернизация АСУ Ц-3А</t>
  </si>
  <si>
    <t>Система испытания электрооборудования СЭС</t>
  </si>
  <si>
    <t>Силаев
Лобачев</t>
  </si>
  <si>
    <t>051_26</t>
  </si>
  <si>
    <t>АО ГЦМОЭМС</t>
  </si>
  <si>
    <t>испытания трансмиссии</t>
  </si>
  <si>
    <t>048_26</t>
  </si>
  <si>
    <t>049_26</t>
  </si>
  <si>
    <t>050_26</t>
  </si>
  <si>
    <t>Метровагонмаш</t>
  </si>
  <si>
    <t>Данилин
Потолочин МП</t>
  </si>
  <si>
    <t>Пружины</t>
  </si>
  <si>
    <t>Стенд 27, 28 обновить запрос</t>
  </si>
  <si>
    <t>058_26</t>
  </si>
  <si>
    <t>модальный_молоток</t>
  </si>
  <si>
    <t>EMT</t>
  </si>
  <si>
    <t>Скрипник Ар
Грязнев</t>
  </si>
  <si>
    <t>Вибростенд 60кН</t>
  </si>
  <si>
    <t>Данилин
Потолочин МП
Коршунов</t>
  </si>
  <si>
    <t>12.02.2026 - оплата 1 и 2 эт.</t>
  </si>
  <si>
    <t>076_26</t>
  </si>
  <si>
    <t>27.01.2026 - запрос расписан через офис до 03.02
28.01.2026-ТКП в проработке у РСС
-запрос типового проекта дог. через Скрипника А-р.А.
04.02.2026-ИД для расчёта ТКП переданы в ОП
09.02.2026-задача передана Мелихову А.А. в связи с уходом Буряк О.П. в отпуск
18.02.2026 - ТКП направлено Заказчику по e-mail - исх.(АО)</t>
  </si>
  <si>
    <t>045_26</t>
  </si>
  <si>
    <t>11.02.2026 - запрос расписан через офис до 18.02
12.02.2026 - запрос на проработке в РСС
17.02.2026 - получены ИД для расчета
18.02.2026 - ТКП направлено Заказчику по e-mail</t>
  </si>
  <si>
    <t>Система заправки 50 м3</t>
  </si>
  <si>
    <t>621_25</t>
  </si>
  <si>
    <t>Вибродиагностика</t>
  </si>
  <si>
    <t>046_26</t>
  </si>
  <si>
    <t>Проводит согласование с директором (по необходимости)
- ТКП
- список счетов (в виде таблице с указанием способов получения (email, счет, ТКП))
- список характеристик/ ТР-в;
- список рисков;
- аннотация</t>
  </si>
  <si>
    <t>116_26
286_24
217_22</t>
  </si>
  <si>
    <t>MIC-553 серия</t>
  </si>
  <si>
    <t>112_26</t>
  </si>
  <si>
    <t>Африкантов</t>
  </si>
  <si>
    <t>MIC-185 и MIC140</t>
  </si>
  <si>
    <t>461_24
063_25</t>
  </si>
  <si>
    <t>22.01.2026 - запрос расписан через офис до 29.01
-ТКП в проработке у РСС 
27.01.2026-прошёл НТС по запросу (ничего не решили)
17.02.2026-от РСС получены ИД
18.02.2026-от РСС получены доп. ИД
19.02.2026-ТКП на согласовании в МЕРЕ
27.02.2026-получены замечания от Попова А.Н., внесены правки в ТКП, снова запущено согласование в МЕРЕ
10.03.2026-ТКП направлено заказчику исх. 540-АО</t>
  </si>
  <si>
    <t>22.01.2026 - запрос расписан через офис до 29.01
-ТКП в проработке у РСС
27.01.2026-до запроса на НТС так и не добрались
17.02.2026-от РСС получены ИД
18.02.2026-от РСС получены доп. ИД
24.02.2026-от РСС получены доп. ИД
25.02.2026-ТКП на согласовании в МЕРЕ
27.02.2026-получены замечания от Попова А.Н., внесены правки в ТКП, снова запущено согласование в МЕРЕ
10.03.2026-ТКП направлено заказчику исх. 541-АО</t>
  </si>
  <si>
    <t>22.01.2026 - запрос расписан через офис до 29.01
-ТКП в проработке у РСС
26.01.2026-частичные ИД для расчёта переданы в ОП
27.01.2026-прошёл НТС по запросу (ничего не решили)
27.01.2026-ИД для расчёта переданы в ОП
06.02.2026-от РСС получены доп. ИД
09.02.2026-РСС актуализировали трудоёмкости, ТКП на доработке в ОП
18.02.2026-ТКП на согласовании в МЕРЕ
04.02.2026-ТКП на подписании у Потапова И.А.
10.03.2026-ТКП направлено заказчику исх. 543-АО</t>
  </si>
  <si>
    <t>030_26</t>
  </si>
  <si>
    <t>ЦНИИмаш</t>
  </si>
  <si>
    <t>03.02.2026 - запрос расписан через офис до 10.02
04.02.2026 - РСС принял запрос в проработку
20.02.2026 - получены ИД для расчета
25.02.2026 - ТКП на согласовании у В.Спиридонского
27.02.2026 - ТКП направлено Заказчику по e-mail</t>
  </si>
  <si>
    <t>092_26</t>
  </si>
  <si>
    <t>Ресурс</t>
  </si>
  <si>
    <t>115_26</t>
  </si>
  <si>
    <t>111_26</t>
  </si>
  <si>
    <t>118_26</t>
  </si>
  <si>
    <t>13.03.2026 - запрос расписан через офис до 20.03
13.03.2026 - запрос на проработке в РСС
17.03.2026 - заказчику направлен предварительный отказ - оборудование более не производится МЕРА, предложен подбор аналога</t>
  </si>
  <si>
    <t>Вибродиагностика (Редькин)</t>
  </si>
  <si>
    <t>Система голосовой связи</t>
  </si>
  <si>
    <t>MT-200</t>
  </si>
  <si>
    <t>Система испытаний - воздух и температура</t>
  </si>
  <si>
    <t>Емкостные датчики</t>
  </si>
  <si>
    <t>Индуктивный датчик</t>
  </si>
  <si>
    <t>24.02.2026 - запрос пришел от М.П. Потолочина по e-mail
- запрошен счет на датчики
05.03.2026 - ТКП на согласовании с Д. Капустяном и Р. Филатовым
11.03.2026 - ТКП на согласовании у А.В. Кокорева
- на согласовании у И.А. Потапова
- запрос КП на вибростенд у "БЛМ Синержи" по указанию Скрипника А-я И Попова А.Н.
20.03.2026 - ТКП направлено Заказчику по e-mail исх. 663 от 20.03.2026</t>
  </si>
  <si>
    <t>06.03.2026 - запрос расписан через офис до 13.03
11.03.2026 - запрос в работе в РСС, готовлю проект ТКП по ИД
13.03.2026 - ТКП на согласовании/дополнении в РСС
18.03.2026 - ТКП направлено Заказчику через РСС (А.Коршунов)</t>
  </si>
  <si>
    <t>137_26</t>
  </si>
  <si>
    <t>Модернизация АСУ Ц-3А (замена MIC400 на MIC236)</t>
  </si>
  <si>
    <t>Кабельный тестер.</t>
  </si>
  <si>
    <t>Краны (продувка кранов)</t>
  </si>
  <si>
    <t>119_26</t>
  </si>
  <si>
    <t>Климатическая камера</t>
  </si>
  <si>
    <t>031_26
418_24
572_23
252_22</t>
  </si>
  <si>
    <t>ИИСВТ mic185+mic140</t>
  </si>
  <si>
    <t>«Электросила» АО «Силовые машины»</t>
  </si>
  <si>
    <t>157_26</t>
  </si>
  <si>
    <t>1 система гидростатического нагружения  
2 программное обеспечение для автоматизированной системы управления</t>
  </si>
  <si>
    <t>146_26</t>
  </si>
  <si>
    <t>Дооснащение уже существующей стойки</t>
  </si>
  <si>
    <t>СГАУ</t>
  </si>
  <si>
    <t>Силаев
Данилин</t>
  </si>
  <si>
    <t>12.02.2026 - запрос расписан через офис до 19.02
18.02.2026-ТКП в проработке у РСС 
27.02.2026-связались с Заказчиком, от нас ожидают полноценное ТКП (не альтернативное)
27.02.2026-Заказчик пообещал направить в наш адрес гидравлическую схему дизельной системы (требуется создать керосиновую)
27.02.2026-Заказчик проинформирован о том, что запрос находитс в проработке исх. 467-АО</t>
  </si>
  <si>
    <t>18.02.2026 - запрос распсиан через офис до 25.02
19.02.2026-нужен плагин Modbus
25.03.2026-уточнение Ид у заказчика исх. 206-ООО
25.03.2026-закрытие запроса до получения обр.связи</t>
  </si>
  <si>
    <t>17.03.2026 - запрос расписан через офис до 24.03
20.03.2026 - задача передана Мелихову А.А.
24.03.2026 - ТКП на согласовании в РСС
26.03.2026 - РСС запросил проверку стоимости модулей в ОСП
01.04.2026 - ТКП направлено Заказчику по e-mail</t>
  </si>
  <si>
    <t>160_26</t>
  </si>
  <si>
    <t>161_26</t>
  </si>
  <si>
    <t>Шпиндель Лаб</t>
  </si>
  <si>
    <t>роликовый_стенд</t>
  </si>
  <si>
    <t>Жуковский веломотозавод</t>
  </si>
  <si>
    <t xml:space="preserve">система_гидростатического_нагружения </t>
  </si>
  <si>
    <t>162_26</t>
  </si>
  <si>
    <t>25.03.2026 - запрос расписан через офис до 01.04
26.03.2026 - РСС запросил ИД у Заказчика
01.04.2026 - РСС подготовил схему для расчета ТКП
03.04.2026 - ТКП на корректировке в РСС в части кабелей
08.04.2026 - получена корректированная схема
09.04.2026 - ТКП на согласовании у И.Загребина</t>
  </si>
  <si>
    <t>178_26</t>
  </si>
  <si>
    <t>656_25
003_26</t>
  </si>
  <si>
    <t>185_26</t>
  </si>
  <si>
    <t>Аналог ст62, заказ 1264</t>
  </si>
  <si>
    <t>Aa!11111</t>
  </si>
  <si>
    <t>585_ООО_26</t>
  </si>
  <si>
    <t>22.01.2026 - запрос расписан через офис до 29.01
28.01.2026 - запрос на проработке в РСС
30.01.2026 - получены ИД для расчета
02.02.2026 - ТКП на согласовании в РСС
04.02.2026 - ТКП на согласовании у А-р Скрипник
11.02.2026 - И.Загребин вернул ТКП на доработку в РСС - нет ПО-разраб. под модуль MR-301
17.04.2026 - Заказчику задан уточняющий вопрос по плагину для MR-302
20.04.2026-от заказчика получен ответ по плагину
30.04.2026-уточнено, что ТКП было направлено заказчику 11.02, но возвращено на доработку по инцииативе МЕРА (исх. 1С:ДО 376-ООО)
30.04.2026-заказчик уведомлен Грязневым А.А., что в-с разраб. ПО на рассмотрении в МЕРЕ (исх. 1С:ДО 377-ООО)</t>
  </si>
  <si>
    <t>26.01.2026 - запрос расписан через офис до 02.02
28.01.2026 - запрос принят в работу РСС
30.04.2026-заказчик уведомлен по e-mail об ориентир. сроке ответа - 29.05 (исх. 1С:ДО 378-ООО)</t>
  </si>
  <si>
    <t>06.02.2026 - запрос расписан через офис до 13.02
09.02.2026 - РСС готовит ИД до 10.03.2026
23.03.2026-Силаевым С.Г. направлена пневмогидросхема для просчёта подрядчику (на 30.04 ответа нет)
30.04.2026-заказчик уведомлен, что ТКП находится в проработке и сейчас ведется поиск субподрядчиков и согл. технические задания (исх. 1С:ДО 1240-АО)</t>
  </si>
  <si>
    <t>06.02.2026 - запрос расписан через офис до 13.02
09.02.2026 - РСС готовит ИД до 10.03.2026
30.04.2026-заказчику направлен отказ ввиду перегруженности инженерно-тенхического персонала (исх. 1С:ДО 1242-АО)</t>
  </si>
  <si>
    <t>06.02.2026 - запрос расписан через офис до 13.02
09.02.2026 - РСС готовит ИД до 10.03.2026
02.04.2026 - получена схема, готовлю ТКП
03.04.2026 - отсутствует схема ИВК
24.04.2026-ИД для расчета ТКп переданы в ОП
30.04.2026-заказчик уведомлен по e-mail об ориентир. сроке ответа - 13.05 (исх. 1С:ДО 1241-АО)</t>
  </si>
  <si>
    <t>03.03.2026 - запрос расписан через офис до 06.03.2026
10.03.2026 - запрос на проработке в РСС
15.03.2026-командировочный выезд РСС к заказчику для получения доп. ИД
15.03.2026-вохможность изгот. треб. МК на оценке в КО
30.04.2026-командировочный выезд РСС к заказчику для получения доп. ИД
30.04.2026-по рез-там выезда заказчик уведомлен об ориентир. сроке готовности ТКП - 29.05 (исх. 1С:ДО 1244-АО)</t>
  </si>
  <si>
    <t>12.03.2026 - запрос расписан через офис до 19.03
13.03.2026 - запрос на проработке в РСС
24.04.2026-ИД для расчета ТКп переданы в ОП
30.04.2026-заказчик уведомлен по исх. 1247-АО об ориентир. сроке ответа - 15.05</t>
  </si>
  <si>
    <t>19.03.2026 - запрос расписан через офис до 26.03
20.03.2026 - Заказчик запросил бюджетную оценку на 2030г., запрос на проработке в РСС
24.03.2026 - ТКП на согласовании в РСС (на основе ТКП2024-392
26.03.2026 - корректированное ТКП на согласовании в РСС (А.Коршунов)
27.03.2026 - запущен лист согласования ТКП
30.03.2026 - ожидаю согласования от ПКГ, ОРПО и ОСП
06.04.2026 - ожидаю согласования от ОСП
17.04.2026 - лист согл.ТКП у В.Спиридонского</t>
  </si>
  <si>
    <t>190_26</t>
  </si>
  <si>
    <t>17.04.2026 - запрос расписан через офис до 24.04 
22.04.2026-запрос поступил в работу Буряк О.П.
23.04.2026-ТКП в проработке у РСС
30.04.2026-заказчик уведомлен исх. 1249-АО, что ТКП находится в проработке и сейчас ведется поиск субподрядчиков и согл. технические задания</t>
  </si>
  <si>
    <t>200_26</t>
  </si>
  <si>
    <t>Дооснащение MIC-170</t>
  </si>
  <si>
    <t>203_26</t>
  </si>
  <si>
    <t>РМ2, Луна</t>
  </si>
  <si>
    <t>07.05.2026 - оплата</t>
  </si>
  <si>
    <t>209_26</t>
  </si>
  <si>
    <t>АО НИИМАШ</t>
  </si>
  <si>
    <t>068_24
	14.01.2026 - Заказчику направлено письмо об удорожании в связи с увеличением НДС</t>
  </si>
  <si>
    <t>18.12.2025-заказчик сообщил, что не может оплатить счет в российских рублях
23.12.2025-открыт счёт в рупиях, заказчик уведомлен
-уточняется в-с, включать ли в счёт комиссию (12.01-ответ)
13.01.2026-обновлённый счет № 99 от 13.01.2026 направвлен заказчику</t>
  </si>
  <si>
    <t>18.12.2025-заказчик сообщил, что не может оплатить счет в российских рублях
23.12.2025-открыт счёт в рупиях, заказчик уведомлен
-уточняется в-с, включать ли в счёт комиссию (12.01-ответ)
13.01.2026-обновлённый счет № 168 от 13.01.2026 направвлен заказчику</t>
  </si>
  <si>
    <t>25.12.2025 - запрос расписан через офис до 01.01 (в 1С)</t>
  </si>
  <si>
    <t>14.01.2026 - Заказчику направлено письмо об удорожании в связи с увеличением НДС</t>
  </si>
  <si>
    <t>03.03.2026 - запрос от Заказчика пришел по e-mail,направлено на регистрацию в 1С
23.03.2026 - запрос не расписан в 1 С, принят к исполнению Островской Ю.А.
- запрошены счета у поставщиков
- согласование актуальности ТЗ с Заказчиком
27.03.2026 - согласование с И. Потолочиным добавления в ТКП ПО Median, определение функционала ПО
03.04.2026 - согласование требований к ПО с отделом безопасности Заказчика
 - запрошены КП на Astra Linux (ФСТЭК) по требованиям Заказчика
- ТЗ и ТКП направлены на согласование А.В. Березняцкому
06.04.2026 - оценка трудоемкости разработки ПО. Согласование между нами и службой безопасности Заказчика
07.04.2026 - ТКП на согласовании у И.А. Потапова
20.04.2026 - письмо на подписании у В.Е. Спиридонского
21.04.2026 - ТКП направлено Заказчику по e-mail исх. 1053 от 21.04.2026</t>
  </si>
  <si>
    <t>07.04.2026 - оплата</t>
  </si>
  <si>
    <t>116_26
	12.03.2026 - запрос расписан через офис до 19.03
	12.03.2026 - запрос на проработке в РСС, ожидаю ИД
	18.03.2026 - проработка приостановлена в связи с вх.(ООО)413</t>
  </si>
  <si>
    <t>532_25
	12.02.2026 - оплата 1 и 2 эт.
392_24
	12.02.2026 - оплата 1 и 2 эт.</t>
  </si>
  <si>
    <t>ЦентрИнжиниринг</t>
  </si>
  <si>
    <t>003_26
	24.12.2025 - запрос расписан через офис до 16.01 (в 1С)
	12.01.2026 - запрос на проработке в Отд.5
	27.01.2026 - получены ИД, готовлю ТКП
	30.01.2026 - ТКП на согласовании в Отд.5
	03.02.2026 - ТКП на согласовании у В.Спиридонского
	06.02.2026 - ТКП направлено Заказчику по e-mail</t>
  </si>
  <si>
    <t>031_26
	27.01.2026 - запрос расписан через офис до 03.02
	29.01.2026 - актуализированное ТКП на согласовании в РСС
	04.02.2026 - запрошены ТКП у поставщиков
	10.02.2026 - принято решение проиндексировать цены на ПКИ на 18%, МЕРА на 12%
	11.12.2026 - ТКП на согласовании в РСС
	12.02.2026 - ТКП направлено Заказчику по e-mail - исх.(АО)343</t>
  </si>
  <si>
    <t>18.12.2025-по рез-там связи с транспортной компанией соглсован запуск подготовки к отгрузке
-от Грязнева А.А. получ. инф-ция, что модули к з3187 и з3202 прошли ПСИ и готовы к отгрузке
-плановая дата выхода оборудования с ПСИ - 23.12
19.12.2025-от Мироновой О.Н. получены паспорта и этикетки
-для модулей MS-340 этикетки не готовы
-запрошен инвойс на общую ст-ть по дог. (22.12-получен)
22.12.2025-обнаружено не соотвествие ЭД заявляемому коду ТН ВЭД (не прописано в явном виде измерение эл. величин)
-ЭД на доработке и корректировке
29.12.2025-заказчику направлено запрошенное видео о работоспособности оборудования
-оборудование и ЭД по з3258 готовы
-оборудование и ЭД для ремонта з3203 и з3187 готовы
12.01.2025-обнаружено, что оборудование заготовлено без жесткой тары (уточнено, что Инлог могут предоставить тару)
-в Инлог направлен запрос ТКП и комплект документов на рассмотрение
13.01.2025-по запросу Инлог скорректирован счёт и О5 составили тех. описание поставляемого оборудования
-получено ТКП на грузоперевозку
16.01.2025-груз передан грузоперевозчику</t>
  </si>
  <si>
    <t>29.01.2026 - запрос расписан через офис до 05.02
30.01.2026 - исх 221 АО</t>
  </si>
  <si>
    <t>16.12.2025 - заявка на Договор поступила в работу через РСС
19.12.2025 - заявка на Договор направлена в ДО
29.12.2025 - получены корректировки Спецификации от Заказчика, готовлю корректированное ТКП
16.01.2026 - ТКП на согласовании у И.Загребина
19.01.2026 - ТКП на согласовании у В.Спиридонского
20.01.2026 - корректированное ТКП направлено в ДО для корректировки Договора
21.01.2026 - проект Договора направлен Заказчику по Telegram
28.01.2026 - Заказчик планирует визит на МЕРА в феврале 2026 с подписанием Договора в редакции МЕРА</t>
  </si>
  <si>
    <t>31.03.2026 - Заказчик запросил актуализированное ТКП
01.04.2026 - РСС готовит ИД по обновленному ТЗ до 03.04.2026
09.04.2026 - Заказчику направлены уточняющие вопросы
16.04.2026 - Ожидаю ИД для расчета ТКП
17.04.2026 - Получены ИД, готовлю ТКП
20.04.2026 - ТКП на согласовании в РСС (22.04-согл.)
30.04.2026-запрос ТКП у подрядчиков на кейсы
30.04.2026-заказчик уведомлен по e-mail об ориентир. сроке ответа - 15.05 (исх. 1С:ДО 381-ООО)</t>
  </si>
  <si>
    <t>11.12.2025 - запрос поступил через А. Евстифееву
29.01.2026 - Заявка и ИД для РКМ направлены в ДО
03.02.2026 - РКМ на согласовании у В.Е. Спиридонского
26.02.2026 - фактические затраты согласованы В.Е. Спиридонским
11.03.2026 - таблица ПКИ направлена Н.В. Воробьевой (по ее запросу)
13.03.2026 - факт затраты согласованы, но не подписаны и не направлены Заказчику. Будут направлены при необходимости, по запросу Заказчика</t>
  </si>
  <si>
    <t>16.02.2026 - получены данные от ЭП
27.02.2026 - обсудить на договорной оперативке
03.03.2026 - исх 510 АО</t>
  </si>
  <si>
    <t>17.06.2025 - запрос расписан через офис до 25.06
18.06.2025 - запрос передан на проработку в РСС до 25.06.2025
19.06.2025 - Запрос передан на проработку в МИР до 26.06.2025
09.07.2025 - ТКП на согласовании в МИР
16.07.2025 - МИР направил корректировки к ТКП
18.07.2025 - ТКП на согласовании у В.Спииридонского
22.07.2025 - ТКП на согласовании у А.Семина
27.08.2025 - ответ оформляет Р.Гиматдинова
29.08.2025 - МИР доплоняет ТКП управляющим контроллером
15.09.2025 - ТКП откорректировано согласно тех.предложению - на согласовании в МИР
16.09.2025 - ответ на подписи у В.Спиридонского
18.09.2025 - ТКП на согласовании у В.Пака
22.09.2025 - ТКП на согласовании у И.А. Потапова (требуется НТС)
03.10.2025 - Ожидаю протокол НТС от МИР до 06.10.2025
08.10.2025 - Заказчику направлены уточняющие вопросы, готовится поездка на объект
28.01.2026 - Заказчик прислал оригинал СОК
04.02.2026 - подписано СОК, ожидаем уточненные ИД</t>
  </si>
  <si>
    <t>20.01.2026 - оплата этап 1</t>
  </si>
  <si>
    <t>25.12.2025 - запрос расписан в 1С до 01.01
19.01.2026 - по просьбе Заказчика был направлен проект ПР в рабочем порядке
30.01.2026 - Заказчик в рабочем порядке сообщил о ближайшем совместном совещании. Ожидаем дату и время
12.02.2026 - договор и ПР прошел согласование в МЕРЕ, на подписи у Спиридонского
19.02.2026 - направлен в 4015 ВП МО РФ
27.02.2026 - сегодня будет возвращен из 4015 ВП МО РФ. Предполагается отправка Заказчику
Исх 459 АО</t>
  </si>
  <si>
    <t>10.12.2025 - запрос расписан В.Е. Спиридонским в 1С
11.12.2025 - запрос на проработке в РСС
28.01.2026 - перечень вопросов направлен Заказчику по e-mail
20.02.2026 - получены ИД для расчета ТКП
24.02.2026 - ожидаю доп.ИД от РСС
26.02.2026 - поступили ИД от РСС, корректирую ТКП
04.03.2026 - ИД не полные - ожидаю дополнение ИД от РСС
19.03.2026 - получены ИД для уточнения ТКП, готовлю ТКП
24.03.2026 - ТКП на согласовании в РСС
30.03.2026 - запущен лист согласования ТКП
30.03.2026 - ожидаю согласования от ОРПО и ОСП до 13.04.2026
17.04.2026 - лист согл.ТКП в ОСП и ОРПО
21.04.2026 - ожидаю согласования от ОСП
30.04.2026-заказчику направлен исх. об ориентир. сроке ответа - 13.05</t>
  </si>
  <si>
    <t>25.02.2026 - запрос поступил от Заказчика по e-mail
10.03.2026 - ИД от РСС поступили в ОП
06.04.2026 - запрошены счета на датчики у Поставщиков и Альфатех
09.04.2026 - счета получены
15.04.2026 - ТКП перешло в  работу отдела № 5 (только серийное оборудование)
20.04.2026 - ТКП направлено на согласование в отдел №5 (Yougile)
22.04.2026 - ТКП направлено Заказчику по e-mail</t>
  </si>
  <si>
    <t>16.04.2026 - запрос расписан через офис 23.04.2026
17.04.2026 - ТКП в работуе у Ивановой 
17.04.2026 - запрос доп. ИД у Заказчка (ответ получен 17.04.2026)
17.04.2026 - запрос цены у поставкщика на Метран
23.04.2026 - уточнение сроков предоставления цены у поставщика 
28.04.2026 ТКП направлено Заказчику для формирования бюджета</t>
  </si>
  <si>
    <t>002_26
655_25</t>
  </si>
  <si>
    <t>08.12.2025 - возобновление работы по ТКП по готовности контейнера по з.3129 до конца 2025г.
13.01.2026 - РСС продолжает проработку запроса (монтаж контейнера по з.3129) до 31.01.2026
03.02.2026 - РСС продолжает проработку запроса (монтаж контейнера по з.3129) до 15.02.2026
03.03.2026 - РСС продолжает проработку запроса (монтаж контейнера по з.3129) до 15.03.2026
06.04.2026 - РСС передал материалы по затратам на контейнер И.Новацкому. К стоимости нужно добавить 3ч.недели
18.05.2026 - задача закрыта в виду поступления вх.789(АО)</t>
  </si>
  <si>
    <t>22.04.2026 - запрос расписан через офис до 22.04
24.04.2026 - запрос принят в работу Антипенко
30.04.2026 - проработка ТКП
04.05.2026 - проработка ТКП с Силаевым
13.05.2026 - дополнительная информация по кабелю и работам от Силаева и Скрипника</t>
  </si>
  <si>
    <t>28.04.2026 - запрос расписан через офис до 05.05
30.04.2026 - запрос принят в работу
- направлен на рассмотрение в РСС
13.05.2026 - ИД для ТКП поступили в ОП
14.05.2026 - ТКП на согласовании с ОУП, требуется оценка трудоемкости работ
15.05.2026 - Задача передана Антипенко Ю.К.
18.05.2026 - Заказчик проиформирован об ориентировочным сроке ответа</t>
  </si>
  <si>
    <t>212_26</t>
  </si>
  <si>
    <t>08.05.2026 - запрос распичан через офис до 15.05
13.05.2026 - запрос принят в работу Антипенко
13.05.2026 - проект ТКП 
18.05.2026 - Заказчик проиформирован об ориентировочным сроке ответа</t>
  </si>
  <si>
    <t>215_26</t>
  </si>
  <si>
    <t>ОДК-УМПО</t>
  </si>
  <si>
    <t>РВК РМ8</t>
  </si>
  <si>
    <t>Система управления</t>
  </si>
  <si>
    <t>413_ООО_26</t>
  </si>
  <si>
    <t>04.05.2026 - запрос поступил в рабочем порядке через Проскурина
04.05.2026 - запрос принят в работу Антипенко
05.05.2026 - ТКП в проработке
21.05.2026 - согласование в МЕРЕ
22.05.2026 - ТКП направлено Проскурину для направления заказчику
22.05.2026 - задача завершена</t>
  </si>
  <si>
    <t>239_26</t>
  </si>
  <si>
    <t>ФракДжет-Строй</t>
  </si>
  <si>
    <t>Испытания свай ударно волновым методом</t>
  </si>
  <si>
    <t>20.05.2026 - запрос расписан через офис до 27.05
28.05.2026-ТКП на согласовании в МЕРЕ
28.05.2026-ТКП отправлено заказчику исх. 472-ООО</t>
  </si>
  <si>
    <t>234_26</t>
  </si>
  <si>
    <t>231_26
109_24
596_22
174_23</t>
  </si>
  <si>
    <t>СИР (температуры)
(Купцов)</t>
  </si>
  <si>
    <t>10.12.2025-по факту дооплаты аванса возобновлена ДС на перенос сроков
23.12.2025-обнаружены ошибки во внутреннем договоре
24.12.2025-получен расчет трубопроводов ГВ
25.12.2025-получ. консультация от ОФПП, что треб. приведение ТКП в соотв. с ценой договора и спец-цией вн. договора для изменения вн. договора
-получ. консультация от ДО, что для заключ. ДС на перенос сроков обязательная актуализация РКМ
-Спиридноский В.Е. уведомлен, что заключить ДС до 30.12.25 не выходит
-с заказчиком проговорена возможность подписания ДС в янв. датами от декабря
-производится актуализация стоиомстей ПКИ
22.01.2025-производится актуализация внутреннего договора
17.01.2026-со стороны ОП согласованы вн. договора ООО-ИТ на разработку ПО
24.02.2026-ввиду снижения стоимости нормочаса и вытекающего из него снижения стоимости работ по Контракту со Спиридонским В.Е. согласована корректировка ст-тей ПКИ от НПП МЕРА
24.02.2026-со Спиридонским В.Е., РСС и Заказчиком согласовано заключение ДС на перенос сроков по этапам 1.1 и 2.1 (актуализацию РКМ включить в ДС на строительные работы)
24.02.2026-заявка на ДС направлена в ДО
25.02.2026-ДС № 2 в скане и ДС № 3 на подписании в МЕРЕ (со Спиридонским В.Е. согласовано ожидание рез-тов разговора с Ханиной А.Ю.)
04.02.2026-со Спиридонским В.Е. согласована подготовка ДС и с учетом РКМ на актуальную дату
19.03.2026-разбирательство с бухгалтерией о корректном порядке подачи счетов на оплату
06.04.2026-согласов. с РСС объем работы по актуализации счетов на ПКИ наи актуальный состав стендов со стороны РСС выполнен лишь на половину
13.05.2026-прошло очное совещ. с Каюмовым А.В., достигнута дог-сть о сроке подготовки проекта ДС к 03.06
04.06.2026-по согл. с Заказчиком, Спридонским В.Е., РСС и ДО в проект ДС № 3 включен перенос сроков по этапам 1 и 2</t>
  </si>
  <si>
    <t>20.05.2026 - запрос расписан через офис до 27.05
25.05.2026 - ТКП на оформлении Иванова
29.05.2026 - ТКП на подписи Загребин И.В. 
02.06.2026 - ТКП направлено Заказчику Исх 471 от 08.05.2026</t>
  </si>
  <si>
    <t>01.06.2026 - запрос на оформление ДС № 3 поступил через Спиридонского В.Е.
01.06.2026-заявка на ДС № 3 направлена в ДО
03.06.2026-скорректированный проект ДС № 3 направлен заказчику на согласование, уточняется инф-ция о переносе сроков</t>
  </si>
  <si>
    <t>262_26</t>
  </si>
  <si>
    <t>655_25
	24.12.2025 - запрос расписан через офис до 16.01 (в 1С) (см. также папку ТКП 002_26)
	12.01.2026 - запрос на проработке в РСС
	22.01.2026 - Заказчик запросил СОК для предоставления дополнительных ИД, ДО готовит СОК
	12.02.2026 - СОК направлен Заказчику, ожидаем ИД для проектирования
	30.03.2026 - подписано СОК, РСС ведет подготовку ИД
	06.04.2026 - получены ИД частично, формирую ТКП
	21.04.2026 - ТКП на согласовании в РСС
	22.04.2026-задача передана Буряк О.П. в связи с уходом Мелихова А.А. в отпуск
	23.04.2026-ТКП согл. со стороны РСС
	30.04.2026-заказчику направлен e-mail об ориентир.сроке ответа - 08.05 (исх. 1С:ДО 375-ООО)
002_26
	30.04.2026 - продолжение работы по вх. 1514-ООО
	30.04.2026-ТКП на согласовании в МЕРЕ
	08.05.2026-передано Буряк О.П. в работу Ивановой О.И.
	08.05.2026 - принятов работу Иванова 
	08.05.2026 - ТКП направлено на согласование 
	19.05.2026 - наначено совещание в рабочем порядке на 26.05.2026 у Попова А.Н.
	22.05.2026 - ТКП согласовано Спиридонский В.Е., Загребин И.В.
	26.05.2026 - проведено совещание по техническим решения в рамках реализации проекта
	26.05.2026 - ТКП на согласовании у Потапова И.А., 
	28.05.2026 - совещание у Потапова И.А. по результатам Потоличин М.П, готовит письмо
	29.05.2026 - Иванова оформление ТКП  для направления Заказчику 
	29.05.2026 - ТКП оформлено, передано на согласвание Спиридонскому В.Е. для подписания
	03.06.2026 - ТКП направлено Заказчику Исх.1677 от 03.06.26</t>
  </si>
  <si>
    <t>231_26
	18.05.2026 - запрос расписан через офис до 25.05
	19.05.2026-задача в работе РСС
	29.05.2026-от РСС получены данные по ориентировочным срокам проработки ТЗ
	29.05.2026-заказчику направлен исх. 1617-АО об ориентировчных сроках проработки ТКП</t>
  </si>
  <si>
    <t>500 каналов БМП</t>
  </si>
  <si>
    <t>ЛАЭС-СКВЛ</t>
  </si>
  <si>
    <t>ДКБА  АО "Долгопруднинское коснтрукторское бюро автоматики"</t>
  </si>
  <si>
    <t>Проскурин
Потолочин</t>
  </si>
  <si>
    <t>АРМы для ГТ65, контейнер</t>
  </si>
  <si>
    <t>Мобильный стендовый комплекс
АПД-200</t>
  </si>
  <si>
    <t>Потолочин МП
Грязнев</t>
  </si>
  <si>
    <t>044_26
053_26</t>
  </si>
  <si>
    <t>15.05.2026 - запрос расписан через офис до 22.05
22.06.2026 - запрос на проработке в РСС
08.06.2026 - Заказчику направлен отказ - нет обратной связи</t>
  </si>
  <si>
    <t>272_26</t>
  </si>
  <si>
    <t>044_26
	05.02.2026 - запрос расписан через офис до 12.02
	09.02.2026 - запрос направлен на проработку в РСС
	12.02.2026 - Заказчику направлены схема и уточняющие вопросы 
	16.02.2026 - Заказчик направил ТЗ
	17.02.2026 - Командировка РСС к Заказчику для уточнения деталей ТЗ
	24.02.2026 - данные переданы в ОП для расчета
	03.03.2026 - ТКП на согласовании с С.Силаевым
	05.03.2026 - ТКП с корректировками направлено в ОП
	06.03.2026 - ТКП направлено на согласование  с Р.Филатовым
	11.03.2026 - ТКП направлено Заказчику по e-mail исх. 558 от 10.03.2026</t>
  </si>
  <si>
    <t>146_26
167_26</t>
  </si>
  <si>
    <t>611_25</t>
  </si>
  <si>
    <t>610_25</t>
  </si>
  <si>
    <t>167_26
	13.04.2026 - Заказчик запросил ТКП на MIC-170
	13.04.2026 - ТКП на согласовании в Отд.5
	15.04.2026 - ТКП на согласовании у В.Спиридонского
	17.04.2026 - ТКП направлено Заказчику по e-mail
146_26
	25.03.2026 - запрос расписан через офис до 01.04
	26.03.2026 - РСС запросил ИД у Заказчика
	01.04.2026 - РСС подготовил схему для расчета ТКП
	03.04.2026 - ТКП на корректировке в РСС в части кабелей
	08.04.2026 - получена корректированная схема
	09.04.2026 - ТКП на согласовании у И.Загребина</t>
  </si>
  <si>
    <t>07.05.2026 - запрос расписан через офис до 14.05
08.05.2026 - ожидание уточнение ИД от РСС
22.05.2026 - направлено на согласование
25.05.2026 - согласовано ПТЦ, Капустян. 
26.05.2026 - от Филатова получен ряд замечаний. Планируется обсуждение в пн
04.06.2026 - все замечания устранены. Согласовано (ПТЦ, ЦР, ПКГ, ГСП). Передано в РСС
10.06.2026 - передано Спиридонскому
11.06.2026 - передано Кокореву на согласование
В понедельник будет передано ГД на утверждение
15.06.2026 - ТКП и сопровод переданы ГД через Спиридонского
19.06.2026 - на подписи у ГД
23.06.2026 - исх 1955 АО</t>
  </si>
  <si>
    <t>04.06.2026 - запрос расписан через офис до 11.06
05.06.2026-ТКП в проработке у РСС
09.06.2026-получ. контакт для диалога по технике: из-за непоноты ТЗ невозможно выдать ИД для ТКП
19.06.2026-получены частичные ответы на запрос доп. ИД, продолжается диалог
19.06.2026-заказчик уведомлен, что ТКП может быть сформировано только после получения полного объёма ИД (исх. 550-ООО 1С:ДО)</t>
  </si>
  <si>
    <t>СУ268</t>
  </si>
  <si>
    <t>АО НПО Машиностроения</t>
  </si>
  <si>
    <t>285_26</t>
  </si>
  <si>
    <t>УРФУ</t>
  </si>
  <si>
    <t>10.03.2026 - запрос расписан через офис до 17.03
12.03.2026 - запрошен и получен расчет стоимости датчика у В. Басова
17.03.2026 - расчет цены датчиков направлен М.П. Потолочину для согласования с И.А. Потаповым
18.03.2026 - ТКП скорректировано на основании 2 версии расчетов от В.Басова. ТКП передано М.П. Потолочину для согласование с И.А. Потаповым
20.03.2026 - ТКП направлено Заказчику по e-mail Исх. 567 от 23.06.2026</t>
  </si>
  <si>
    <t>11.06.2026 - задача поступила в работу через М.Потолочина
11.06.2026 - запрос на проработке в РСС
17.06.2026 - ТКП на согласовании в ОСП (В.Басов)
18.06.2026 - запланировано совещение ОСП-А.Попов
18.06.2026 - ТКП на согласовании в ОСП (В.Басов)
26.06.2026 - ТКП на согласовании у И.Загребина
30.06.2026 - ТКП направлено Заказчику по e-mail - исх.(ООО)586</t>
  </si>
  <si>
    <t>17.06.2026 - задача инициирована Кокоревым А.В. Дедлайн - 30.06.2026
Ожидаю ИД от РСС
26.06.2026 - на подписи у Загребина. В пн. планируется передать ГД.
30.06.2026 - исх 2028 АО</t>
  </si>
  <si>
    <t>27.01.2026-продолжение работы над вх. 1075-ООО (от 2025 г.)
-частичные ИД для расчёта ТКП переданы в ОП
09.02.2026-задача передана Мелихову А.А. в связи с уходом Буряк О.П. в отпуск
17.02.2026-задача возвращена Буряк О.П.
18.02.2026-проект ТЗ Заказчику направлен на согл.
08.05.2026-передано Буряк О.П. в работу Ивановой О.И.
08.05.2026 - принято в работу Иванова
14.05.2026 - ТКП направлено на согласование 
19.05.2026 - тех рук. внесли правки в проект ТКП, Иванова на оформлении
25.05.2026 - запущен лист согласовния 
29.05.2026 - 01.2026 - на согласовании у Филатова.
03.06.2026 - Согласование в МЕРА (Капустян до 05.06.2026)
08.06.2026 - ТКП на согласовании в МЕРА (Березняцкий А.В,)
09.06.2026 - Попов А.Н.  запросил Доп. ИД для согласования ТКП 
30.06.2026 - по результат согласования ТКП Иванова подготовила справку к ЛС с проектом ТКП  с ориентировочным расчетом стоимости
06.07.2026 -Принято решение согласовать технические решения с Заказчиком. После чего оформлять ТКП  с учетом требований, установленных условиями Заказчика 
15.07.2026 - ОТКАЗ от ТКП Ддо получения исходных данных от Заказчика</t>
  </si>
  <si>
    <t>284_26</t>
  </si>
  <si>
    <t>ФГАОУ ВО "УрФУ"</t>
  </si>
  <si>
    <t>24.06.2026 - запрос расписан через офис до 01.07
26.06.2026 - Иванова приянто в работу 
26.06.2026 - запрос на проработке в О5 (Bitrix)
29.06.2026 - получили отказ от О5
30.06.2026 - зпрос направлен в РСС (Ежова Мария)
01.07.2026 - РСС Связались с Заказчиком для проработки ТЗ для оформления ТКП 
03.07.2026 - Заказчику направлены вопросы на ДопИД</t>
  </si>
  <si>
    <t>311_26</t>
  </si>
  <si>
    <t>06.07.2026 - запрос расписан через офис до 13.07
10.07.2026 - задача принята в работу Антипенко
13.07.2026 - задача в проработке с РСС - Потолочин Иван
17.07.2026 - ответ направлен заказчику по e-mail об ориентировочном сроке ответа</t>
  </si>
  <si>
    <t>320_26</t>
  </si>
  <si>
    <t>290_25
	30.06.2026 - запрос расписан через офис до 07.07
	30.06.2026 - Иванова приянт в работу.
	01.07.2026 - запрос в проработке О5 (создана задача в битрикс)
	02.07.2026 - ТКП сформировно и направлено Заказчику
	03.07.2026  - Оформлено ТКП на оф. бланке , подготовлено ТЗ на поставляемое оборудование и направлены Заказчику</t>
  </si>
  <si>
    <t>16.07.2026 - запрос расписан через офис до 23.07
17.07.2026 -запрос принят в работу Иванова
17.07.2026 - запрос направлен для проработки в РСС 
20.07.2026 - Настоящий запрос не актуален для НПП Мера. Ввиду того что запрашиваемый комплекс ИВК поставляет компания разработчик  данного комплекса, а аналоги Заказчик не рассматривает. (информация получена от Заказчика по результатам созвона 20.07.2026(Иванова)</t>
  </si>
  <si>
    <t>ИС-102 Мега СИС</t>
  </si>
  <si>
    <t>055_26</t>
  </si>
  <si>
    <t>ИВК ИС БМП</t>
  </si>
  <si>
    <t>338_26</t>
  </si>
  <si>
    <t>27.11.2025 - требуется актуализация ТКП
24.07.2026 - задача закрыта из-за неактуальности</t>
  </si>
  <si>
    <t>06.07.2026 - необходимо подготовить спецификацию оборудования согласно КД
06.07.2026 - РСС готовит перечень оборудования до 13.07.2026
17.07.2026 - запрошен счет на Метран 508
20.07.2026 - проект спецификации направлен в ДО
23.07.2026 - получены корректировки по спецификации от РСС
24.07.2026 - корректированная спецификация направлена на согласование в РСС
27.07.2026 - спецификация направлена в ДО на оформление
28.07.2026 - спецификация направлена на согласование Заказчику по e-mail через ДО (С.Семеркина)</t>
  </si>
  <si>
    <t>331_26</t>
  </si>
  <si>
    <t>22.07.2026 - запрос расписан через офис до 29.07
27.07.2026 - запрос принят в работу Антипенко
27.07.2026 - ТКП в проработке с РСС</t>
  </si>
  <si>
    <t>265_26</t>
  </si>
  <si>
    <t>ЗименсЯкагаваСпенд</t>
  </si>
  <si>
    <t>27.07.2026 - Заказчик запросил подписанное СОК до 10:30 29.07.2026
29.07.2026 - СОК передано курьеру Заказчика нарочно</t>
  </si>
  <si>
    <t>342_26</t>
  </si>
  <si>
    <t>18.05.2026 - продолжение работы по вх. 664
25.05.2026 - заданы вопросы в РСС Скрипнику и Силаеву
29.05.2026 - ответы на вопросы не получены, запрос продублирован 
01.06.2026 - дальнейшая проработка ТКП Антипенко
02.06.2026 - согласование в РСС - Скрипник А., Силаев С.
08.06.2026 - ТКП на согласовании в МЕРЕ
15.06.2026 - Капустян и Филатов были в отпуске, передано с листом согласования Капустяну и Филатову на подпись
17.06.2026 - согласование в МЕРЕ
26.06.2026 - задача вернулась в проработку с РСС, изменение состава работ
02.07.2026 - ТКП согласовано в МЕРЕ, ожидается оффицальное письмо от заказчика НИЦ РКП, для дальнейшей проработки ответа на запрос по системе
10.07.2026 - в НИЦ РКП направлены письма ТКП крупноблочно с составами система по стенду, а также сделан запрос на предоставления ТКП на разбработку и работы
17.07.2026 - срок ответа на письмо от НИЦ РКП дан 10 рабочих дней, на сегодяшний день ответа не получено со стороны НИЦ РКП
22.07.2026 - пришел ответ от НИЦ РКП на стоимость работ Лисейкина, продолжение работы над формированием ТКП в КБХМ
23.07.2026 - согласование в МЕРЕ
28.07.2026 - направлен ответ заказчику e-mail
28.07.2026 - задача закрыта</t>
  </si>
  <si>
    <t>10.02.2026 - запрос расписан через офис до 17.02
11.02.2026 - запрос на проработке в Отд.5
19.03.2026 - получены ИД для расчета ТКП, готовлю ТКП
23.03.2026 - ТКП на доработке в Отд.5
15.04.2026 - ТКП на согласовании у В.Спиридонского
17.04.2026 -  Лист согл.ТКП у И.А.Потапова
20.04.2026 - ТКП направлено Заказчику по e-mail</t>
  </si>
  <si>
    <t>ГТ65
50 датчиков ДЕ-400</t>
  </si>
  <si>
    <t>Имитатор для отработки ЭБУ</t>
  </si>
  <si>
    <t>Инвестиционные деньги на 27г</t>
  </si>
  <si>
    <t>РМ1,3,4</t>
  </si>
  <si>
    <t>232_26</t>
  </si>
  <si>
    <t>РТ-Техприемка</t>
  </si>
  <si>
    <t>18.05.2026 - запрос расписан через офис до 25.05
19.05.2026-задача в работе РСС
29.05.2026-от РСС получены данные по ориентировочным срокам проработки ТЗ
29.05.2026-заказчик уведомлен об ориентировчных сроках проработки ТКП (исх. 1618-АО 1С:ДО)</t>
  </si>
  <si>
    <t>347_26</t>
  </si>
  <si>
    <t>РФЯЦ ВНИИТФ</t>
  </si>
  <si>
    <t>Неразрушающий контроль</t>
  </si>
  <si>
    <t>350_26
331_26</t>
  </si>
  <si>
    <t>НИКИЭТ перепродаваны</t>
  </si>
  <si>
    <t>Запущено в изготов</t>
  </si>
  <si>
    <t>30.07.2026 - запрос расписан через офис до 06.08
31.07.2026 - запрос на проработке в РСС
04.08.2026-запрос передна в проработку Буряк О.П.
08.08.2026-ТКП на согласовании в РСС
10.08.2026-получ. доп. ИД, ТКП на пересчете в ОП
12.08.2026-получ. доп. ИД, ТКП на пересчете в ОП
12.08.2026-ТКП на согласовании в МЕРЕ
13.08.2026-ТКП направлено заказчику исх. 745-ООО</t>
  </si>
  <si>
    <t>359_26</t>
  </si>
  <si>
    <t>356_26</t>
  </si>
  <si>
    <t>13.08.2026 - оплата эт. 1, 2</t>
  </si>
  <si>
    <t>365_24
	13.08.2026 - оплата эт. 1, 2</t>
  </si>
  <si>
    <t>27.07.2026 - запрос поступил от Заказчика по телефону
 - запрос на расчет стоимости поверки и проект рамочного договора направлены на согласование И. Вдовенко
10.08.2028 - письмо и ТКП на согласовании у И.В. Загребина
 - письмо и ТКП направлены Заказчику по e-mail исх. 736 (ООО) от 10.08.2026</t>
  </si>
  <si>
    <t>24.08.2026 - Заказчик запросил актуализированное ТКП - ожидаю ТЗ</t>
  </si>
  <si>
    <t>24.06.2026 - запрос расписан через офис до 01.07
26.06.2026 - Иванова приянто в работу 
26.06.2026 - запрос на проработке в О5 (Bitrix)
29.06.2026 - получили отказ от О5
30.06.2026 - зпрос направлен в РСС (Ежова Мария)
01.07.2026 - РСС Связались с Заказчиком для проработки ТЗ для оформления ТКП 
03.07.2026 - Заказчику направлены вопросы на ДопИД
22.07.2026 - по состояниюб на текущую дату ответы от Заказчика не получены.
31.07.2026 -запрос перевден в статус "Сопровождение", ожидание информации от Заказчика
13.08.2026 - Ежова М. созвонилась с Заказчиком- запрос не актуален (ведется работа с другим Поставщиком)</t>
  </si>
  <si>
    <t>331_26
	22.07.2026 - запрос расписан через офис до 29.07
	27.07.2026 - запрос принят в работу Антипенко
	27.07.2026 - ТКП в проработке с РСС
350_26
	04.08.2026 - запрос раписан через офис до 11.08
	06.08.2026 - запрос принят в работу Антипенко
	06.08.2026 - запрос в проработке с РСС аналогично запросу по вх.1077</t>
  </si>
  <si>
    <t>05.08.2026 - запрос расписан через офис до 12.08.2026
06.08.2026 - запрос принят в работу Антипенко
07.08.2026 - вопросы по части запроса направлены Скрипнику А-ю
10.08.2026 - проработка ТКП с РСС - Коршуновым
11.08.2026 - вопросы по части ТЗ от Коршунова направлены заказчику
12.08.2026 - заказчику прислал обновленное ТЗ, принято в работу проект ТКП 
14.08.2026 - направлены запросы на КП на первичные приобразователи</t>
  </si>
  <si>
    <t>12.08.2026 - запрос расписан через офис до 19.08 
13.08.2026 - запрос принят в работу Антипенко 
13.08.2026 - проработка с РСС, проект ТЗ направлен заказчиком, ведется прорботка ТЗ 
14.08.2026 - ведется проработка по части ТЗ планируется выездная встреча с заказчиком и проведение сбора материалов для дальнейшего составления ТКП
17.08.2026 - заказчику направлен ответ на проведение встречи по вопросам стенда</t>
  </si>
  <si>
    <t>СЧ ОКР Криогенмаш</t>
  </si>
  <si>
    <t>СИММП, СИБМП</t>
  </si>
  <si>
    <t>Испытания рулевых двигателей</t>
  </si>
  <si>
    <t>Модальные испытания</t>
  </si>
  <si>
    <t>ФЦДТ Союз</t>
  </si>
  <si>
    <t>24.08.2026 - Заказчик запросил актуализированное ТКП - ожидаю ТЗ
25.08.2026 - получено ТЗ, готовлю ТКП
28.08.2026 - ТЗ на проработке в РСС</t>
  </si>
  <si>
    <t>373_26</t>
  </si>
  <si>
    <t>СИПП</t>
  </si>
  <si>
    <t>Модальный анализ+шейкеры</t>
  </si>
  <si>
    <t>384_26
046_24</t>
  </si>
  <si>
    <t>401_26</t>
  </si>
  <si>
    <t>402_26</t>
  </si>
  <si>
    <t>ГРЦ Макеева</t>
  </si>
  <si>
    <t>Dewesoft Sbox</t>
  </si>
  <si>
    <t>Испытания ГТД
5 стенда</t>
  </si>
  <si>
    <t>405_26
255_24</t>
  </si>
  <si>
    <t>Силаев
Грязнев</t>
  </si>
  <si>
    <t xml:space="preserve">Испытатель-М(fire panel)
Луч ММ </t>
  </si>
  <si>
    <t>24.08.2026 - Заказчик запросил актуализированное ТКП - ожидаю ТЗ
25.08.2026 - получено ТЗ, готовлю ТКП
28.08.2026 - ТЗ на проработке в РСС до 04.09.2026</t>
  </si>
  <si>
    <t xml:space="preserve">29.07.2026 - запрос поступил через офис до 05.08.2026
30.07.2026 - запрос принят в работу Атипенко
30.07.2026 - ТКП в проработке с РСС направил Скрипнику А-ю ТЗ на рассмотрение
10.08.2026 - ТКП в проработке с РСС , ТЗ на рассмотрении у Скрипника А-я
14.08.2026 - ведется проработка ТКП с РСС - Скрипником А-ем заказчику направлены вопросы по ТЗ
25.08.2026 - проработка ТКП Антипенко
26.08.2026 - было направлено ТКП без участия отдела продаж - партнеру по проекту, ведется проработка ТКП от отдела продаж для ААК Прогресс
02.09.2026 - дополнительно сделаны запросы на обновленны состав датчиков, жду ответов поставщиков 
</t>
  </si>
  <si>
    <t>415_26</t>
  </si>
  <si>
    <t>Испытания ТРД</t>
  </si>
  <si>
    <t>ООО Зилант</t>
  </si>
  <si>
    <t xml:space="preserve">Потолочин </t>
  </si>
  <si>
    <t>24.06.2025 - запрос расписан через офис до 01.07
- запрос направлен в РСС, создана папка ТКП
27.06.2025 - для работы с Заказчиком требуется согласование внутрннего Заказа на систему модального анализа
01.08.2025 - Заказчику направлено письмо о предоставлении ответа в сентябре
01.01.2026 - задача неактуалльна, ТЗ нереализуемо</t>
  </si>
  <si>
    <t>046_24
384_26</t>
  </si>
  <si>
    <t>24.08.2026 - Заказчик запросил актуализированное ТКП - ожидаю ТЗ
25.08.2026 - получено ТЗ, готовлю ТКП
28.08.2026 - ТЗ на проработке в РСС до 04.09.2026
07.09.2026 - получены ИД для расчета
10.09.2026 - запрошены ТКП у поставщиков, ТКП на дополнении в РСС</t>
  </si>
  <si>
    <t>24.08.2026 - запрос расписан через офис до 31.08
25.08.2026 - запрос принят в работу Антипенко
26.08.2026 - заказчику было направлено ориетировочное ТКП без участия отдела продаж 
28.08.2026 - ведется проработка ТКП Антипенко
07.09.2026 - согласование в МЕРЕ</t>
  </si>
  <si>
    <t>419_26</t>
  </si>
  <si>
    <t>ОДК-Салют</t>
  </si>
  <si>
    <t>28.08.2026 - запрос расписан через офис до 04.09
03.09.2026-ТКП в проработке РСС
09.09.2026-по инф-ции от Потолочина М.П. ИД для ТКП будут готовы к 18.09
11.09.2026-был выполнен запрос доп. ИД от 04.09 по тел. Скрипником А-й.А. (исх. 842-АО 1С:ДО)</t>
  </si>
  <si>
    <t>420_26</t>
  </si>
  <si>
    <t>Сергей Гапонов (уточнить)</t>
  </si>
  <si>
    <t>01.09.2026 - запрос расписан через офис до 08.09
04.09.2026 - принято в работу Антипенко 
04.09.2026 - проработка с РСС Скрипник А-й</t>
  </si>
  <si>
    <t>03.09.2026 - запрос расписан через офис до 10.09
07.09.2026 -Иванова приянт в работу 
07.09.2026 - запрос направлен для проработки в РСС 
08.09.2026 - Потолочин Иван запросил у Заказчика доп ИД
09.09.2026 - Напавлен ряд вопросов Заказчику для получения ИД 
11.09.2026 - Завершение работы над запросом до получения ИД</t>
  </si>
  <si>
    <t>408_26</t>
  </si>
  <si>
    <t>Micronel Global Engineers Pvt Ltd</t>
  </si>
  <si>
    <t>22.06.2026 - запрос расписан через офис до 29.06
04.09.2026-запрос только СЕГОДНЯ был передан в работу ОП: Спиридонский В.Е. отсутсвовал в процессе распределения письма 1С: ДО и оно "потерялось"
04.09.2026-запрос передан в проработку Авиа
04.09.2026-запрос передан в проработку РСС, т.к. запрос подобен заказу 2850
04.09.2026-РСС оценено, что данный запрос выполнить возможно, порядок цены от 20 млн
04.09.2026-со Спиридонским В.Е. согл. напр. ориентир. ст-ти 20-40 млн для старта обсуждения
07.09.2026-текст сообщения согалсован с РСС
07.09.2026-ориентировочная цена напр. заказчику по e-mail (исх. 814-ООО 1С:ДО)</t>
  </si>
  <si>
    <t>461_24
	13.11.2025 - запрос ТКП с обновленным ТЗ поступил в работу от Заказчика напрямую
	17.11.2025 - запрос передан на проработку в РСС
	20.11.2025 - готовлю корректированное ТКП
	15.12.2025 - ТКП на согласовании/корректировке в РСС
	16.01.2026 - проработка приостановлена до 21.01.2026 (Заказчик принимает решение - Закупка или ОКР)
	23.01.2026 - отсутствует информация о решении Заказчика
	02.02.2026 - отсутствует информация о решении Заказчика (Закупка или ОКР)
	02.09.2026 - проект Договора направлен на корректировку в ДО
	08.09.2026 - ТЗ, проект Договора, РКМ направлены Заказчику по e-mail</t>
  </si>
  <si>
    <t>405_26
	03.09.2026 - запрос расписан через офис до 10.09
	03.09.2026-ТКП в проработке РСС
	09.09.2026-заказчику направлен запрос доп. ИД (исх. 2691-АО 1С:ДО)</t>
  </si>
  <si>
    <t>31.07.2026 - запрос расписан через офис до 07.08
04.08.2026 - запрос принят в работу Антипенко
04.08.2026 - ТКП в проработке с РСС
12.08.2026 - ведутся работы по ТЗ в частности согласование работ с заказчиком, на данном этапе заказчик не отвечает на звонки, был направлен запрос по e-mail
24.08.2026 - на сегодняшний день ответа от заказчика не получено 
31.08.2026 - Скрипник А-й провел телефонный разговор на неделе 24.08.-28.08 телефонный разговор с заказчиком, на данном этапе со слов Скрипника А-я нет конкретного решения проработки ТКП, на неделе 31.08 - 04.09. будет произведена работа по части ТЗ и проработки ТКП совместно Скрипник А-й и Антипенко
11.09.2026 - со слов Скрипника Алексея заказчику были направлены вопросы, получены нами ответы, ТКП в проработке, также со слов Скрипника А-я - заказчик сообщил что ТКП ожидают</t>
  </si>
  <si>
    <t>27.08.2026 - запрос расписан через офис до 03.09
28.08.2026 - Иванова прнятов работу 
08.09.2026 - Иванова запрсила формы ответа (приложения из запроса) 
11.09.2026 - Оформлено КП, направлено Заказчику исх. № 2718 от 14.09.2026</t>
  </si>
  <si>
    <t>31.08.2026 - запрос расписан через офис до 07.09
04.09.2026 - принято в работу Антипенко 
04.09.2026 - проработка с РСС Скрипник А-й
11.09.2026 - заказчику дан ответ об ориентировочном сроке ответа, а также о ведении проработки запроса</t>
  </si>
  <si>
    <t>10.09.2026 - запрос поступил от И.М. Потолочина
14.09.2026 - проект письма согласован с И.М. Потолочинвм и В.Е. Спиридонским и направлен Заказчику по e-mail</t>
  </si>
  <si>
    <t>427_26</t>
  </si>
  <si>
    <t>09.09.2026 - запрос расписан через офис до 16.09
09.09.2026-ТКП в проработке РСС
14.09.2026-ИД для расчета ТКП переданы в ОП</t>
  </si>
  <si>
    <t>433_26</t>
  </si>
  <si>
    <t>КНИТУ-КАИ</t>
  </si>
  <si>
    <t>09.09.2026 -  запрос расписан через офис до 17.09
14.09.2026-ТКП в проработке РСС</t>
  </si>
  <si>
    <t>434_26</t>
  </si>
  <si>
    <t>11.09.2026 -  запрос расписан через офис до 18.09
14.09.2026-ТКП в проработке РСС</t>
  </si>
  <si>
    <t>06.02.2026 - Заказчик запросил подтверждение затрат по этапу 1
09.02.2026 - готовлю ИД для корректировки вн.договоров и ФБК
12.03.2026 - ИД выданы в ОФПП для корректировки ФБК и вн.договора
29.05.2026 - ожидание решения В.Спиридонского
03.08.2026 - по решению В.Е. Спиридонского задача перешла к Островской Ю.А.
- запрос факт. затрат у Н.В. Воробьевой
04.08.2026 - Подготовлены ориентировочные ИД для РКМ по 1 этапу, согласование с В.Е. Спиридонским
07.08.2026 - ориентировочные ИД для РКМ соглсованы, сбор факт. затрат в бухгалтерии и подготовка табелей учета рабочего времени
17.08.2026 - задача передана П.В. Мартынову
21.08.2026 - в пон (24.08) планирую направить в ДО
24.08.2026 - заявка направлена в ДО
31.08.2026 - задача возвращена Островской Ю.
- РКМ из ДО направлены на согласование в ОП
03.09.2026 - запрос на внесение корректировок в РКМ направлен в ДО
03.09.2026 - 08.09.2026 - сбор и копирование счетов-фактур в бухгалтерии
08.09.2026 - корректировки к РКМ направлены в ДО
14.09.2026 - РКМ предварительно согласованы с В.Е. Спиридонским. Переданы в ДО для отправки Заказчику с комплектом отчетных документов</t>
  </si>
  <si>
    <t>CAN/ Modbus шлюз
Austro Engine AE300</t>
  </si>
  <si>
    <t>Стенд динамических испытаний</t>
  </si>
  <si>
    <t>Испытания ГТД 70..200 кгс</t>
  </si>
  <si>
    <t>417_26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</si>
</sst>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2" formatCode="_-* #,##0\ &quot;₽&quot;_-;\-* #,##0\ &quot;₽&quot;_-;_-* &quot;-&quot;\ &quot;₽&quot;_-;_-@_-"/>
    <numFmt numFmtId="164" formatCode="#,##0\ &quot;₽&quot;"/>
    <numFmt numFmtId="165" formatCode="#,##0\ _₽"/>
  </numFmts>
  <fonts count="45" x14ac:knownFonts="1">
    <font>
      <sz val="11"/>
      <color theme="1"/>
      <name val="Calibri"/>
      <family val="2"/>
      <scheme val="minor"/>
    </font>
    <font>
      <sz val="11"/>
      <color theme="1"/>
      <name val="Calibri"/>
      <family val="2"/>
      <charset val="204"/>
      <scheme val="minor"/>
    </font>
    <font>
      <u/>
      <sz val="11"/>
      <color theme="10"/>
      <name val="Calibri"/>
      <family val="2"/>
      <scheme val="minor"/>
    </font>
    <font>
      <sz val="11"/>
      <color rgb="FF000000"/>
      <name val="Calibri"/>
      <family val="2"/>
      <charset val="204"/>
    </font>
    <font>
      <sz val="9"/>
      <color rgb="FF000000"/>
      <name val="Times New Roman"/>
      <family val="1"/>
      <charset val="204"/>
    </font>
    <font>
      <b/>
      <sz val="9"/>
      <color theme="1"/>
      <name val="Times New Roman"/>
      <family val="1"/>
      <charset val="204"/>
    </font>
    <font>
      <sz val="9"/>
      <color theme="1"/>
      <name val="Times New Roman"/>
      <family val="1"/>
      <charset val="204"/>
    </font>
    <font>
      <u/>
      <sz val="9"/>
      <color theme="10"/>
      <name val="Times New Roman"/>
      <family val="1"/>
      <charset val="204"/>
    </font>
    <font>
      <sz val="9"/>
      <color rgb="FFFF0000"/>
      <name val="Times New Roman"/>
      <family val="1"/>
      <charset val="204"/>
    </font>
    <font>
      <sz val="9"/>
      <name val="Times New Roman"/>
      <family val="1"/>
      <charset val="204"/>
    </font>
    <font>
      <sz val="11"/>
      <color theme="1"/>
      <name val="Times New Roman"/>
      <family val="1"/>
      <charset val="204"/>
    </font>
    <font>
      <b/>
      <sz val="11"/>
      <color theme="1"/>
      <name val="Times New Roman"/>
      <family val="1"/>
      <charset val="204"/>
    </font>
    <font>
      <b/>
      <sz val="20"/>
      <color theme="1"/>
      <name val="Times New Roman"/>
      <family val="1"/>
      <charset val="204"/>
    </font>
    <font>
      <b/>
      <sz val="11"/>
      <name val="Times New Roman"/>
      <family val="1"/>
      <charset val="204"/>
    </font>
    <font>
      <sz val="11"/>
      <color rgb="FF000000"/>
      <name val="Times New Roman"/>
      <family val="1"/>
      <charset val="204"/>
    </font>
    <font>
      <sz val="11"/>
      <color rgb="FF000000"/>
      <name val="Calibri"/>
      <family val="2"/>
      <scheme val="minor"/>
    </font>
    <font>
      <u/>
      <sz val="9"/>
      <color theme="10"/>
      <name val="Calibri"/>
      <family val="2"/>
      <scheme val="minor"/>
    </font>
    <font>
      <sz val="10"/>
      <color theme="1"/>
      <name val="Times New Roman"/>
      <family val="1"/>
      <charset val="204"/>
    </font>
    <font>
      <b/>
      <sz val="10"/>
      <color theme="1"/>
      <name val="Times New Roman"/>
      <family val="1"/>
      <charset val="204"/>
    </font>
    <font>
      <sz val="6"/>
      <color rgb="FF000000"/>
      <name val="Times New Roman"/>
      <family val="1"/>
      <charset val="204"/>
    </font>
    <font>
      <sz val="6"/>
      <color theme="1"/>
      <name val="Times New Roman"/>
      <family val="1"/>
      <charset val="204"/>
    </font>
    <font>
      <u/>
      <sz val="11"/>
      <color rgb="FFFF0000"/>
      <name val="Calibri"/>
      <family val="2"/>
      <charset val="204"/>
      <scheme val="minor"/>
    </font>
    <font>
      <sz val="11"/>
      <name val="Calibri"/>
      <family val="2"/>
      <charset val="204"/>
      <scheme val="minor"/>
    </font>
    <font>
      <u/>
      <sz val="11"/>
      <color theme="10"/>
      <name val="Calibri"/>
      <family val="2"/>
      <charset val="204"/>
      <scheme val="minor"/>
    </font>
    <font>
      <sz val="9"/>
      <color indexed="81"/>
      <name val="Tahoma"/>
      <family val="2"/>
      <charset val="204"/>
    </font>
    <font>
      <b/>
      <sz val="9"/>
      <color indexed="81"/>
      <name val="Tahoma"/>
      <family val="2"/>
      <charset val="204"/>
    </font>
    <font>
      <b/>
      <sz val="9"/>
      <color rgb="FFFF0000"/>
      <name val="Times New Roman"/>
      <family val="1"/>
      <charset val="204"/>
    </font>
    <font>
      <sz val="10"/>
      <color theme="1"/>
      <name val="Arial"/>
      <family val="2"/>
      <charset val="204"/>
    </font>
    <font>
      <sz val="11"/>
      <name val="Calibri"/>
      <family val="2"/>
      <scheme val="minor"/>
    </font>
    <font>
      <b/>
      <sz val="11"/>
      <color theme="1"/>
      <name val="Calibri"/>
      <family val="2"/>
      <charset val="204"/>
      <scheme val="minor"/>
    </font>
    <font>
      <b/>
      <u/>
      <sz val="11"/>
      <color theme="10"/>
      <name val="Calibri"/>
      <family val="2"/>
      <charset val="204"/>
      <scheme val="minor"/>
    </font>
    <font>
      <sz val="10"/>
      <color rgb="FF000000"/>
      <name val="Times New Roman"/>
      <family val="1"/>
      <charset val="204"/>
    </font>
    <font>
      <sz val="9"/>
      <color rgb="FF000000"/>
      <name val="Calibri"/>
      <family val="2"/>
      <scheme val="minor"/>
    </font>
    <font>
      <sz val="8"/>
      <color rgb="FF000000"/>
      <name val="Tahoma"/>
      <family val="2"/>
      <charset val="204"/>
    </font>
    <font>
      <sz val="9"/>
      <color theme="1"/>
      <name val="Arial"/>
      <family val="2"/>
      <charset val="204"/>
    </font>
    <font>
      <b/>
      <sz val="20"/>
      <color rgb="FFFF0000"/>
      <name val="Times New Roman"/>
      <family val="1"/>
      <charset val="204"/>
    </font>
    <font>
      <u/>
      <sz val="8"/>
      <color theme="10"/>
      <name val="Calibri"/>
      <family val="2"/>
      <scheme val="minor"/>
    </font>
    <font>
      <u/>
      <sz val="9"/>
      <color rgb="FFFF0000"/>
      <name val="Calibri"/>
      <family val="2"/>
      <scheme val="minor"/>
    </font>
    <font>
      <sz val="8"/>
      <color rgb="FF000000"/>
      <name val="Times New Roman"/>
      <family val="1"/>
      <charset val="204"/>
    </font>
    <font>
      <sz val="8"/>
      <color theme="1"/>
      <name val="Times New Roman"/>
      <family val="1"/>
      <charset val="204"/>
    </font>
    <font>
      <sz val="9"/>
      <color theme="1"/>
      <name val="Calibri"/>
      <family val="2"/>
      <scheme val="minor"/>
    </font>
    <font>
      <sz val="9"/>
      <color rgb="FFFF0000"/>
      <name val="Calibri"/>
      <family val="2"/>
      <scheme val="minor"/>
    </font>
    <font>
      <sz val="10"/>
      <name val="Arial Cyr"/>
      <charset val="204"/>
    </font>
    <font>
      <u/>
      <sz val="9.4"/>
      <color theme="10"/>
      <name val="Arial Cyr"/>
      <charset val="204"/>
    </font>
    <font>
      <b/>
      <sz val="9"/>
      <name val="Times New Roman"/>
      <family val="1"/>
      <charset val="204"/>
    </font>
  </fonts>
  <fills count="23">
    <fill>
      <patternFill patternType="none"/>
    </fill>
    <fill>
      <patternFill patternType="gray125"/>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rgb="FFA9D08E"/>
        <bgColor indexed="64"/>
      </patternFill>
    </fill>
    <fill>
      <patternFill patternType="solid">
        <fgColor rgb="FFFF000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E6FFDD"/>
        <bgColor indexed="64"/>
      </patternFill>
    </fill>
    <fill>
      <patternFill patternType="solid">
        <fgColor rgb="FFCCFFCC"/>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rgb="FFD9D9D9"/>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rgb="FFDBDBDB"/>
        <bgColor indexed="64"/>
      </patternFill>
    </fill>
    <fill>
      <patternFill patternType="solid">
        <fgColor theme="6" tint="0.79998168889431442"/>
        <bgColor indexed="64"/>
      </patternFill>
    </fill>
  </fills>
  <borders count="148">
    <border>
      <left/>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medium">
        <color indexed="64"/>
      </left>
      <right style="thin">
        <color indexed="64"/>
      </right>
      <top/>
      <bottom/>
      <diagonal/>
    </border>
    <border>
      <left style="thin">
        <color indexed="64"/>
      </left>
      <right style="thin">
        <color indexed="64"/>
      </right>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diagonal/>
    </border>
    <border>
      <left style="thin">
        <color auto="1"/>
      </left>
      <right/>
      <top style="thin">
        <color indexed="64"/>
      </top>
      <bottom style="thin">
        <color auto="1"/>
      </bottom>
      <diagonal/>
    </border>
    <border>
      <left/>
      <right/>
      <top/>
      <bottom style="medium">
        <color indexed="64"/>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indexed="64"/>
      </bottom>
      <diagonal/>
    </border>
    <border>
      <left style="thin">
        <color auto="1"/>
      </left>
      <right/>
      <top style="thin">
        <color indexed="64"/>
      </top>
      <bottom/>
      <diagonal/>
    </border>
    <border>
      <left style="thin">
        <color auto="1"/>
      </left>
      <right style="thin">
        <color auto="1"/>
      </right>
      <top style="thin">
        <color indexed="64"/>
      </top>
      <bottom style="thin">
        <color auto="1"/>
      </bottom>
      <diagonal/>
    </border>
    <border>
      <left/>
      <right style="thin">
        <color auto="1"/>
      </right>
      <top style="thin">
        <color indexed="64"/>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indexed="64"/>
      </bottom>
      <diagonal/>
    </border>
    <border>
      <left/>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indexed="64"/>
      </bottom>
      <diagonal/>
    </border>
    <border>
      <left/>
      <right style="thin">
        <color auto="1"/>
      </right>
      <top/>
      <bottom style="medium">
        <color indexed="64"/>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right style="thin">
        <color indexed="64"/>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s>
  <cellStyleXfs count="7">
    <xf numFmtId="0" fontId="0" fillId="0" borderId="0"/>
    <xf numFmtId="0" fontId="2" fillId="0" borderId="0" applyNumberFormat="0" applyFill="0" applyBorder="0" applyAlignment="0" applyProtection="0"/>
    <xf numFmtId="0" fontId="42" fillId="0" borderId="0"/>
    <xf numFmtId="0" fontId="43" fillId="0" borderId="0" applyNumberFormat="0" applyFill="0" applyBorder="0" applyAlignment="0" applyProtection="0">
      <alignment vertical="top"/>
      <protection locked="0"/>
    </xf>
    <xf numFmtId="0" fontId="1" fillId="0" borderId="0"/>
    <xf numFmtId="0" fontId="42" fillId="0" borderId="0"/>
    <xf numFmtId="9" fontId="42" fillId="0" borderId="0" applyFont="0" applyFill="0" applyBorder="0" applyAlignment="0" applyProtection="0"/>
  </cellStyleXfs>
  <cellXfs count="1901">
    <xf numFmtId="0" fontId="0" fillId="0" borderId="0" xfId="0"/>
    <xf numFmtId="0" fontId="6" fillId="0" borderId="0" xfId="0" applyFont="1" applyAlignment="1">
      <alignment vertical="center"/>
    </xf>
    <xf numFmtId="0" fontId="6" fillId="0" borderId="0" xfId="0" applyFont="1" applyAlignment="1">
      <alignment horizontal="center" vertical="center"/>
    </xf>
    <xf numFmtId="0" fontId="6" fillId="0" borderId="0" xfId="0" applyFont="1" applyAlignment="1">
      <alignment horizontal="center" vertical="center" wrapText="1"/>
    </xf>
    <xf numFmtId="0" fontId="10" fillId="0" borderId="0" xfId="0" applyFont="1" applyAlignment="1">
      <alignment horizontal="center" vertical="center"/>
    </xf>
    <xf numFmtId="0" fontId="10" fillId="0" borderId="0" xfId="0" applyFont="1" applyAlignment="1">
      <alignment vertical="center" wrapText="1"/>
    </xf>
    <xf numFmtId="0" fontId="11" fillId="8" borderId="5" xfId="0" applyFont="1" applyFill="1" applyBorder="1" applyAlignment="1">
      <alignment horizontal="center" vertical="center" wrapText="1"/>
    </xf>
    <xf numFmtId="0" fontId="5" fillId="8" borderId="5" xfId="0" applyFont="1" applyFill="1" applyBorder="1" applyAlignment="1">
      <alignment horizontal="center" vertical="center" wrapText="1"/>
    </xf>
    <xf numFmtId="0" fontId="4" fillId="5" borderId="4" xfId="0" applyFont="1" applyFill="1" applyBorder="1" applyAlignment="1">
      <alignment horizontal="center" vertical="center"/>
    </xf>
    <xf numFmtId="0" fontId="4" fillId="0" borderId="4" xfId="0" applyFont="1" applyBorder="1" applyAlignment="1">
      <alignment horizontal="center" vertical="center"/>
    </xf>
    <xf numFmtId="0" fontId="4" fillId="4" borderId="4" xfId="0" applyFont="1" applyFill="1" applyBorder="1" applyAlignment="1">
      <alignment horizontal="center" vertical="center"/>
    </xf>
    <xf numFmtId="0" fontId="6" fillId="5" borderId="0" xfId="0" applyFont="1" applyFill="1" applyAlignment="1">
      <alignment horizontal="center" vertical="center"/>
    </xf>
    <xf numFmtId="0" fontId="6" fillId="5" borderId="0" xfId="0" applyFont="1" applyFill="1" applyAlignment="1">
      <alignment vertical="center"/>
    </xf>
    <xf numFmtId="0" fontId="10" fillId="0" borderId="0" xfId="0" applyFont="1" applyAlignment="1">
      <alignment horizontal="center" vertical="center" wrapText="1"/>
    </xf>
    <xf numFmtId="0" fontId="4" fillId="11" borderId="4" xfId="0" applyFont="1" applyFill="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center" vertical="center"/>
    </xf>
    <xf numFmtId="0" fontId="4" fillId="0" borderId="8" xfId="0" applyFont="1" applyBorder="1" applyAlignment="1">
      <alignment vertical="center"/>
    </xf>
    <xf numFmtId="0" fontId="4" fillId="0" borderId="9" xfId="0" applyFont="1" applyBorder="1" applyAlignment="1">
      <alignment vertical="center"/>
    </xf>
    <xf numFmtId="0" fontId="6" fillId="3" borderId="0" xfId="0" applyFont="1" applyFill="1" applyAlignment="1">
      <alignment vertical="center"/>
    </xf>
    <xf numFmtId="0" fontId="6" fillId="2" borderId="0" xfId="0" applyFont="1" applyFill="1" applyAlignment="1">
      <alignment vertical="center"/>
    </xf>
    <xf numFmtId="0" fontId="6" fillId="2" borderId="0" xfId="0" applyFont="1" applyFill="1" applyAlignment="1">
      <alignment horizontal="center" vertical="center"/>
    </xf>
    <xf numFmtId="0" fontId="6" fillId="8" borderId="0" xfId="0" applyFont="1" applyFill="1" applyAlignment="1">
      <alignment vertical="center"/>
    </xf>
    <xf numFmtId="0" fontId="9" fillId="0" borderId="0" xfId="0" applyFont="1" applyAlignment="1">
      <alignment vertical="center"/>
    </xf>
    <xf numFmtId="0" fontId="9" fillId="4" borderId="0" xfId="0" applyFont="1" applyFill="1" applyAlignment="1">
      <alignment vertical="center"/>
    </xf>
    <xf numFmtId="0" fontId="4" fillId="0" borderId="6" xfId="0" applyFont="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left" vertical="center"/>
    </xf>
    <xf numFmtId="0" fontId="11" fillId="0" borderId="0" xfId="0" applyFont="1" applyAlignment="1">
      <alignment horizontal="center" vertical="center"/>
    </xf>
    <xf numFmtId="0" fontId="4" fillId="4" borderId="11" xfId="0" applyFont="1" applyFill="1" applyBorder="1" applyAlignment="1">
      <alignment horizontal="center" vertical="center"/>
    </xf>
    <xf numFmtId="0" fontId="2" fillId="7" borderId="11" xfId="1" applyFill="1" applyBorder="1" applyAlignment="1">
      <alignment horizontal="center" vertical="center" wrapText="1"/>
    </xf>
    <xf numFmtId="0" fontId="4" fillId="0" borderId="11" xfId="1" applyFont="1" applyFill="1" applyBorder="1" applyAlignment="1">
      <alignment horizontal="center" vertical="center" wrapText="1"/>
    </xf>
    <xf numFmtId="0" fontId="4" fillId="0" borderId="11" xfId="1" applyFont="1" applyFill="1" applyBorder="1" applyAlignment="1">
      <alignment horizontal="left" vertical="center" wrapText="1"/>
    </xf>
    <xf numFmtId="0" fontId="4" fillId="0" borderId="11" xfId="0" applyFont="1" applyBorder="1" applyAlignment="1">
      <alignment horizontal="center" vertical="center" wrapText="1"/>
    </xf>
    <xf numFmtId="0" fontId="4" fillId="0" borderId="11" xfId="0" applyFont="1" applyBorder="1" applyAlignment="1">
      <alignment vertical="center"/>
    </xf>
    <xf numFmtId="0" fontId="4" fillId="0" borderId="11" xfId="0" applyFont="1" applyBorder="1" applyAlignment="1">
      <alignment horizontal="center" vertical="center"/>
    </xf>
    <xf numFmtId="17" fontId="4" fillId="0" borderId="11" xfId="0" applyNumberFormat="1" applyFont="1" applyBorder="1" applyAlignment="1">
      <alignment vertical="center"/>
    </xf>
    <xf numFmtId="164" fontId="4" fillId="0" borderId="11" xfId="0" applyNumberFormat="1" applyFont="1" applyBorder="1" applyAlignment="1">
      <alignment horizontal="center" vertical="center"/>
    </xf>
    <xf numFmtId="164" fontId="4" fillId="0" borderId="11" xfId="0" applyNumberFormat="1" applyFont="1" applyBorder="1" applyAlignment="1">
      <alignment horizontal="center" vertical="center" wrapText="1"/>
    </xf>
    <xf numFmtId="0" fontId="6" fillId="0" borderId="11" xfId="0" applyFont="1" applyBorder="1" applyAlignment="1">
      <alignment horizontal="center" vertical="center"/>
    </xf>
    <xf numFmtId="0" fontId="6" fillId="0" borderId="11" xfId="0" applyFont="1" applyBorder="1" applyAlignment="1">
      <alignment horizontal="center" vertical="center" wrapText="1"/>
    </xf>
    <xf numFmtId="0" fontId="2" fillId="0" borderId="11" xfId="1" applyBorder="1" applyAlignment="1">
      <alignment horizontal="left" vertical="center"/>
    </xf>
    <xf numFmtId="0" fontId="4" fillId="0" borderId="11" xfId="0" applyFont="1" applyBorder="1" applyAlignment="1">
      <alignment horizontal="left" vertical="center" wrapText="1"/>
    </xf>
    <xf numFmtId="0" fontId="15" fillId="0" borderId="11" xfId="1" applyFont="1" applyFill="1" applyBorder="1" applyAlignment="1">
      <alignment horizontal="left" vertical="center"/>
    </xf>
    <xf numFmtId="0" fontId="4" fillId="11" borderId="11" xfId="0" applyFont="1" applyFill="1" applyBorder="1" applyAlignment="1">
      <alignment horizontal="center" vertical="center" wrapText="1"/>
    </xf>
    <xf numFmtId="0" fontId="4" fillId="5" borderId="11" xfId="0" applyFont="1" applyFill="1" applyBorder="1" applyAlignment="1">
      <alignment horizontal="center" vertical="center"/>
    </xf>
    <xf numFmtId="0" fontId="6" fillId="5" borderId="11" xfId="0" applyFont="1" applyFill="1" applyBorder="1" applyAlignment="1">
      <alignment horizontal="center" vertical="center"/>
    </xf>
    <xf numFmtId="0" fontId="6" fillId="11" borderId="11" xfId="0" applyFont="1" applyFill="1" applyBorder="1" applyAlignment="1">
      <alignment horizontal="center" vertical="center" wrapText="1"/>
    </xf>
    <xf numFmtId="0" fontId="8" fillId="0" borderId="11" xfId="0" applyFont="1" applyBorder="1" applyAlignment="1">
      <alignment horizontal="left" vertical="center" wrapText="1"/>
    </xf>
    <xf numFmtId="0" fontId="4" fillId="3" borderId="11" xfId="0" applyFont="1" applyFill="1" applyBorder="1" applyAlignment="1">
      <alignment horizontal="center" vertical="center"/>
    </xf>
    <xf numFmtId="0" fontId="4" fillId="2" borderId="11" xfId="0" applyFont="1" applyFill="1" applyBorder="1" applyAlignment="1">
      <alignment horizontal="center" vertical="center"/>
    </xf>
    <xf numFmtId="0" fontId="4" fillId="8" borderId="11" xfId="0" applyFont="1" applyFill="1" applyBorder="1" applyAlignment="1">
      <alignment horizontal="center" vertical="center"/>
    </xf>
    <xf numFmtId="0" fontId="9" fillId="0" borderId="11" xfId="0" applyFont="1" applyBorder="1" applyAlignment="1">
      <alignment horizontal="center" vertical="center"/>
    </xf>
    <xf numFmtId="0" fontId="8" fillId="0" borderId="11" xfId="0" applyFont="1" applyBorder="1" applyAlignment="1">
      <alignment horizontal="center" vertical="center" wrapText="1"/>
    </xf>
    <xf numFmtId="0" fontId="2" fillId="0" borderId="0" xfId="1" applyAlignment="1">
      <alignment horizontal="left" vertical="center"/>
    </xf>
    <xf numFmtId="0" fontId="10" fillId="0" borderId="0" xfId="0" applyFont="1" applyAlignment="1">
      <alignment horizontal="left" vertical="center" wrapText="1"/>
    </xf>
    <xf numFmtId="0" fontId="10" fillId="4" borderId="0" xfId="0" applyFont="1" applyFill="1" applyAlignment="1">
      <alignment horizontal="left" vertical="center"/>
    </xf>
    <xf numFmtId="0" fontId="6" fillId="4" borderId="0" xfId="0" applyFont="1" applyFill="1" applyAlignment="1">
      <alignment vertical="center"/>
    </xf>
    <xf numFmtId="0" fontId="10" fillId="4" borderId="0" xfId="0" applyFont="1" applyFill="1" applyAlignment="1">
      <alignment vertical="center" wrapText="1"/>
    </xf>
    <xf numFmtId="0" fontId="6" fillId="0" borderId="11" xfId="0" applyFont="1" applyBorder="1" applyAlignment="1">
      <alignment vertical="center"/>
    </xf>
    <xf numFmtId="0" fontId="4" fillId="4" borderId="11" xfId="0" applyFont="1" applyFill="1" applyBorder="1" applyAlignment="1">
      <alignment vertical="center"/>
    </xf>
    <xf numFmtId="0" fontId="4" fillId="11" borderId="11" xfId="1" applyFont="1" applyFill="1" applyBorder="1" applyAlignment="1">
      <alignment horizontal="center" vertical="center" wrapText="1"/>
    </xf>
    <xf numFmtId="0" fontId="7" fillId="0" borderId="11" xfId="1" applyFont="1" applyBorder="1" applyAlignment="1">
      <alignment vertical="center"/>
    </xf>
    <xf numFmtId="0" fontId="6" fillId="5" borderId="11" xfId="0" applyFont="1" applyFill="1" applyBorder="1" applyAlignment="1">
      <alignment vertical="center"/>
    </xf>
    <xf numFmtId="0" fontId="7" fillId="11" borderId="11" xfId="1" applyFont="1" applyFill="1" applyBorder="1" applyAlignment="1">
      <alignment horizontal="center" vertical="center" wrapText="1"/>
    </xf>
    <xf numFmtId="0" fontId="15" fillId="0" borderId="11" xfId="1" applyFont="1" applyFill="1" applyBorder="1" applyAlignment="1">
      <alignment vertical="center"/>
    </xf>
    <xf numFmtId="0" fontId="2" fillId="0" borderId="11" xfId="1" applyFill="1" applyBorder="1" applyAlignment="1">
      <alignment vertical="center"/>
    </xf>
    <xf numFmtId="0" fontId="4" fillId="5" borderId="11" xfId="0" applyFont="1" applyFill="1" applyBorder="1" applyAlignment="1">
      <alignment vertical="center"/>
    </xf>
    <xf numFmtId="0" fontId="4" fillId="3" borderId="11" xfId="0" applyFont="1" applyFill="1" applyBorder="1" applyAlignment="1">
      <alignment vertical="center"/>
    </xf>
    <xf numFmtId="0" fontId="4" fillId="2" borderId="11" xfId="0" applyFont="1" applyFill="1" applyBorder="1" applyAlignment="1">
      <alignment vertical="center"/>
    </xf>
    <xf numFmtId="0" fontId="4" fillId="8" borderId="11" xfId="0" applyFont="1" applyFill="1" applyBorder="1" applyAlignment="1">
      <alignment vertical="center"/>
    </xf>
    <xf numFmtId="0" fontId="9" fillId="0" borderId="11" xfId="0" applyFont="1" applyBorder="1" applyAlignment="1">
      <alignment vertical="center"/>
    </xf>
    <xf numFmtId="0" fontId="15" fillId="0" borderId="11" xfId="1" applyFont="1" applyFill="1" applyBorder="1" applyAlignment="1">
      <alignment horizontal="center" vertical="center"/>
    </xf>
    <xf numFmtId="0" fontId="4" fillId="5" borderId="11" xfId="0" applyFont="1" applyFill="1" applyBorder="1" applyAlignment="1">
      <alignment horizontal="center" vertical="center" wrapText="1"/>
    </xf>
    <xf numFmtId="0" fontId="6" fillId="5" borderId="11" xfId="0" applyFont="1" applyFill="1" applyBorder="1" applyAlignment="1">
      <alignment horizontal="center" vertical="center" wrapText="1"/>
    </xf>
    <xf numFmtId="0" fontId="4" fillId="4" borderId="9" xfId="0" applyFont="1" applyFill="1" applyBorder="1" applyAlignment="1">
      <alignment vertical="center"/>
    </xf>
    <xf numFmtId="0" fontId="16" fillId="7" borderId="11" xfId="1" applyFont="1" applyFill="1" applyBorder="1" applyAlignment="1">
      <alignment horizontal="center" vertical="center" wrapText="1"/>
    </xf>
    <xf numFmtId="0" fontId="16" fillId="0" borderId="11" xfId="1" applyFont="1" applyFill="1" applyBorder="1" applyAlignment="1">
      <alignment horizontal="center" vertical="center" wrapText="1"/>
    </xf>
    <xf numFmtId="0" fontId="4" fillId="4" borderId="11" xfId="1" applyFont="1" applyFill="1" applyBorder="1" applyAlignment="1">
      <alignment horizontal="center" vertical="center" wrapText="1"/>
    </xf>
    <xf numFmtId="0" fontId="6" fillId="0" borderId="11" xfId="0" applyFont="1" applyBorder="1" applyAlignment="1">
      <alignment horizontal="left" vertical="center"/>
    </xf>
    <xf numFmtId="165" fontId="10" fillId="5" borderId="11" xfId="0" applyNumberFormat="1" applyFont="1" applyFill="1" applyBorder="1" applyAlignment="1">
      <alignment horizontal="center" vertical="center" wrapText="1"/>
    </xf>
    <xf numFmtId="0" fontId="7" fillId="0" borderId="11" xfId="1" applyFont="1" applyFill="1" applyBorder="1" applyAlignment="1">
      <alignment horizontal="center" vertical="center"/>
    </xf>
    <xf numFmtId="0" fontId="4" fillId="0" borderId="2" xfId="0" applyFont="1" applyBorder="1" applyAlignment="1">
      <alignment horizontal="center" vertical="center"/>
    </xf>
    <xf numFmtId="0" fontId="4" fillId="3" borderId="4" xfId="0" applyFont="1" applyFill="1" applyBorder="1" applyAlignment="1">
      <alignment horizontal="center" vertical="center"/>
    </xf>
    <xf numFmtId="0" fontId="4" fillId="2" borderId="4" xfId="0" applyFont="1" applyFill="1" applyBorder="1" applyAlignment="1">
      <alignment horizontal="center" vertical="center"/>
    </xf>
    <xf numFmtId="0" fontId="7" fillId="3" borderId="11" xfId="1" applyFont="1" applyFill="1" applyBorder="1" applyAlignment="1">
      <alignment horizontal="center" vertical="center" wrapText="1"/>
    </xf>
    <xf numFmtId="0" fontId="7" fillId="6" borderId="11" xfId="1" applyFont="1" applyFill="1" applyBorder="1" applyAlignment="1">
      <alignment horizontal="center" vertical="center" wrapText="1"/>
    </xf>
    <xf numFmtId="0" fontId="7" fillId="7" borderId="11" xfId="1" applyFont="1" applyFill="1" applyBorder="1" applyAlignment="1">
      <alignment horizontal="center" vertical="center" wrapText="1"/>
    </xf>
    <xf numFmtId="0" fontId="16" fillId="6" borderId="11" xfId="1" applyFont="1" applyFill="1" applyBorder="1" applyAlignment="1">
      <alignment horizontal="center" vertical="center" wrapText="1"/>
    </xf>
    <xf numFmtId="0" fontId="4" fillId="0" borderId="3" xfId="1" applyFont="1" applyFill="1" applyBorder="1" applyAlignment="1">
      <alignment horizontal="center" vertical="center" wrapText="1"/>
    </xf>
    <xf numFmtId="0" fontId="7" fillId="9" borderId="11" xfId="1" applyFont="1" applyFill="1" applyBorder="1" applyAlignment="1">
      <alignment horizontal="center" vertical="center"/>
    </xf>
    <xf numFmtId="0" fontId="7" fillId="9" borderId="11" xfId="1" applyFont="1" applyFill="1" applyBorder="1" applyAlignment="1">
      <alignment horizontal="center" vertical="center" wrapText="1"/>
    </xf>
    <xf numFmtId="0" fontId="4" fillId="0" borderId="3" xfId="1" applyFont="1" applyFill="1" applyBorder="1" applyAlignment="1">
      <alignment horizontal="left" vertical="center" wrapText="1"/>
    </xf>
    <xf numFmtId="0" fontId="6" fillId="0" borderId="11" xfId="0" applyFont="1" applyBorder="1" applyAlignment="1">
      <alignment horizontal="left" vertical="center" wrapText="1"/>
    </xf>
    <xf numFmtId="0" fontId="4" fillId="0" borderId="3" xfId="0" applyFont="1" applyBorder="1" applyAlignment="1">
      <alignment horizontal="center" vertical="center" wrapText="1"/>
    </xf>
    <xf numFmtId="164" fontId="4" fillId="0" borderId="3" xfId="0" applyNumberFormat="1" applyFont="1" applyBorder="1" applyAlignment="1">
      <alignment horizontal="center" vertical="center" wrapText="1"/>
    </xf>
    <xf numFmtId="164" fontId="6" fillId="0" borderId="11" xfId="0" applyNumberFormat="1" applyFont="1" applyBorder="1" applyAlignment="1">
      <alignment horizontal="center" vertical="center"/>
    </xf>
    <xf numFmtId="0" fontId="6" fillId="0" borderId="11" xfId="0" applyFont="1" applyBorder="1" applyAlignment="1">
      <alignment vertical="center" wrapText="1"/>
    </xf>
    <xf numFmtId="0" fontId="4" fillId="0" borderId="0" xfId="0" applyFont="1" applyAlignment="1">
      <alignment vertical="center"/>
    </xf>
    <xf numFmtId="17" fontId="4" fillId="0" borderId="3" xfId="0" applyNumberFormat="1" applyFont="1" applyBorder="1" applyAlignment="1">
      <alignment vertical="center"/>
    </xf>
    <xf numFmtId="164" fontId="4" fillId="0" borderId="3" xfId="0" applyNumberFormat="1" applyFont="1" applyBorder="1" applyAlignment="1">
      <alignment horizontal="center" vertical="center"/>
    </xf>
    <xf numFmtId="165" fontId="6" fillId="0" borderId="11" xfId="0" applyNumberFormat="1" applyFont="1" applyBorder="1" applyAlignment="1">
      <alignment horizontal="center" vertical="center"/>
    </xf>
    <xf numFmtId="165" fontId="4" fillId="0" borderId="11" xfId="0" applyNumberFormat="1" applyFont="1" applyBorder="1" applyAlignment="1">
      <alignment horizontal="center" vertical="center"/>
    </xf>
    <xf numFmtId="0" fontId="4" fillId="0" borderId="11" xfId="0" applyFont="1" applyBorder="1" applyAlignment="1">
      <alignment horizontal="left" vertical="center"/>
    </xf>
    <xf numFmtId="0" fontId="9" fillId="0" borderId="4" xfId="0" applyFont="1" applyBorder="1" applyAlignment="1">
      <alignment horizontal="center" vertical="center"/>
    </xf>
    <xf numFmtId="0" fontId="4" fillId="11" borderId="11" xfId="0" applyFont="1" applyFill="1" applyBorder="1" applyAlignment="1">
      <alignment horizontal="center" vertical="center"/>
    </xf>
    <xf numFmtId="0" fontId="16" fillId="7" borderId="3" xfId="1" applyFont="1" applyFill="1" applyBorder="1" applyAlignment="1">
      <alignment horizontal="center" vertical="center" wrapText="1"/>
    </xf>
    <xf numFmtId="0" fontId="2" fillId="0" borderId="11" xfId="1" applyFill="1" applyBorder="1" applyAlignment="1">
      <alignment horizontal="center" vertical="center" wrapText="1"/>
    </xf>
    <xf numFmtId="0" fontId="9" fillId="0" borderId="11" xfId="1" applyFont="1" applyFill="1" applyBorder="1" applyAlignment="1">
      <alignment horizontal="center" vertical="center" wrapText="1"/>
    </xf>
    <xf numFmtId="0" fontId="9" fillId="0" borderId="11" xfId="1" applyFont="1" applyFill="1" applyBorder="1" applyAlignment="1">
      <alignment horizontal="left" vertical="center" wrapText="1"/>
    </xf>
    <xf numFmtId="0" fontId="9" fillId="0" borderId="11" xfId="0" applyFont="1" applyBorder="1" applyAlignment="1">
      <alignment horizontal="center" vertical="center" wrapText="1"/>
    </xf>
    <xf numFmtId="164" fontId="9" fillId="0" borderId="11" xfId="0" applyNumberFormat="1" applyFont="1" applyBorder="1" applyAlignment="1">
      <alignment horizontal="center" vertical="center" wrapText="1"/>
    </xf>
    <xf numFmtId="0" fontId="4" fillId="0" borderId="11" xfId="0" quotePrefix="1" applyFont="1" applyBorder="1" applyAlignment="1">
      <alignment horizontal="center" vertical="center" wrapText="1"/>
    </xf>
    <xf numFmtId="17" fontId="9" fillId="0" borderId="11" xfId="0" applyNumberFormat="1" applyFont="1" applyBorder="1" applyAlignment="1">
      <alignment vertical="center"/>
    </xf>
    <xf numFmtId="164" fontId="9" fillId="0" borderId="11" xfId="0" applyNumberFormat="1" applyFont="1" applyBorder="1" applyAlignment="1">
      <alignment horizontal="center" vertical="center"/>
    </xf>
    <xf numFmtId="0" fontId="4" fillId="0" borderId="0" xfId="0" applyFont="1" applyAlignment="1">
      <alignment horizontal="center" vertical="center" wrapText="1"/>
    </xf>
    <xf numFmtId="0" fontId="4" fillId="4" borderId="11" xfId="1" applyFont="1" applyFill="1" applyBorder="1" applyAlignment="1">
      <alignment horizontal="left" vertical="center" wrapText="1"/>
    </xf>
    <xf numFmtId="0" fontId="4" fillId="4" borderId="11" xfId="0" applyFont="1" applyFill="1" applyBorder="1" applyAlignment="1">
      <alignment horizontal="center" vertical="center" wrapText="1"/>
    </xf>
    <xf numFmtId="164" fontId="4" fillId="4" borderId="11" xfId="0" applyNumberFormat="1" applyFont="1" applyFill="1" applyBorder="1" applyAlignment="1">
      <alignment horizontal="center" vertical="center"/>
    </xf>
    <xf numFmtId="17" fontId="4" fillId="4" borderId="11" xfId="0" applyNumberFormat="1" applyFont="1" applyFill="1" applyBorder="1" applyAlignment="1">
      <alignment vertical="center"/>
    </xf>
    <xf numFmtId="0" fontId="4" fillId="2" borderId="11" xfId="1" applyFont="1" applyFill="1" applyBorder="1" applyAlignment="1">
      <alignment horizontal="center" vertical="center" wrapText="1"/>
    </xf>
    <xf numFmtId="0" fontId="4" fillId="2" borderId="11" xfId="1" applyFont="1" applyFill="1" applyBorder="1" applyAlignment="1">
      <alignment horizontal="left" vertical="center" wrapText="1"/>
    </xf>
    <xf numFmtId="0" fontId="4" fillId="2" borderId="11" xfId="0" applyFont="1" applyFill="1" applyBorder="1" applyAlignment="1">
      <alignment horizontal="center" vertical="center" wrapText="1"/>
    </xf>
    <xf numFmtId="164" fontId="4" fillId="2" borderId="11" xfId="0" applyNumberFormat="1" applyFont="1" applyFill="1" applyBorder="1" applyAlignment="1">
      <alignment horizontal="center" vertical="center"/>
    </xf>
    <xf numFmtId="0" fontId="15" fillId="2" borderId="11" xfId="1" applyFont="1" applyFill="1" applyBorder="1" applyAlignment="1">
      <alignment vertical="center"/>
    </xf>
    <xf numFmtId="17" fontId="4" fillId="2" borderId="11" xfId="0" applyNumberFormat="1" applyFont="1" applyFill="1" applyBorder="1" applyAlignment="1">
      <alignment vertical="center"/>
    </xf>
    <xf numFmtId="0" fontId="2" fillId="0" borderId="11" xfId="1" applyBorder="1" applyAlignment="1">
      <alignment horizontal="center" vertical="center"/>
    </xf>
    <xf numFmtId="0" fontId="4" fillId="5" borderId="11" xfId="1" applyFont="1" applyFill="1" applyBorder="1" applyAlignment="1">
      <alignment horizontal="center" vertical="center" wrapText="1"/>
    </xf>
    <xf numFmtId="0" fontId="4" fillId="5" borderId="11" xfId="1" applyFont="1" applyFill="1" applyBorder="1" applyAlignment="1">
      <alignment horizontal="left" vertical="center" wrapText="1"/>
    </xf>
    <xf numFmtId="164" fontId="4" fillId="5" borderId="11" xfId="0" applyNumberFormat="1" applyFont="1" applyFill="1" applyBorder="1" applyAlignment="1">
      <alignment horizontal="center" vertical="center"/>
    </xf>
    <xf numFmtId="0" fontId="4" fillId="5" borderId="11" xfId="0" applyFont="1" applyFill="1" applyBorder="1" applyAlignment="1">
      <alignment horizontal="left" vertical="center"/>
    </xf>
    <xf numFmtId="0" fontId="15" fillId="5" borderId="11" xfId="1" applyFont="1" applyFill="1" applyBorder="1" applyAlignment="1">
      <alignment vertical="center"/>
    </xf>
    <xf numFmtId="17" fontId="4" fillId="5" borderId="11" xfId="0" applyNumberFormat="1" applyFont="1" applyFill="1" applyBorder="1" applyAlignment="1">
      <alignment vertical="center"/>
    </xf>
    <xf numFmtId="0" fontId="2" fillId="6" borderId="11" xfId="1" applyFill="1" applyBorder="1" applyAlignment="1">
      <alignment horizontal="center" vertical="center" wrapText="1"/>
    </xf>
    <xf numFmtId="0" fontId="16" fillId="4" borderId="11" xfId="1" applyFont="1" applyFill="1" applyBorder="1" applyAlignment="1">
      <alignment horizontal="center" vertical="center" wrapText="1"/>
    </xf>
    <xf numFmtId="0" fontId="4" fillId="4" borderId="11" xfId="1" applyFont="1" applyFill="1" applyBorder="1" applyAlignment="1">
      <alignment vertical="center" wrapText="1"/>
    </xf>
    <xf numFmtId="165" fontId="4" fillId="4" borderId="11" xfId="0" applyNumberFormat="1" applyFont="1" applyFill="1" applyBorder="1" applyAlignment="1">
      <alignment horizontal="center" vertical="center"/>
    </xf>
    <xf numFmtId="0" fontId="9" fillId="5" borderId="11" xfId="1" applyFont="1" applyFill="1" applyBorder="1" applyAlignment="1">
      <alignment horizontal="center" vertical="center" wrapText="1"/>
    </xf>
    <xf numFmtId="164" fontId="4" fillId="5" borderId="11" xfId="0" applyNumberFormat="1" applyFont="1" applyFill="1" applyBorder="1" applyAlignment="1">
      <alignment horizontal="center" vertical="center" wrapText="1"/>
    </xf>
    <xf numFmtId="164" fontId="4" fillId="2" borderId="11" xfId="0" applyNumberFormat="1" applyFont="1" applyFill="1" applyBorder="1" applyAlignment="1">
      <alignment horizontal="center" vertical="center" wrapText="1"/>
    </xf>
    <xf numFmtId="0" fontId="4" fillId="3" borderId="11" xfId="1" applyFont="1" applyFill="1" applyBorder="1" applyAlignment="1">
      <alignment horizontal="center" vertical="center" wrapText="1"/>
    </xf>
    <xf numFmtId="0" fontId="4" fillId="3" borderId="11" xfId="1" applyFont="1" applyFill="1" applyBorder="1" applyAlignment="1">
      <alignment horizontal="left" vertical="center" wrapText="1"/>
    </xf>
    <xf numFmtId="0" fontId="4" fillId="3" borderId="11" xfId="0" applyFont="1" applyFill="1" applyBorder="1" applyAlignment="1">
      <alignment horizontal="center" vertical="center" wrapText="1"/>
    </xf>
    <xf numFmtId="164" fontId="4" fillId="3" borderId="11" xfId="0" applyNumberFormat="1" applyFont="1" applyFill="1" applyBorder="1" applyAlignment="1">
      <alignment horizontal="center" vertical="center" wrapText="1"/>
    </xf>
    <xf numFmtId="17" fontId="4" fillId="3" borderId="11" xfId="0" applyNumberFormat="1" applyFont="1" applyFill="1" applyBorder="1" applyAlignment="1">
      <alignment vertical="center"/>
    </xf>
    <xf numFmtId="164" fontId="4" fillId="3" borderId="11" xfId="0" applyNumberFormat="1" applyFont="1" applyFill="1" applyBorder="1" applyAlignment="1">
      <alignment horizontal="center" vertical="center"/>
    </xf>
    <xf numFmtId="0" fontId="6" fillId="2" borderId="11" xfId="0" applyFont="1" applyFill="1" applyBorder="1" applyAlignment="1">
      <alignment vertical="center" wrapText="1"/>
    </xf>
    <xf numFmtId="0" fontId="2" fillId="7" borderId="11" xfId="1" applyFill="1" applyBorder="1" applyAlignment="1">
      <alignment horizontal="center" vertical="center"/>
    </xf>
    <xf numFmtId="0" fontId="6" fillId="12" borderId="11" xfId="0" applyFont="1" applyFill="1" applyBorder="1" applyAlignment="1">
      <alignment horizontal="left" vertical="center" wrapText="1"/>
    </xf>
    <xf numFmtId="164" fontId="4" fillId="4" borderId="11" xfId="0" applyNumberFormat="1" applyFont="1" applyFill="1" applyBorder="1" applyAlignment="1">
      <alignment horizontal="center" vertical="center" wrapText="1"/>
    </xf>
    <xf numFmtId="0" fontId="9" fillId="11" borderId="11" xfId="1" applyFont="1" applyFill="1" applyBorder="1" applyAlignment="1">
      <alignment horizontal="center" vertical="center" wrapText="1"/>
    </xf>
    <xf numFmtId="164" fontId="6" fillId="11" borderId="11" xfId="0" applyNumberFormat="1" applyFont="1" applyFill="1" applyBorder="1" applyAlignment="1">
      <alignment horizontal="center" vertical="center" wrapText="1"/>
    </xf>
    <xf numFmtId="165" fontId="10" fillId="11" borderId="11" xfId="0" applyNumberFormat="1" applyFont="1" applyFill="1" applyBorder="1" applyAlignment="1">
      <alignment horizontal="center" vertical="center" wrapText="1"/>
    </xf>
    <xf numFmtId="0" fontId="2" fillId="0" borderId="11" xfId="1" applyFill="1" applyBorder="1" applyAlignment="1">
      <alignment horizontal="center" vertical="center"/>
    </xf>
    <xf numFmtId="0" fontId="4" fillId="5" borderId="11" xfId="0" applyFont="1" applyFill="1" applyBorder="1" applyAlignment="1">
      <alignment horizontal="left" vertical="center" wrapText="1"/>
    </xf>
    <xf numFmtId="0" fontId="15" fillId="5" borderId="11" xfId="1" applyFont="1" applyFill="1" applyBorder="1" applyAlignment="1">
      <alignment horizontal="left" vertical="center"/>
    </xf>
    <xf numFmtId="0" fontId="2" fillId="3" borderId="11" xfId="1" applyFill="1" applyBorder="1" applyAlignment="1">
      <alignment horizontal="center" vertical="center" wrapText="1"/>
    </xf>
    <xf numFmtId="0" fontId="2" fillId="0" borderId="11" xfId="1" applyFill="1" applyBorder="1" applyAlignment="1">
      <alignment horizontal="left" vertical="center" wrapText="1"/>
    </xf>
    <xf numFmtId="0" fontId="23" fillId="0" borderId="11" xfId="1" applyFont="1" applyFill="1" applyBorder="1" applyAlignment="1">
      <alignment horizontal="center" vertical="center" wrapText="1"/>
    </xf>
    <xf numFmtId="164" fontId="5" fillId="5" borderId="11" xfId="0" applyNumberFormat="1" applyFont="1" applyFill="1" applyBorder="1" applyAlignment="1">
      <alignment horizontal="center" vertical="center" wrapText="1"/>
    </xf>
    <xf numFmtId="0" fontId="20" fillId="5" borderId="11" xfId="0" applyFont="1" applyFill="1" applyBorder="1" applyAlignment="1">
      <alignment horizontal="center" vertical="center" wrapText="1"/>
    </xf>
    <xf numFmtId="3" fontId="10" fillId="5" borderId="11" xfId="0" applyNumberFormat="1" applyFont="1" applyFill="1" applyBorder="1" applyAlignment="1">
      <alignment horizontal="center" vertical="center" wrapText="1"/>
    </xf>
    <xf numFmtId="14" fontId="6" fillId="5" borderId="11" xfId="0" applyNumberFormat="1" applyFont="1" applyFill="1" applyBorder="1" applyAlignment="1">
      <alignment horizontal="center" vertical="center" wrapText="1"/>
    </xf>
    <xf numFmtId="0" fontId="4" fillId="5" borderId="11" xfId="1" applyFont="1" applyFill="1" applyBorder="1" applyAlignment="1">
      <alignment vertical="center" wrapText="1"/>
    </xf>
    <xf numFmtId="165" fontId="4" fillId="5" borderId="11" xfId="0" applyNumberFormat="1" applyFont="1" applyFill="1" applyBorder="1" applyAlignment="1">
      <alignment horizontal="center" vertical="center"/>
    </xf>
    <xf numFmtId="164" fontId="4" fillId="11" borderId="11" xfId="0" applyNumberFormat="1" applyFont="1" applyFill="1" applyBorder="1" applyAlignment="1">
      <alignment horizontal="center" vertical="center" wrapText="1"/>
    </xf>
    <xf numFmtId="0" fontId="19" fillId="11" borderId="11" xfId="0" applyFont="1" applyFill="1" applyBorder="1" applyAlignment="1">
      <alignment horizontal="center" vertical="center" wrapText="1"/>
    </xf>
    <xf numFmtId="165" fontId="14" fillId="11" borderId="11" xfId="0" applyNumberFormat="1" applyFont="1" applyFill="1" applyBorder="1" applyAlignment="1">
      <alignment horizontal="center" vertical="center" wrapText="1"/>
    </xf>
    <xf numFmtId="0" fontId="15" fillId="5" borderId="11" xfId="1" applyFont="1" applyFill="1" applyBorder="1" applyAlignment="1">
      <alignment horizontal="center" vertical="center"/>
    </xf>
    <xf numFmtId="0" fontId="9" fillId="5" borderId="11" xfId="1" applyFont="1" applyFill="1" applyBorder="1" applyAlignment="1">
      <alignment horizontal="center" vertical="center"/>
    </xf>
    <xf numFmtId="0" fontId="6" fillId="5" borderId="11" xfId="0" applyFont="1" applyFill="1" applyBorder="1" applyAlignment="1">
      <alignment horizontal="left" vertical="center" wrapText="1"/>
    </xf>
    <xf numFmtId="0" fontId="6" fillId="5" borderId="11" xfId="0" applyFont="1" applyFill="1" applyBorder="1" applyAlignment="1">
      <alignment vertical="center" wrapText="1"/>
    </xf>
    <xf numFmtId="165" fontId="6" fillId="5" borderId="11" xfId="0" applyNumberFormat="1" applyFont="1" applyFill="1" applyBorder="1" applyAlignment="1">
      <alignment horizontal="center" vertical="center"/>
    </xf>
    <xf numFmtId="0" fontId="6" fillId="11" borderId="11" xfId="0" applyFont="1" applyFill="1" applyBorder="1" applyAlignment="1">
      <alignment horizontal="left" vertical="center" wrapText="1"/>
    </xf>
    <xf numFmtId="0" fontId="4" fillId="0" borderId="0" xfId="0" applyFont="1" applyAlignment="1">
      <alignment horizontal="center" vertical="center"/>
    </xf>
    <xf numFmtId="14" fontId="4" fillId="0" borderId="3" xfId="0" applyNumberFormat="1" applyFont="1" applyBorder="1" applyAlignment="1">
      <alignment horizontal="center" vertical="center"/>
    </xf>
    <xf numFmtId="14" fontId="4" fillId="0" borderId="11" xfId="0" applyNumberFormat="1" applyFont="1" applyBorder="1" applyAlignment="1">
      <alignment horizontal="center" vertical="center"/>
    </xf>
    <xf numFmtId="14" fontId="4" fillId="3" borderId="11" xfId="0" applyNumberFormat="1" applyFont="1" applyFill="1" applyBorder="1" applyAlignment="1">
      <alignment horizontal="center" vertical="center"/>
    </xf>
    <xf numFmtId="14" fontId="4" fillId="5" borderId="11" xfId="0" applyNumberFormat="1" applyFont="1" applyFill="1" applyBorder="1" applyAlignment="1">
      <alignment horizontal="center" vertical="center"/>
    </xf>
    <xf numFmtId="14" fontId="9" fillId="0" borderId="11" xfId="0" applyNumberFormat="1" applyFont="1" applyBorder="1" applyAlignment="1">
      <alignment horizontal="center" vertical="center"/>
    </xf>
    <xf numFmtId="14" fontId="4" fillId="0" borderId="11" xfId="1" applyNumberFormat="1" applyFont="1" applyFill="1" applyBorder="1" applyAlignment="1">
      <alignment horizontal="center" vertical="center" wrapText="1"/>
    </xf>
    <xf numFmtId="14" fontId="4" fillId="2" borderId="11" xfId="0" applyNumberFormat="1" applyFont="1" applyFill="1" applyBorder="1" applyAlignment="1">
      <alignment horizontal="center" vertical="center"/>
    </xf>
    <xf numFmtId="14" fontId="4" fillId="4" borderId="11" xfId="0" applyNumberFormat="1" applyFont="1" applyFill="1" applyBorder="1" applyAlignment="1">
      <alignment horizontal="center" vertical="center"/>
    </xf>
    <xf numFmtId="14" fontId="4" fillId="11" borderId="11" xfId="0" applyNumberFormat="1" applyFont="1" applyFill="1" applyBorder="1" applyAlignment="1">
      <alignment horizontal="center" vertical="center" wrapText="1"/>
    </xf>
    <xf numFmtId="14" fontId="6" fillId="5" borderId="11" xfId="0" applyNumberFormat="1" applyFont="1" applyFill="1" applyBorder="1" applyAlignment="1">
      <alignment horizontal="center" vertical="center"/>
    </xf>
    <xf numFmtId="1" fontId="6" fillId="0" borderId="11" xfId="0" applyNumberFormat="1" applyFont="1" applyBorder="1" applyAlignment="1">
      <alignment horizontal="center" vertical="center"/>
    </xf>
    <xf numFmtId="0" fontId="15" fillId="0" borderId="11" xfId="1" applyFont="1" applyFill="1" applyBorder="1" applyAlignment="1">
      <alignment horizontal="center" vertical="center" wrapText="1"/>
    </xf>
    <xf numFmtId="1" fontId="4" fillId="0" borderId="11" xfId="0" applyNumberFormat="1" applyFont="1" applyBorder="1" applyAlignment="1">
      <alignment horizontal="center" vertical="center"/>
    </xf>
    <xf numFmtId="0" fontId="2" fillId="6" borderId="11" xfId="1" applyFill="1" applyBorder="1" applyAlignment="1">
      <alignment horizontal="center" vertical="center"/>
    </xf>
    <xf numFmtId="0" fontId="4" fillId="0" borderId="12" xfId="0" applyFont="1" applyBorder="1" applyAlignment="1">
      <alignment horizontal="center" vertical="center"/>
    </xf>
    <xf numFmtId="164" fontId="4" fillId="0" borderId="12" xfId="0" applyNumberFormat="1" applyFont="1" applyBorder="1" applyAlignment="1">
      <alignment horizontal="center" vertical="center"/>
    </xf>
    <xf numFmtId="0" fontId="4" fillId="0" borderId="12" xfId="0" applyFont="1" applyBorder="1" applyAlignment="1">
      <alignment horizontal="center" vertical="center" wrapText="1"/>
    </xf>
    <xf numFmtId="0" fontId="4" fillId="0" borderId="12" xfId="0" applyFont="1" applyBorder="1" applyAlignment="1">
      <alignment vertical="center"/>
    </xf>
    <xf numFmtId="0" fontId="4" fillId="0" borderId="13" xfId="0" applyFont="1" applyBorder="1" applyAlignment="1">
      <alignment horizontal="center" vertical="center"/>
    </xf>
    <xf numFmtId="0" fontId="4" fillId="0" borderId="13" xfId="0" applyFont="1" applyBorder="1" applyAlignment="1">
      <alignment horizontal="center" vertical="center" wrapText="1"/>
    </xf>
    <xf numFmtId="164" fontId="4" fillId="0" borderId="13" xfId="0" applyNumberFormat="1" applyFont="1" applyBorder="1" applyAlignment="1">
      <alignment horizontal="center" vertical="center"/>
    </xf>
    <xf numFmtId="0" fontId="4" fillId="0" borderId="13" xfId="0" applyFont="1" applyBorder="1" applyAlignment="1">
      <alignment vertical="center"/>
    </xf>
    <xf numFmtId="0" fontId="2" fillId="7" borderId="12" xfId="1" applyFill="1" applyBorder="1" applyAlignment="1">
      <alignment horizontal="center" vertical="center" wrapText="1"/>
    </xf>
    <xf numFmtId="0" fontId="29" fillId="0" borderId="13" xfId="0" applyFont="1" applyBorder="1"/>
    <xf numFmtId="0" fontId="4" fillId="4" borderId="0" xfId="0" applyFont="1" applyFill="1" applyAlignment="1">
      <alignment horizontal="center" vertical="center"/>
    </xf>
    <xf numFmtId="0" fontId="4" fillId="0" borderId="14" xfId="0" applyFont="1" applyBorder="1" applyAlignment="1">
      <alignment horizontal="center" vertical="center"/>
    </xf>
    <xf numFmtId="0" fontId="2" fillId="0" borderId="14" xfId="1" applyFill="1" applyBorder="1" applyAlignment="1">
      <alignment horizontal="center" vertical="center" wrapText="1"/>
    </xf>
    <xf numFmtId="0" fontId="4" fillId="0" borderId="14" xfId="0" applyFont="1" applyBorder="1" applyAlignment="1">
      <alignment horizontal="left" vertical="center" wrapText="1"/>
    </xf>
    <xf numFmtId="0" fontId="4" fillId="0" borderId="14" xfId="0" applyFont="1" applyBorder="1" applyAlignment="1">
      <alignment horizontal="center" vertical="center" wrapText="1"/>
    </xf>
    <xf numFmtId="164" fontId="4" fillId="0" borderId="14" xfId="0" applyNumberFormat="1" applyFont="1" applyBorder="1" applyAlignment="1">
      <alignment horizontal="center" vertical="center"/>
    </xf>
    <xf numFmtId="0" fontId="4" fillId="0" borderId="14" xfId="0" applyFont="1" applyBorder="1" applyAlignment="1">
      <alignment vertical="center"/>
    </xf>
    <xf numFmtId="0" fontId="2" fillId="7" borderId="13" xfId="1" applyFill="1" applyBorder="1" applyAlignment="1">
      <alignment horizontal="center" vertical="center" wrapText="1"/>
    </xf>
    <xf numFmtId="0" fontId="4" fillId="4" borderId="13" xfId="0" applyFont="1" applyFill="1" applyBorder="1" applyAlignment="1">
      <alignment vertical="center"/>
    </xf>
    <xf numFmtId="0" fontId="6" fillId="0" borderId="13" xfId="0" applyFont="1" applyBorder="1" applyAlignment="1">
      <alignment vertical="center"/>
    </xf>
    <xf numFmtId="0" fontId="11" fillId="8" borderId="15" xfId="0" applyFont="1" applyFill="1" applyBorder="1" applyAlignment="1">
      <alignment horizontal="center" vertical="center" wrapText="1"/>
    </xf>
    <xf numFmtId="0" fontId="11" fillId="8" borderId="16" xfId="0" applyFont="1" applyFill="1" applyBorder="1" applyAlignment="1">
      <alignment horizontal="center" vertical="center" wrapText="1"/>
    </xf>
    <xf numFmtId="0" fontId="13" fillId="8" borderId="16" xfId="0" applyFont="1" applyFill="1" applyBorder="1" applyAlignment="1">
      <alignment horizontal="center" vertical="center" wrapText="1"/>
    </xf>
    <xf numFmtId="0" fontId="2" fillId="6" borderId="13" xfId="1" applyFill="1" applyBorder="1" applyAlignment="1">
      <alignment horizontal="center" vertical="center" wrapText="1"/>
    </xf>
    <xf numFmtId="0" fontId="4" fillId="0" borderId="0" xfId="1" applyFont="1" applyFill="1" applyBorder="1" applyAlignment="1">
      <alignment horizontal="center" vertical="center" wrapText="1"/>
    </xf>
    <xf numFmtId="0" fontId="4" fillId="0" borderId="12" xfId="1" applyFont="1" applyFill="1" applyBorder="1" applyAlignment="1">
      <alignment horizontal="center" vertical="center" wrapText="1"/>
    </xf>
    <xf numFmtId="0" fontId="4" fillId="0" borderId="13" xfId="1" applyFont="1" applyFill="1" applyBorder="1" applyAlignment="1">
      <alignment horizontal="center" vertical="center" wrapText="1"/>
    </xf>
    <xf numFmtId="0" fontId="4" fillId="0" borderId="12" xfId="1" applyFont="1" applyFill="1" applyBorder="1" applyAlignment="1">
      <alignment horizontal="left" vertical="center" wrapText="1"/>
    </xf>
    <xf numFmtId="0" fontId="4" fillId="0" borderId="13" xfId="1" applyFont="1" applyFill="1" applyBorder="1" applyAlignment="1">
      <alignment horizontal="left" vertical="center" wrapText="1"/>
    </xf>
    <xf numFmtId="0" fontId="27" fillId="0" borderId="11" xfId="0" applyFont="1" applyBorder="1"/>
    <xf numFmtId="0" fontId="4" fillId="4" borderId="0" xfId="0" applyFont="1" applyFill="1" applyAlignment="1">
      <alignment vertical="center"/>
    </xf>
    <xf numFmtId="0" fontId="15" fillId="0" borderId="12" xfId="1" applyFont="1" applyFill="1" applyBorder="1" applyAlignment="1">
      <alignment horizontal="center" vertical="center" wrapText="1"/>
    </xf>
    <xf numFmtId="0" fontId="15" fillId="0" borderId="13" xfId="1" applyFont="1" applyFill="1" applyBorder="1" applyAlignment="1">
      <alignment horizontal="center" vertical="center" wrapText="1"/>
    </xf>
    <xf numFmtId="0" fontId="6" fillId="0" borderId="12" xfId="0" applyFont="1" applyBorder="1" applyAlignment="1">
      <alignment horizontal="center" vertical="center"/>
    </xf>
    <xf numFmtId="0" fontId="6" fillId="0" borderId="13" xfId="0" applyFont="1" applyBorder="1" applyAlignment="1">
      <alignment horizontal="center" vertical="center"/>
    </xf>
    <xf numFmtId="1" fontId="4" fillId="0" borderId="13" xfId="0" applyNumberFormat="1" applyFont="1" applyBorder="1" applyAlignment="1">
      <alignment horizontal="center" vertical="center"/>
    </xf>
    <xf numFmtId="1" fontId="4" fillId="0" borderId="12" xfId="0" applyNumberFormat="1" applyFont="1" applyBorder="1" applyAlignment="1">
      <alignment horizontal="center" vertical="center"/>
    </xf>
    <xf numFmtId="1" fontId="6" fillId="0" borderId="12" xfId="0" applyNumberFormat="1" applyFont="1" applyBorder="1" applyAlignment="1">
      <alignment horizontal="center" vertical="center"/>
    </xf>
    <xf numFmtId="0" fontId="4" fillId="5" borderId="0" xfId="0" applyFont="1" applyFill="1" applyAlignment="1">
      <alignment vertical="center"/>
    </xf>
    <xf numFmtId="0" fontId="6" fillId="0" borderId="7" xfId="0" applyFont="1" applyBorder="1" applyAlignment="1">
      <alignment vertical="center"/>
    </xf>
    <xf numFmtId="0" fontId="6" fillId="0" borderId="12" xfId="0" applyFont="1" applyBorder="1" applyAlignment="1">
      <alignment vertical="center"/>
    </xf>
    <xf numFmtId="0" fontId="4" fillId="0" borderId="17" xfId="0" applyFont="1" applyBorder="1" applyAlignment="1">
      <alignment horizontal="center" vertical="center"/>
    </xf>
    <xf numFmtId="0" fontId="4" fillId="0" borderId="17" xfId="0" applyFont="1" applyBorder="1" applyAlignment="1">
      <alignment horizontal="left" vertical="center" wrapText="1"/>
    </xf>
    <xf numFmtId="0" fontId="4" fillId="0" borderId="17" xfId="0" applyFont="1" applyBorder="1" applyAlignment="1">
      <alignment horizontal="center" vertical="center" wrapText="1"/>
    </xf>
    <xf numFmtId="164" fontId="4" fillId="0" borderId="17" xfId="0" applyNumberFormat="1" applyFont="1" applyBorder="1" applyAlignment="1">
      <alignment horizontal="center" vertical="center"/>
    </xf>
    <xf numFmtId="0" fontId="4" fillId="0" borderId="17" xfId="0" applyFont="1" applyBorder="1" applyAlignment="1">
      <alignment vertical="center"/>
    </xf>
    <xf numFmtId="0" fontId="4" fillId="4" borderId="17" xfId="0" applyFont="1" applyFill="1" applyBorder="1" applyAlignment="1">
      <alignment horizontal="center" vertical="center"/>
    </xf>
    <xf numFmtId="0" fontId="4" fillId="4" borderId="14" xfId="0" applyFont="1" applyFill="1" applyBorder="1" applyAlignment="1">
      <alignment horizontal="center" vertical="center"/>
    </xf>
    <xf numFmtId="0" fontId="4" fillId="0" borderId="18" xfId="0" applyFont="1" applyBorder="1" applyAlignment="1">
      <alignment horizontal="center" vertical="center"/>
    </xf>
    <xf numFmtId="0" fontId="4" fillId="0" borderId="18" xfId="0" applyFont="1" applyBorder="1" applyAlignment="1">
      <alignment horizontal="center" vertical="center" wrapText="1"/>
    </xf>
    <xf numFmtId="164" fontId="4" fillId="0" borderId="18" xfId="0" applyNumberFormat="1" applyFont="1" applyBorder="1" applyAlignment="1">
      <alignment horizontal="center" vertical="center"/>
    </xf>
    <xf numFmtId="0" fontId="4" fillId="0" borderId="19" xfId="0" applyFont="1" applyBorder="1" applyAlignment="1">
      <alignment horizontal="center" vertical="center"/>
    </xf>
    <xf numFmtId="0" fontId="2" fillId="7" borderId="17" xfId="1" applyFill="1" applyBorder="1" applyAlignment="1">
      <alignment horizontal="center" vertical="center" wrapText="1"/>
    </xf>
    <xf numFmtId="0" fontId="4" fillId="2" borderId="14" xfId="0" applyFont="1" applyFill="1" applyBorder="1" applyAlignment="1">
      <alignment horizontal="center" vertical="center"/>
    </xf>
    <xf numFmtId="0" fontId="4" fillId="4" borderId="17" xfId="0" applyFont="1" applyFill="1" applyBorder="1" applyAlignment="1">
      <alignment vertical="center"/>
    </xf>
    <xf numFmtId="0" fontId="2" fillId="7" borderId="14" xfId="1" applyFill="1" applyBorder="1" applyAlignment="1">
      <alignment horizontal="center" vertical="center" wrapText="1"/>
    </xf>
    <xf numFmtId="0" fontId="4" fillId="0" borderId="17" xfId="0" applyFont="1" applyBorder="1" applyAlignment="1">
      <alignment vertical="center" wrapText="1"/>
    </xf>
    <xf numFmtId="0" fontId="2" fillId="0" borderId="18" xfId="1" applyFill="1" applyBorder="1" applyAlignment="1">
      <alignment horizontal="center" vertical="center"/>
    </xf>
    <xf numFmtId="0" fontId="2" fillId="0" borderId="17" xfId="1" applyFill="1" applyBorder="1" applyAlignment="1">
      <alignment horizontal="center" vertical="center" wrapText="1"/>
    </xf>
    <xf numFmtId="0" fontId="4" fillId="0" borderId="21" xfId="0" applyFont="1" applyBorder="1" applyAlignment="1">
      <alignment horizontal="center" vertical="center"/>
    </xf>
    <xf numFmtId="0" fontId="4" fillId="0" borderId="21" xfId="0" applyFont="1" applyBorder="1" applyAlignment="1">
      <alignment vertical="center"/>
    </xf>
    <xf numFmtId="0" fontId="4" fillId="0" borderId="21" xfId="0" applyFont="1" applyBorder="1" applyAlignment="1">
      <alignment vertical="center" wrapText="1"/>
    </xf>
    <xf numFmtId="0" fontId="4" fillId="0" borderId="21" xfId="0" applyFont="1" applyBorder="1" applyAlignment="1">
      <alignment horizontal="center" vertical="center" wrapText="1"/>
    </xf>
    <xf numFmtId="164" fontId="4" fillId="0" borderId="21" xfId="0" applyNumberFormat="1" applyFont="1" applyBorder="1" applyAlignment="1">
      <alignment horizontal="center" vertical="center"/>
    </xf>
    <xf numFmtId="0" fontId="4" fillId="0" borderId="21" xfId="0" applyFont="1" applyBorder="1" applyAlignment="1">
      <alignment horizontal="left" vertical="center"/>
    </xf>
    <xf numFmtId="0" fontId="2" fillId="7" borderId="21" xfId="1" applyFill="1" applyBorder="1" applyAlignment="1">
      <alignment horizontal="center" vertical="center" wrapText="1"/>
    </xf>
    <xf numFmtId="0" fontId="4" fillId="0" borderId="22" xfId="0" applyFont="1" applyBorder="1" applyAlignment="1">
      <alignment horizontal="center" vertical="center"/>
    </xf>
    <xf numFmtId="0" fontId="4" fillId="0" borderId="22" xfId="0" applyFont="1" applyBorder="1" applyAlignment="1">
      <alignment vertical="center"/>
    </xf>
    <xf numFmtId="0" fontId="4" fillId="0" borderId="22" xfId="0" applyFont="1" applyBorder="1" applyAlignment="1">
      <alignment vertical="center" wrapText="1"/>
    </xf>
    <xf numFmtId="0" fontId="4" fillId="0" borderId="22" xfId="0" applyFont="1" applyBorder="1" applyAlignment="1">
      <alignment horizontal="center" vertical="center" wrapText="1"/>
    </xf>
    <xf numFmtId="164" fontId="4" fillId="0" borderId="22" xfId="0" applyNumberFormat="1" applyFont="1" applyBorder="1" applyAlignment="1">
      <alignment horizontal="center" vertical="center"/>
    </xf>
    <xf numFmtId="0" fontId="4" fillId="0" borderId="22" xfId="0" applyFont="1" applyBorder="1" applyAlignment="1">
      <alignment horizontal="left" vertical="center"/>
    </xf>
    <xf numFmtId="0" fontId="2" fillId="7" borderId="22" xfId="1" applyFill="1" applyBorder="1" applyAlignment="1">
      <alignment horizontal="center" vertical="center" wrapText="1"/>
    </xf>
    <xf numFmtId="0" fontId="4" fillId="0" borderId="23" xfId="0" applyFont="1" applyBorder="1" applyAlignment="1">
      <alignment horizontal="center" vertical="center"/>
    </xf>
    <xf numFmtId="0" fontId="4" fillId="0" borderId="23" xfId="0" applyFont="1" applyBorder="1" applyAlignment="1">
      <alignment vertical="center"/>
    </xf>
    <xf numFmtId="0" fontId="4" fillId="0" borderId="23" xfId="0" applyFont="1" applyBorder="1" applyAlignment="1">
      <alignment horizontal="center" vertical="center" wrapText="1"/>
    </xf>
    <xf numFmtId="164" fontId="4" fillId="0" borderId="23" xfId="0" applyNumberFormat="1" applyFont="1" applyBorder="1" applyAlignment="1">
      <alignment horizontal="center" vertical="center"/>
    </xf>
    <xf numFmtId="0" fontId="4" fillId="0" borderId="23" xfId="0" applyFont="1" applyBorder="1" applyAlignment="1">
      <alignment horizontal="left" vertical="center"/>
    </xf>
    <xf numFmtId="0" fontId="4" fillId="4" borderId="23" xfId="0" applyFont="1" applyFill="1" applyBorder="1" applyAlignment="1">
      <alignment vertical="center"/>
    </xf>
    <xf numFmtId="0" fontId="6" fillId="0" borderId="23" xfId="0" applyFont="1" applyBorder="1" applyAlignment="1">
      <alignment horizontal="center" vertical="center"/>
    </xf>
    <xf numFmtId="0" fontId="6" fillId="0" borderId="23" xfId="0" applyFont="1" applyBorder="1" applyAlignment="1">
      <alignment horizontal="center" vertical="center" wrapText="1"/>
    </xf>
    <xf numFmtId="1" fontId="6" fillId="0" borderId="23" xfId="0" applyNumberFormat="1" applyFont="1" applyBorder="1" applyAlignment="1">
      <alignment horizontal="center" vertical="center"/>
    </xf>
    <xf numFmtId="0" fontId="4" fillId="0" borderId="24" xfId="0" applyFont="1" applyBorder="1" applyAlignment="1">
      <alignment horizontal="center" vertical="center"/>
    </xf>
    <xf numFmtId="164" fontId="4" fillId="0" borderId="24" xfId="0" applyNumberFormat="1" applyFont="1" applyBorder="1" applyAlignment="1">
      <alignment horizontal="center" vertical="center"/>
    </xf>
    <xf numFmtId="0" fontId="4" fillId="0" borderId="24" xfId="0" applyFont="1" applyBorder="1" applyAlignment="1">
      <alignment horizontal="center" vertical="center" wrapText="1"/>
    </xf>
    <xf numFmtId="0" fontId="4" fillId="0" borderId="24" xfId="0" applyFont="1" applyBorder="1" applyAlignment="1">
      <alignment horizontal="left" vertical="center"/>
    </xf>
    <xf numFmtId="0" fontId="4" fillId="0" borderId="24" xfId="0" applyFont="1" applyBorder="1" applyAlignment="1">
      <alignment vertical="center"/>
    </xf>
    <xf numFmtId="0" fontId="2" fillId="7" borderId="23" xfId="1" applyFill="1" applyBorder="1" applyAlignment="1">
      <alignment horizontal="center" vertical="center" wrapText="1"/>
    </xf>
    <xf numFmtId="0" fontId="2" fillId="7" borderId="23" xfId="1" applyFill="1" applyBorder="1" applyAlignment="1">
      <alignment horizontal="center" vertical="center"/>
    </xf>
    <xf numFmtId="1" fontId="4" fillId="0" borderId="24" xfId="0" applyNumberFormat="1" applyFont="1" applyBorder="1" applyAlignment="1">
      <alignment horizontal="center" vertical="center"/>
    </xf>
    <xf numFmtId="0" fontId="6" fillId="0" borderId="24" xfId="0" applyFont="1" applyBorder="1" applyAlignment="1">
      <alignment horizontal="center" vertical="center"/>
    </xf>
    <xf numFmtId="0" fontId="6" fillId="0" borderId="24" xfId="0" applyFont="1" applyBorder="1" applyAlignment="1">
      <alignment horizontal="center" vertical="center" wrapText="1"/>
    </xf>
    <xf numFmtId="0" fontId="6" fillId="0" borderId="24" xfId="0" applyFont="1" applyBorder="1" applyAlignment="1">
      <alignment horizontal="left" vertical="center"/>
    </xf>
    <xf numFmtId="1" fontId="6" fillId="0" borderId="24" xfId="0" applyNumberFormat="1" applyFont="1" applyBorder="1" applyAlignment="1">
      <alignment horizontal="center" vertical="center"/>
    </xf>
    <xf numFmtId="0" fontId="4" fillId="0" borderId="24" xfId="0" applyFont="1" applyBorder="1" applyAlignment="1">
      <alignment vertical="center" wrapText="1"/>
    </xf>
    <xf numFmtId="0" fontId="2" fillId="7" borderId="24" xfId="1" applyFill="1" applyBorder="1" applyAlignment="1">
      <alignment horizontal="center" vertical="center" wrapText="1"/>
    </xf>
    <xf numFmtId="0" fontId="2" fillId="7" borderId="24" xfId="1" applyFill="1" applyBorder="1" applyAlignment="1">
      <alignment horizontal="center" vertical="center"/>
    </xf>
    <xf numFmtId="0" fontId="16" fillId="4" borderId="24" xfId="1" applyFont="1" applyFill="1" applyBorder="1" applyAlignment="1">
      <alignment horizontal="center" vertical="center" wrapText="1"/>
    </xf>
    <xf numFmtId="0" fontId="31" fillId="0" borderId="11" xfId="0" applyFont="1" applyBorder="1" applyAlignment="1">
      <alignment horizontal="center" vertical="center"/>
    </xf>
    <xf numFmtId="0" fontId="4" fillId="0" borderId="12" xfId="0" applyFont="1" applyBorder="1" applyAlignment="1">
      <alignment vertical="center" wrapText="1"/>
    </xf>
    <xf numFmtId="14" fontId="4" fillId="4" borderId="11" xfId="0" applyNumberFormat="1" applyFont="1" applyFill="1" applyBorder="1" applyAlignment="1">
      <alignment horizontal="center" vertical="center" wrapText="1"/>
    </xf>
    <xf numFmtId="14" fontId="2" fillId="4" borderId="11" xfId="1" applyNumberFormat="1" applyFill="1" applyBorder="1" applyAlignment="1">
      <alignment horizontal="center" vertical="center" wrapText="1"/>
    </xf>
    <xf numFmtId="0" fontId="4" fillId="0" borderId="25" xfId="0" applyFont="1" applyBorder="1" applyAlignment="1">
      <alignment horizontal="center" vertical="center"/>
    </xf>
    <xf numFmtId="0" fontId="6" fillId="0" borderId="24" xfId="0" applyFont="1" applyBorder="1" applyAlignment="1">
      <alignment vertical="center"/>
    </xf>
    <xf numFmtId="0" fontId="2" fillId="0" borderId="24" xfId="1" applyFill="1" applyBorder="1" applyAlignment="1">
      <alignment horizontal="center" vertical="center"/>
    </xf>
    <xf numFmtId="0" fontId="6" fillId="14" borderId="11" xfId="0" applyFont="1" applyFill="1" applyBorder="1" applyAlignment="1">
      <alignment horizontal="center" vertical="center"/>
    </xf>
    <xf numFmtId="0" fontId="2" fillId="8" borderId="11" xfId="1" applyFill="1" applyBorder="1" applyAlignment="1">
      <alignment horizontal="center" vertical="center" wrapText="1"/>
    </xf>
    <xf numFmtId="0" fontId="2" fillId="0" borderId="0" xfId="1" applyAlignment="1">
      <alignment vertical="center" wrapText="1"/>
    </xf>
    <xf numFmtId="0" fontId="6" fillId="8" borderId="24" xfId="0" applyFont="1" applyFill="1" applyBorder="1" applyAlignment="1">
      <alignment horizontal="center" vertical="center"/>
    </xf>
    <xf numFmtId="14" fontId="16" fillId="8" borderId="24" xfId="1" applyNumberFormat="1" applyFont="1" applyFill="1" applyBorder="1" applyAlignment="1">
      <alignment horizontal="center" vertical="center" wrapText="1"/>
    </xf>
    <xf numFmtId="0" fontId="2" fillId="8" borderId="0" xfId="1" applyFill="1" applyAlignment="1">
      <alignment horizontal="center" vertical="center" wrapText="1"/>
    </xf>
    <xf numFmtId="14" fontId="16" fillId="8" borderId="11" xfId="1" applyNumberFormat="1" applyFont="1" applyFill="1" applyBorder="1" applyAlignment="1">
      <alignment horizontal="center" vertical="center" wrapText="1"/>
    </xf>
    <xf numFmtId="0" fontId="16" fillId="8" borderId="13" xfId="1" applyFont="1" applyFill="1" applyBorder="1" applyAlignment="1">
      <alignment horizontal="center" vertical="center" wrapText="1"/>
    </xf>
    <xf numFmtId="0" fontId="4" fillId="8" borderId="12" xfId="0" applyFont="1" applyFill="1" applyBorder="1" applyAlignment="1">
      <alignment horizontal="center" vertical="center"/>
    </xf>
    <xf numFmtId="0" fontId="16" fillId="8" borderId="11" xfId="1" applyFont="1" applyFill="1" applyBorder="1" applyAlignment="1">
      <alignment horizontal="center" vertical="center" wrapText="1"/>
    </xf>
    <xf numFmtId="0" fontId="4" fillId="8" borderId="24" xfId="0" applyFont="1" applyFill="1" applyBorder="1" applyAlignment="1">
      <alignment horizontal="center" vertical="center"/>
    </xf>
    <xf numFmtId="0" fontId="2" fillId="6" borderId="24" xfId="1" applyFill="1" applyBorder="1" applyAlignment="1">
      <alignment horizontal="center" vertical="center" wrapText="1"/>
    </xf>
    <xf numFmtId="0" fontId="4" fillId="8" borderId="23" xfId="0" applyFont="1" applyFill="1" applyBorder="1" applyAlignment="1">
      <alignment horizontal="center" vertical="center"/>
    </xf>
    <xf numFmtId="0" fontId="16" fillId="8" borderId="23" xfId="1" applyFont="1" applyFill="1" applyBorder="1" applyAlignment="1">
      <alignment horizontal="center" vertical="center" wrapText="1"/>
    </xf>
    <xf numFmtId="0" fontId="16" fillId="8" borderId="21" xfId="1" applyFont="1" applyFill="1" applyBorder="1" applyAlignment="1">
      <alignment horizontal="center" vertical="center" wrapText="1"/>
    </xf>
    <xf numFmtId="0" fontId="16" fillId="8" borderId="17" xfId="1" applyFont="1" applyFill="1" applyBorder="1" applyAlignment="1">
      <alignment horizontal="center" vertical="center" wrapText="1"/>
    </xf>
    <xf numFmtId="14" fontId="16" fillId="8" borderId="18" xfId="1" applyNumberFormat="1" applyFont="1" applyFill="1" applyBorder="1" applyAlignment="1">
      <alignment horizontal="center" vertical="center" wrapText="1"/>
    </xf>
    <xf numFmtId="0" fontId="16" fillId="8" borderId="12" xfId="1" applyFont="1" applyFill="1" applyBorder="1" applyAlignment="1">
      <alignment horizontal="center" vertical="center" wrapText="1"/>
    </xf>
    <xf numFmtId="0" fontId="4" fillId="0" borderId="18" xfId="0" applyFont="1" applyBorder="1" applyAlignment="1">
      <alignment horizontal="left" vertical="center"/>
    </xf>
    <xf numFmtId="0" fontId="16" fillId="8" borderId="24" xfId="1" applyFont="1" applyFill="1" applyBorder="1" applyAlignment="1">
      <alignment horizontal="center" vertical="center" wrapText="1"/>
    </xf>
    <xf numFmtId="0" fontId="6" fillId="8" borderId="12" xfId="0" applyFont="1" applyFill="1" applyBorder="1" applyAlignment="1">
      <alignment horizontal="center" vertical="center"/>
    </xf>
    <xf numFmtId="0" fontId="4" fillId="8" borderId="18" xfId="0" applyFont="1" applyFill="1" applyBorder="1" applyAlignment="1">
      <alignment horizontal="center" vertical="center"/>
    </xf>
    <xf numFmtId="0" fontId="4" fillId="8" borderId="17" xfId="0" applyFont="1" applyFill="1" applyBorder="1" applyAlignment="1">
      <alignment horizontal="center" vertical="center"/>
    </xf>
    <xf numFmtId="0" fontId="4" fillId="8" borderId="22" xfId="0" applyFont="1" applyFill="1" applyBorder="1" applyAlignment="1">
      <alignment horizontal="center" vertical="center"/>
    </xf>
    <xf numFmtId="14" fontId="2" fillId="8" borderId="24" xfId="1" applyNumberFormat="1" applyFill="1" applyBorder="1" applyAlignment="1">
      <alignment horizontal="center" vertical="center" wrapText="1"/>
    </xf>
    <xf numFmtId="0" fontId="2" fillId="7" borderId="0" xfId="1" applyFill="1" applyAlignment="1">
      <alignment horizontal="center" vertical="center" wrapText="1"/>
    </xf>
    <xf numFmtId="0" fontId="2" fillId="4" borderId="24" xfId="1" applyFill="1" applyBorder="1" applyAlignment="1">
      <alignment horizontal="center" vertical="center" wrapText="1"/>
    </xf>
    <xf numFmtId="0" fontId="4" fillId="0" borderId="24" xfId="1" applyFont="1" applyFill="1" applyBorder="1" applyAlignment="1">
      <alignment horizontal="center" vertical="center" wrapText="1"/>
    </xf>
    <xf numFmtId="0" fontId="4" fillId="0" borderId="24" xfId="1" applyFont="1" applyFill="1" applyBorder="1" applyAlignment="1">
      <alignment horizontal="left" vertical="center" wrapText="1"/>
    </xf>
    <xf numFmtId="14" fontId="4" fillId="0" borderId="24" xfId="0" applyNumberFormat="1" applyFont="1" applyBorder="1" applyAlignment="1">
      <alignment horizontal="center" vertical="center"/>
    </xf>
    <xf numFmtId="17" fontId="4" fillId="0" borderId="24" xfId="0" applyNumberFormat="1" applyFont="1" applyBorder="1" applyAlignment="1">
      <alignment vertical="center"/>
    </xf>
    <xf numFmtId="0" fontId="27" fillId="0" borderId="0" xfId="0" applyFont="1" applyAlignment="1">
      <alignment horizontal="left" wrapText="1"/>
    </xf>
    <xf numFmtId="0" fontId="27" fillId="0" borderId="24" xfId="0" applyFont="1" applyBorder="1" applyAlignment="1">
      <alignment horizontal="left" wrapText="1"/>
    </xf>
    <xf numFmtId="0" fontId="16" fillId="8" borderId="0" xfId="1" applyFont="1" applyFill="1" applyAlignment="1">
      <alignment horizontal="center" vertical="center" wrapText="1"/>
    </xf>
    <xf numFmtId="0" fontId="29" fillId="0" borderId="0" xfId="0" applyFont="1"/>
    <xf numFmtId="0" fontId="0" fillId="0" borderId="0" xfId="0" applyAlignment="1">
      <alignment wrapText="1"/>
    </xf>
    <xf numFmtId="0" fontId="2" fillId="8" borderId="5" xfId="1" applyFill="1" applyBorder="1" applyAlignment="1">
      <alignment horizontal="center" vertical="center" wrapText="1"/>
    </xf>
    <xf numFmtId="0" fontId="2" fillId="0" borderId="24" xfId="1" applyFill="1" applyBorder="1" applyAlignment="1">
      <alignment horizontal="left" vertical="center"/>
    </xf>
    <xf numFmtId="0" fontId="4" fillId="0" borderId="26" xfId="0" applyFont="1" applyBorder="1" applyAlignment="1">
      <alignment horizontal="center" vertical="center"/>
    </xf>
    <xf numFmtId="0" fontId="4" fillId="0" borderId="26" xfId="0" applyFont="1" applyBorder="1" applyAlignment="1">
      <alignment horizontal="center" vertical="center" wrapText="1"/>
    </xf>
    <xf numFmtId="0" fontId="4" fillId="0" borderId="26" xfId="0" applyFont="1" applyBorder="1" applyAlignment="1">
      <alignment vertical="center"/>
    </xf>
    <xf numFmtId="0" fontId="4" fillId="0" borderId="27" xfId="0" applyFont="1" applyBorder="1" applyAlignment="1">
      <alignment horizontal="center" vertical="center"/>
    </xf>
    <xf numFmtId="0" fontId="4" fillId="0" borderId="27" xfId="0" applyFont="1" applyBorder="1" applyAlignment="1">
      <alignment horizontal="center" vertical="center" wrapText="1"/>
    </xf>
    <xf numFmtId="0" fontId="4" fillId="0" borderId="27" xfId="0" applyFont="1" applyBorder="1" applyAlignment="1">
      <alignment vertical="center"/>
    </xf>
    <xf numFmtId="0" fontId="4" fillId="0" borderId="28" xfId="0" applyFont="1" applyBorder="1" applyAlignment="1">
      <alignment horizontal="center" vertical="center"/>
    </xf>
    <xf numFmtId="0" fontId="4" fillId="0" borderId="28" xfId="0" applyFont="1" applyBorder="1" applyAlignment="1">
      <alignment horizontal="center" vertical="center" wrapText="1"/>
    </xf>
    <xf numFmtId="164" fontId="4" fillId="0" borderId="28" xfId="0" applyNumberFormat="1" applyFont="1" applyBorder="1" applyAlignment="1">
      <alignment horizontal="center" vertical="center"/>
    </xf>
    <xf numFmtId="0" fontId="4" fillId="0" borderId="28" xfId="0" applyFont="1" applyBorder="1" applyAlignment="1">
      <alignment vertical="center"/>
    </xf>
    <xf numFmtId="0" fontId="2" fillId="7" borderId="26" xfId="1" applyFill="1" applyBorder="1" applyAlignment="1">
      <alignment horizontal="center" vertical="center"/>
    </xf>
    <xf numFmtId="0" fontId="18" fillId="0" borderId="0" xfId="0" applyFont="1" applyAlignment="1">
      <alignment horizontal="center" vertical="center"/>
    </xf>
    <xf numFmtId="0" fontId="4" fillId="0" borderId="17" xfId="0" applyFont="1" applyBorder="1" applyAlignment="1">
      <alignment horizontal="left" vertical="center"/>
    </xf>
    <xf numFmtId="0" fontId="4" fillId="4" borderId="11" xfId="0" applyFont="1" applyFill="1" applyBorder="1" applyAlignment="1">
      <alignment horizontal="left" vertical="center"/>
    </xf>
    <xf numFmtId="0" fontId="4" fillId="0" borderId="26" xfId="0" applyFont="1" applyBorder="1" applyAlignment="1">
      <alignment horizontal="left" vertical="center"/>
    </xf>
    <xf numFmtId="0" fontId="4" fillId="0" borderId="27" xfId="0" applyFont="1" applyBorder="1" applyAlignment="1">
      <alignment horizontal="left" vertical="center"/>
    </xf>
    <xf numFmtId="0" fontId="4" fillId="0" borderId="28" xfId="0" applyFont="1" applyBorder="1" applyAlignment="1">
      <alignment horizontal="left" vertical="center"/>
    </xf>
    <xf numFmtId="0" fontId="2" fillId="7" borderId="28" xfId="1" applyFill="1" applyBorder="1" applyAlignment="1">
      <alignment horizontal="center" vertical="center" wrapText="1"/>
    </xf>
    <xf numFmtId="0" fontId="2" fillId="7" borderId="27" xfId="1" applyFill="1" applyBorder="1" applyAlignment="1">
      <alignment horizontal="center" vertical="center"/>
    </xf>
    <xf numFmtId="0" fontId="6" fillId="0" borderId="24" xfId="0" applyFont="1" applyBorder="1" applyAlignment="1">
      <alignment horizontal="left" vertical="center" wrapText="1"/>
    </xf>
    <xf numFmtId="0" fontId="4" fillId="0" borderId="26" xfId="0" applyFont="1" applyBorder="1" applyAlignment="1">
      <alignment horizontal="left" vertical="center" wrapText="1"/>
    </xf>
    <xf numFmtId="0" fontId="4" fillId="0" borderId="27" xfId="0" applyFont="1" applyBorder="1" applyAlignment="1">
      <alignment horizontal="left" vertical="center" wrapText="1"/>
    </xf>
    <xf numFmtId="1" fontId="6" fillId="0" borderId="28" xfId="0" applyNumberFormat="1" applyFont="1" applyBorder="1" applyAlignment="1">
      <alignment horizontal="center" vertical="center"/>
    </xf>
    <xf numFmtId="0" fontId="16" fillId="8" borderId="27" xfId="1" applyFont="1" applyFill="1" applyBorder="1" applyAlignment="1">
      <alignment horizontal="center" vertical="center" wrapText="1"/>
    </xf>
    <xf numFmtId="0" fontId="4" fillId="0" borderId="29" xfId="0" applyFont="1" applyBorder="1" applyAlignment="1">
      <alignment horizontal="center" vertical="center"/>
    </xf>
    <xf numFmtId="0" fontId="2" fillId="7" borderId="29" xfId="1" applyFill="1" applyBorder="1" applyAlignment="1">
      <alignment horizontal="center" vertical="center" wrapText="1"/>
    </xf>
    <xf numFmtId="0" fontId="4" fillId="0" borderId="29" xfId="0" applyFont="1" applyBorder="1" applyAlignment="1">
      <alignment horizontal="center" vertical="center" wrapText="1"/>
    </xf>
    <xf numFmtId="164" fontId="4" fillId="0" borderId="29" xfId="0" applyNumberFormat="1" applyFont="1" applyBorder="1" applyAlignment="1">
      <alignment horizontal="center" vertical="center"/>
    </xf>
    <xf numFmtId="0" fontId="4" fillId="0" borderId="29" xfId="0" applyFont="1" applyBorder="1" applyAlignment="1">
      <alignment horizontal="left" vertical="center"/>
    </xf>
    <xf numFmtId="0" fontId="4" fillId="0" borderId="29" xfId="0" applyFont="1" applyBorder="1" applyAlignment="1">
      <alignment vertical="center"/>
    </xf>
    <xf numFmtId="0" fontId="4" fillId="5" borderId="6" xfId="0" applyFont="1" applyFill="1" applyBorder="1" applyAlignment="1">
      <alignment horizontal="center" vertical="center"/>
    </xf>
    <xf numFmtId="0" fontId="4" fillId="5" borderId="14" xfId="0" applyFont="1" applyFill="1" applyBorder="1" applyAlignment="1">
      <alignment horizontal="center" vertical="center"/>
    </xf>
    <xf numFmtId="0" fontId="28" fillId="7" borderId="26" xfId="1" applyFont="1" applyFill="1" applyBorder="1" applyAlignment="1">
      <alignment horizontal="center" vertical="center"/>
    </xf>
    <xf numFmtId="1" fontId="4" fillId="0" borderId="28" xfId="0" applyNumberFormat="1" applyFont="1" applyBorder="1" applyAlignment="1">
      <alignment horizontal="center" vertical="center"/>
    </xf>
    <xf numFmtId="0" fontId="4" fillId="0" borderId="30" xfId="0" applyFont="1" applyBorder="1" applyAlignment="1">
      <alignment horizontal="center" vertical="center"/>
    </xf>
    <xf numFmtId="0" fontId="4" fillId="0" borderId="31" xfId="0" applyFont="1" applyBorder="1" applyAlignment="1">
      <alignment horizontal="center" vertical="center"/>
    </xf>
    <xf numFmtId="0" fontId="4" fillId="0" borderId="31" xfId="0" applyFont="1" applyBorder="1" applyAlignment="1">
      <alignment horizontal="center" vertical="center" wrapText="1"/>
    </xf>
    <xf numFmtId="164" fontId="4" fillId="0" borderId="31" xfId="0" applyNumberFormat="1" applyFont="1" applyBorder="1" applyAlignment="1">
      <alignment horizontal="center" vertical="center"/>
    </xf>
    <xf numFmtId="0" fontId="4" fillId="0" borderId="31" xfId="0" applyFont="1" applyBorder="1" applyAlignment="1">
      <alignment horizontal="left" vertical="center"/>
    </xf>
    <xf numFmtId="0" fontId="4" fillId="0" borderId="31" xfId="0" applyFont="1" applyBorder="1" applyAlignment="1">
      <alignment vertical="center"/>
    </xf>
    <xf numFmtId="14" fontId="4" fillId="0" borderId="0" xfId="0" applyNumberFormat="1" applyFont="1" applyAlignment="1">
      <alignment horizontal="center" vertical="center"/>
    </xf>
    <xf numFmtId="0" fontId="4" fillId="0" borderId="9" xfId="0" applyFont="1" applyBorder="1" applyAlignment="1">
      <alignment horizontal="center" vertical="center"/>
    </xf>
    <xf numFmtId="0" fontId="4" fillId="0" borderId="33" xfId="0" applyFont="1" applyBorder="1" applyAlignment="1">
      <alignment horizontal="center" vertical="center"/>
    </xf>
    <xf numFmtId="0" fontId="4" fillId="0" borderId="33" xfId="0" applyFont="1" applyBorder="1" applyAlignment="1">
      <alignment horizontal="center" vertical="center" wrapText="1"/>
    </xf>
    <xf numFmtId="164" fontId="4" fillId="0" borderId="33" xfId="0" applyNumberFormat="1" applyFont="1" applyBorder="1" applyAlignment="1">
      <alignment horizontal="center" vertical="center"/>
    </xf>
    <xf numFmtId="0" fontId="4" fillId="0" borderId="33" xfId="0" applyFont="1" applyBorder="1" applyAlignment="1">
      <alignment horizontal="left" vertical="center"/>
    </xf>
    <xf numFmtId="0" fontId="4" fillId="0" borderId="33" xfId="0" applyFont="1" applyBorder="1" applyAlignment="1">
      <alignment vertical="center"/>
    </xf>
    <xf numFmtId="0" fontId="4" fillId="4" borderId="33" xfId="0" applyFont="1" applyFill="1" applyBorder="1" applyAlignment="1">
      <alignment horizontal="center" vertical="center"/>
    </xf>
    <xf numFmtId="0" fontId="4" fillId="4" borderId="34" xfId="0" applyFont="1" applyFill="1" applyBorder="1" applyAlignment="1">
      <alignment horizontal="center" vertical="center"/>
    </xf>
    <xf numFmtId="0" fontId="2" fillId="6" borderId="18" xfId="1" applyFill="1" applyBorder="1" applyAlignment="1">
      <alignment horizontal="center" vertical="center" wrapText="1"/>
    </xf>
    <xf numFmtId="0" fontId="2" fillId="7" borderId="31" xfId="1" applyFill="1" applyBorder="1" applyAlignment="1">
      <alignment horizontal="center" vertical="center" wrapText="1"/>
    </xf>
    <xf numFmtId="0" fontId="4" fillId="0" borderId="34" xfId="0" applyFont="1" applyBorder="1" applyAlignment="1">
      <alignment horizontal="center" vertical="center"/>
    </xf>
    <xf numFmtId="0" fontId="4" fillId="0" borderId="34" xfId="0" applyFont="1" applyBorder="1" applyAlignment="1">
      <alignment horizontal="center" vertical="center" wrapText="1"/>
    </xf>
    <xf numFmtId="164" fontId="4" fillId="0" borderId="34" xfId="0" applyNumberFormat="1" applyFont="1" applyBorder="1" applyAlignment="1">
      <alignment horizontal="center" vertical="center"/>
    </xf>
    <xf numFmtId="0" fontId="4" fillId="0" borderId="34" xfId="0" applyFont="1" applyBorder="1" applyAlignment="1">
      <alignment horizontal="left" vertical="center"/>
    </xf>
    <xf numFmtId="0" fontId="4" fillId="0" borderId="34" xfId="0" applyFont="1" applyBorder="1" applyAlignment="1">
      <alignment vertical="center"/>
    </xf>
    <xf numFmtId="0" fontId="2" fillId="7" borderId="33" xfId="1" applyFill="1" applyBorder="1" applyAlignment="1">
      <alignment horizontal="center" vertical="center" wrapText="1"/>
    </xf>
    <xf numFmtId="0" fontId="2" fillId="6" borderId="33" xfId="1" applyFill="1" applyBorder="1" applyAlignment="1">
      <alignment horizontal="center" vertical="center" wrapText="1"/>
    </xf>
    <xf numFmtId="0" fontId="4" fillId="0" borderId="35" xfId="0" applyFont="1" applyBorder="1" applyAlignment="1">
      <alignment horizontal="center" vertical="center"/>
    </xf>
    <xf numFmtId="0" fontId="4" fillId="0" borderId="35" xfId="0" applyFont="1" applyBorder="1" applyAlignment="1">
      <alignment horizontal="center" vertical="center" wrapText="1"/>
    </xf>
    <xf numFmtId="164" fontId="4" fillId="0" borderId="35" xfId="0" applyNumberFormat="1" applyFont="1" applyBorder="1" applyAlignment="1">
      <alignment horizontal="center" vertical="center"/>
    </xf>
    <xf numFmtId="0" fontId="4" fillId="0" borderId="35" xfId="0" applyFont="1" applyBorder="1" applyAlignment="1">
      <alignment horizontal="left" vertical="center"/>
    </xf>
    <xf numFmtId="0" fontId="4" fillId="0" borderId="36" xfId="0" applyFont="1" applyBorder="1" applyAlignment="1">
      <alignment horizontal="center" vertical="center"/>
    </xf>
    <xf numFmtId="0" fontId="4" fillId="0" borderId="36" xfId="0" applyFont="1" applyBorder="1" applyAlignment="1">
      <alignment horizontal="center" vertical="center" wrapText="1"/>
    </xf>
    <xf numFmtId="164" fontId="4" fillId="0" borderId="36" xfId="0" applyNumberFormat="1" applyFont="1" applyBorder="1" applyAlignment="1">
      <alignment horizontal="center" vertical="center"/>
    </xf>
    <xf numFmtId="0" fontId="4" fillId="0" borderId="37" xfId="0" applyFont="1" applyBorder="1" applyAlignment="1">
      <alignment horizontal="center" vertical="center"/>
    </xf>
    <xf numFmtId="0" fontId="4" fillId="0" borderId="37" xfId="0" applyFont="1" applyBorder="1" applyAlignment="1">
      <alignment horizontal="center" vertical="center" wrapText="1"/>
    </xf>
    <xf numFmtId="164" fontId="4" fillId="0" borderId="37" xfId="0" applyNumberFormat="1" applyFont="1" applyBorder="1" applyAlignment="1">
      <alignment horizontal="center" vertical="center"/>
    </xf>
    <xf numFmtId="0" fontId="4" fillId="0" borderId="37" xfId="0" applyFont="1" applyBorder="1" applyAlignment="1">
      <alignment horizontal="left" vertical="center"/>
    </xf>
    <xf numFmtId="0" fontId="4" fillId="0" borderId="35" xfId="0" applyFont="1" applyBorder="1" applyAlignment="1">
      <alignment vertical="center"/>
    </xf>
    <xf numFmtId="1" fontId="4" fillId="0" borderId="36" xfId="0" applyNumberFormat="1" applyFont="1" applyBorder="1" applyAlignment="1">
      <alignment horizontal="center" vertical="center"/>
    </xf>
    <xf numFmtId="0" fontId="4" fillId="0" borderId="36" xfId="0" applyFont="1" applyBorder="1" applyAlignment="1">
      <alignment vertical="center"/>
    </xf>
    <xf numFmtId="0" fontId="4" fillId="0" borderId="37" xfId="0" applyFont="1" applyBorder="1" applyAlignment="1">
      <alignment vertical="center"/>
    </xf>
    <xf numFmtId="0" fontId="4" fillId="0" borderId="31" xfId="0" applyFont="1" applyBorder="1" applyAlignment="1">
      <alignment horizontal="left" vertical="center" wrapText="1"/>
    </xf>
    <xf numFmtId="0" fontId="16" fillId="8" borderId="31" xfId="1" applyFont="1" applyFill="1" applyBorder="1" applyAlignment="1">
      <alignment horizontal="center" vertical="center" wrapText="1"/>
    </xf>
    <xf numFmtId="0" fontId="2" fillId="7" borderId="35" xfId="1" applyFill="1" applyBorder="1" applyAlignment="1">
      <alignment horizontal="center" vertical="center" wrapText="1"/>
    </xf>
    <xf numFmtId="0" fontId="4" fillId="0" borderId="38" xfId="0" applyFont="1" applyBorder="1" applyAlignment="1">
      <alignment horizontal="center" vertical="center"/>
    </xf>
    <xf numFmtId="0" fontId="4" fillId="0" borderId="38" xfId="0" applyFont="1" applyBorder="1" applyAlignment="1">
      <alignment horizontal="center" vertical="center" wrapText="1"/>
    </xf>
    <xf numFmtId="164" fontId="4" fillId="0" borderId="38" xfId="0" applyNumberFormat="1" applyFont="1" applyBorder="1" applyAlignment="1">
      <alignment horizontal="center" vertical="center"/>
    </xf>
    <xf numFmtId="0" fontId="4" fillId="0" borderId="38" xfId="0" applyFont="1" applyBorder="1" applyAlignment="1">
      <alignment horizontal="left" vertical="center"/>
    </xf>
    <xf numFmtId="0" fontId="4" fillId="0" borderId="38" xfId="0" applyFont="1" applyBorder="1" applyAlignment="1">
      <alignment vertical="center"/>
    </xf>
    <xf numFmtId="0" fontId="2" fillId="7" borderId="37" xfId="1" applyFill="1" applyBorder="1" applyAlignment="1">
      <alignment horizontal="center" vertical="center" wrapText="1"/>
    </xf>
    <xf numFmtId="0" fontId="4" fillId="0" borderId="39" xfId="0" applyFont="1" applyBorder="1" applyAlignment="1">
      <alignment horizontal="center" vertical="center"/>
    </xf>
    <xf numFmtId="0" fontId="4" fillId="0" borderId="39" xfId="0" applyFont="1" applyBorder="1" applyAlignment="1">
      <alignment horizontal="center" vertical="center" wrapText="1"/>
    </xf>
    <xf numFmtId="164" fontId="4" fillId="0" borderId="39" xfId="0" applyNumberFormat="1" applyFont="1" applyBorder="1" applyAlignment="1">
      <alignment horizontal="center" vertical="center"/>
    </xf>
    <xf numFmtId="0" fontId="4" fillId="0" borderId="39" xfId="0" applyFont="1" applyBorder="1" applyAlignment="1">
      <alignment horizontal="left" vertical="center"/>
    </xf>
    <xf numFmtId="14" fontId="4" fillId="0" borderId="39" xfId="0" applyNumberFormat="1" applyFont="1" applyBorder="1" applyAlignment="1">
      <alignment horizontal="center" vertical="center"/>
    </xf>
    <xf numFmtId="0" fontId="4" fillId="0" borderId="39" xfId="0" applyFont="1" applyBorder="1" applyAlignment="1">
      <alignment vertical="center"/>
    </xf>
    <xf numFmtId="0" fontId="2" fillId="7" borderId="39" xfId="1" applyFill="1" applyBorder="1" applyAlignment="1">
      <alignment horizontal="center" vertical="center" wrapText="1"/>
    </xf>
    <xf numFmtId="0" fontId="4" fillId="8" borderId="28" xfId="0" applyFont="1" applyFill="1" applyBorder="1" applyAlignment="1">
      <alignment horizontal="center" vertical="center"/>
    </xf>
    <xf numFmtId="0" fontId="4" fillId="0" borderId="40" xfId="0" applyFont="1" applyBorder="1" applyAlignment="1">
      <alignment horizontal="center" vertical="center"/>
    </xf>
    <xf numFmtId="0" fontId="6" fillId="0" borderId="39" xfId="0" applyFont="1" applyBorder="1" applyAlignment="1">
      <alignment vertical="center"/>
    </xf>
    <xf numFmtId="1" fontId="4" fillId="0" borderId="39" xfId="0" applyNumberFormat="1" applyFont="1" applyBorder="1" applyAlignment="1">
      <alignment horizontal="center" vertical="center"/>
    </xf>
    <xf numFmtId="0" fontId="6" fillId="0" borderId="39" xfId="0" applyFont="1" applyBorder="1" applyAlignment="1">
      <alignment horizontal="center" vertical="center"/>
    </xf>
    <xf numFmtId="0" fontId="4" fillId="0" borderId="39" xfId="0" applyFont="1" applyBorder="1" applyAlignment="1">
      <alignment horizontal="left" vertical="center" wrapText="1"/>
    </xf>
    <xf numFmtId="0" fontId="4" fillId="0" borderId="41" xfId="0" applyFont="1" applyBorder="1" applyAlignment="1">
      <alignment horizontal="center" vertical="center"/>
    </xf>
    <xf numFmtId="0" fontId="4" fillId="0" borderId="41" xfId="0" applyFont="1" applyBorder="1" applyAlignment="1">
      <alignment horizontal="center" vertical="center" wrapText="1"/>
    </xf>
    <xf numFmtId="164" fontId="4" fillId="0" borderId="41" xfId="0" applyNumberFormat="1" applyFont="1" applyBorder="1" applyAlignment="1">
      <alignment horizontal="center" vertical="center"/>
    </xf>
    <xf numFmtId="0" fontId="4" fillId="0" borderId="41" xfId="0" applyFont="1" applyBorder="1" applyAlignment="1">
      <alignment vertical="center"/>
    </xf>
    <xf numFmtId="0" fontId="2" fillId="7" borderId="39" xfId="1" applyFill="1" applyBorder="1" applyAlignment="1">
      <alignment horizontal="center" vertical="center"/>
    </xf>
    <xf numFmtId="0" fontId="4" fillId="0" borderId="42" xfId="0" applyFont="1" applyBorder="1" applyAlignment="1">
      <alignment horizontal="center" vertical="center"/>
    </xf>
    <xf numFmtId="0" fontId="4" fillId="0" borderId="42" xfId="0" applyFont="1" applyBorder="1" applyAlignment="1">
      <alignment horizontal="center" vertical="center" wrapText="1"/>
    </xf>
    <xf numFmtId="164" fontId="4" fillId="0" borderId="42" xfId="0" applyNumberFormat="1" applyFont="1" applyBorder="1" applyAlignment="1">
      <alignment horizontal="center" vertical="center"/>
    </xf>
    <xf numFmtId="0" fontId="4" fillId="0" borderId="42" xfId="0" applyFont="1" applyBorder="1" applyAlignment="1">
      <alignment horizontal="left" vertical="center"/>
    </xf>
    <xf numFmtId="14" fontId="4" fillId="0" borderId="42" xfId="0" applyNumberFormat="1" applyFont="1" applyBorder="1" applyAlignment="1">
      <alignment horizontal="center" vertical="center"/>
    </xf>
    <xf numFmtId="1" fontId="4" fillId="0" borderId="42" xfId="0" applyNumberFormat="1" applyFont="1" applyBorder="1" applyAlignment="1">
      <alignment horizontal="center" vertical="center"/>
    </xf>
    <xf numFmtId="0" fontId="4" fillId="0" borderId="42" xfId="0" applyFont="1" applyBorder="1" applyAlignment="1">
      <alignment vertical="center"/>
    </xf>
    <xf numFmtId="0" fontId="4" fillId="0" borderId="42" xfId="0" applyFont="1" applyBorder="1" applyAlignment="1">
      <alignment horizontal="left" vertical="center" wrapText="1"/>
    </xf>
    <xf numFmtId="0" fontId="2" fillId="7" borderId="42" xfId="1" applyFill="1" applyBorder="1" applyAlignment="1">
      <alignment horizontal="center" vertical="center" wrapText="1"/>
    </xf>
    <xf numFmtId="0" fontId="2" fillId="10" borderId="0" xfId="1" applyFill="1" applyBorder="1" applyAlignment="1">
      <alignment horizontal="center" vertical="center"/>
    </xf>
    <xf numFmtId="0" fontId="4" fillId="14" borderId="42" xfId="0" applyFont="1" applyFill="1" applyBorder="1" applyAlignment="1">
      <alignment horizontal="center" vertical="center"/>
    </xf>
    <xf numFmtId="0" fontId="4" fillId="0" borderId="36" xfId="0" applyFont="1" applyBorder="1" applyAlignment="1">
      <alignment horizontal="left" vertical="center" wrapText="1"/>
    </xf>
    <xf numFmtId="0" fontId="6" fillId="0" borderId="0" xfId="0" applyFont="1" applyAlignment="1">
      <alignment horizontal="left" vertical="center"/>
    </xf>
    <xf numFmtId="0" fontId="4" fillId="0" borderId="24" xfId="0" applyFont="1" applyBorder="1" applyAlignment="1">
      <alignment horizontal="left" vertical="center" wrapText="1"/>
    </xf>
    <xf numFmtId="0" fontId="4" fillId="0" borderId="37" xfId="0" applyFont="1" applyBorder="1" applyAlignment="1">
      <alignment horizontal="left" vertical="center" wrapText="1"/>
    </xf>
    <xf numFmtId="0" fontId="4" fillId="0" borderId="43" xfId="0" applyFont="1" applyBorder="1" applyAlignment="1">
      <alignment horizontal="center" vertical="center"/>
    </xf>
    <xf numFmtId="0" fontId="4" fillId="0" borderId="43" xfId="0" applyFont="1" applyBorder="1" applyAlignment="1">
      <alignment horizontal="left" vertical="center" wrapText="1"/>
    </xf>
    <xf numFmtId="0" fontId="4" fillId="0" borderId="43" xfId="0" applyFont="1" applyBorder="1" applyAlignment="1">
      <alignment horizontal="center" vertical="center" wrapText="1"/>
    </xf>
    <xf numFmtId="164" fontId="4" fillId="0" borderId="43" xfId="0" applyNumberFormat="1" applyFont="1" applyBorder="1" applyAlignment="1">
      <alignment horizontal="center" vertical="center"/>
    </xf>
    <xf numFmtId="0" fontId="4" fillId="0" borderId="43" xfId="0" applyFont="1" applyBorder="1" applyAlignment="1">
      <alignment horizontal="left" vertical="center"/>
    </xf>
    <xf numFmtId="0" fontId="4" fillId="0" borderId="43" xfId="0" applyFont="1" applyBorder="1" applyAlignment="1">
      <alignment vertical="center"/>
    </xf>
    <xf numFmtId="0" fontId="4" fillId="8" borderId="43" xfId="0" applyFont="1" applyFill="1" applyBorder="1" applyAlignment="1">
      <alignment horizontal="center" vertical="center"/>
    </xf>
    <xf numFmtId="0" fontId="4" fillId="4" borderId="44" xfId="0" applyFont="1" applyFill="1" applyBorder="1" applyAlignment="1">
      <alignment horizontal="center" vertical="center"/>
    </xf>
    <xf numFmtId="0" fontId="2" fillId="7" borderId="43" xfId="1" applyFill="1" applyBorder="1" applyAlignment="1">
      <alignment horizontal="center" vertical="center" wrapText="1"/>
    </xf>
    <xf numFmtId="0" fontId="2" fillId="7" borderId="44" xfId="1" applyFill="1" applyBorder="1" applyAlignment="1">
      <alignment horizontal="center" vertical="center" wrapText="1"/>
    </xf>
    <xf numFmtId="0" fontId="4" fillId="0" borderId="44" xfId="0" applyFont="1" applyBorder="1" applyAlignment="1">
      <alignment horizontal="center" vertical="center"/>
    </xf>
    <xf numFmtId="164" fontId="4" fillId="0" borderId="44" xfId="0" applyNumberFormat="1" applyFont="1" applyBorder="1" applyAlignment="1">
      <alignment horizontal="center" vertical="center"/>
    </xf>
    <xf numFmtId="0" fontId="4" fillId="0" borderId="44" xfId="0" applyFont="1" applyBorder="1" applyAlignment="1">
      <alignment horizontal="left" vertical="center"/>
    </xf>
    <xf numFmtId="14" fontId="4" fillId="0" borderId="44" xfId="0" applyNumberFormat="1" applyFont="1" applyBorder="1" applyAlignment="1">
      <alignment horizontal="center" vertical="center"/>
    </xf>
    <xf numFmtId="0" fontId="4" fillId="0" borderId="44" xfId="0" applyFont="1" applyBorder="1" applyAlignment="1">
      <alignment vertical="center"/>
    </xf>
    <xf numFmtId="0" fontId="4" fillId="0" borderId="44" xfId="1" applyFont="1" applyFill="1" applyBorder="1" applyAlignment="1">
      <alignment horizontal="center" vertical="center" wrapText="1"/>
    </xf>
    <xf numFmtId="0" fontId="4" fillId="0" borderId="44" xfId="1" applyFont="1" applyFill="1" applyBorder="1" applyAlignment="1">
      <alignment horizontal="left" vertical="center" wrapText="1"/>
    </xf>
    <xf numFmtId="0" fontId="4" fillId="0" borderId="44" xfId="0" applyFont="1" applyBorder="1" applyAlignment="1">
      <alignment horizontal="center" vertical="center" wrapText="1"/>
    </xf>
    <xf numFmtId="0" fontId="4" fillId="14" borderId="11" xfId="0" applyFont="1" applyFill="1" applyBorder="1" applyAlignment="1">
      <alignment horizontal="center" vertical="center"/>
    </xf>
    <xf numFmtId="0" fontId="15" fillId="0" borderId="44" xfId="1" applyFont="1" applyFill="1" applyBorder="1" applyAlignment="1">
      <alignment vertical="center"/>
    </xf>
    <xf numFmtId="17" fontId="4" fillId="0" borderId="44" xfId="0" applyNumberFormat="1" applyFont="1" applyBorder="1" applyAlignment="1">
      <alignment vertical="center"/>
    </xf>
    <xf numFmtId="0" fontId="6" fillId="0" borderId="44" xfId="0" applyFont="1" applyBorder="1" applyAlignment="1">
      <alignment vertical="center"/>
    </xf>
    <xf numFmtId="0" fontId="2" fillId="6" borderId="17" xfId="1" applyFill="1" applyBorder="1" applyAlignment="1">
      <alignment horizontal="center" vertical="center" wrapText="1"/>
    </xf>
    <xf numFmtId="0" fontId="2" fillId="6" borderId="36" xfId="1" applyFill="1" applyBorder="1" applyAlignment="1">
      <alignment horizontal="center" vertical="center" wrapText="1"/>
    </xf>
    <xf numFmtId="0" fontId="4" fillId="0" borderId="36" xfId="1" applyFont="1" applyFill="1" applyBorder="1" applyAlignment="1">
      <alignment horizontal="center" vertical="center" wrapText="1"/>
    </xf>
    <xf numFmtId="0" fontId="4" fillId="0" borderId="41" xfId="0" applyFont="1" applyBorder="1" applyAlignment="1">
      <alignment vertical="center" wrapText="1"/>
    </xf>
    <xf numFmtId="0" fontId="4" fillId="0" borderId="36" xfId="1" applyFont="1" applyFill="1" applyBorder="1" applyAlignment="1">
      <alignment vertical="center" wrapText="1"/>
    </xf>
    <xf numFmtId="0" fontId="9" fillId="4" borderId="42" xfId="0" applyFont="1" applyFill="1" applyBorder="1" applyAlignment="1">
      <alignment horizontal="left" vertical="center"/>
    </xf>
    <xf numFmtId="0" fontId="4" fillId="0" borderId="41" xfId="0" applyFont="1" applyBorder="1" applyAlignment="1">
      <alignment horizontal="left" vertical="center"/>
    </xf>
    <xf numFmtId="0" fontId="15" fillId="0" borderId="36" xfId="1" applyFont="1" applyFill="1" applyBorder="1" applyAlignment="1">
      <alignment horizontal="center" vertical="center" wrapText="1"/>
    </xf>
    <xf numFmtId="0" fontId="4" fillId="4" borderId="42" xfId="0" applyFont="1" applyFill="1" applyBorder="1" applyAlignment="1">
      <alignment horizontal="center" vertical="center"/>
    </xf>
    <xf numFmtId="0" fontId="4" fillId="0" borderId="0" xfId="0" applyFont="1" applyAlignment="1">
      <alignment horizontal="left" vertical="center"/>
    </xf>
    <xf numFmtId="0" fontId="4" fillId="4" borderId="24" xfId="0" applyFont="1" applyFill="1" applyBorder="1" applyAlignment="1">
      <alignment horizontal="center" vertical="center"/>
    </xf>
    <xf numFmtId="0" fontId="4" fillId="14" borderId="24" xfId="0" applyFont="1" applyFill="1" applyBorder="1" applyAlignment="1">
      <alignment horizontal="center" vertical="center"/>
    </xf>
    <xf numFmtId="0" fontId="4" fillId="8" borderId="41" xfId="0" applyFont="1" applyFill="1" applyBorder="1" applyAlignment="1">
      <alignment horizontal="center" vertical="center"/>
    </xf>
    <xf numFmtId="0" fontId="6" fillId="0" borderId="36" xfId="0" applyFont="1" applyBorder="1" applyAlignment="1">
      <alignment vertical="center"/>
    </xf>
    <xf numFmtId="0" fontId="34" fillId="0" borderId="17" xfId="0" applyFont="1" applyBorder="1" applyAlignment="1">
      <alignment horizontal="left" wrapText="1"/>
    </xf>
    <xf numFmtId="0" fontId="34" fillId="0" borderId="41" xfId="0" applyFont="1" applyBorder="1" applyAlignment="1">
      <alignment horizontal="left" wrapText="1"/>
    </xf>
    <xf numFmtId="1" fontId="4" fillId="0" borderId="44" xfId="0" applyNumberFormat="1" applyFont="1" applyBorder="1" applyAlignment="1">
      <alignment horizontal="center" vertical="center"/>
    </xf>
    <xf numFmtId="0" fontId="4" fillId="0" borderId="44" xfId="0" applyFont="1" applyBorder="1" applyAlignment="1">
      <alignment horizontal="left" vertical="center" wrapText="1"/>
    </xf>
    <xf numFmtId="0" fontId="4" fillId="14" borderId="44" xfId="0" applyFont="1" applyFill="1" applyBorder="1" applyAlignment="1">
      <alignment horizontal="center" vertical="center"/>
    </xf>
    <xf numFmtId="0" fontId="2" fillId="6" borderId="42" xfId="1" applyFill="1" applyBorder="1" applyAlignment="1">
      <alignment horizontal="center" vertical="center" wrapText="1"/>
    </xf>
    <xf numFmtId="0" fontId="2" fillId="6" borderId="0" xfId="1" applyFill="1" applyAlignment="1">
      <alignment horizontal="center" vertical="center" wrapText="1"/>
    </xf>
    <xf numFmtId="164" fontId="4" fillId="4" borderId="42" xfId="0" applyNumberFormat="1" applyFont="1" applyFill="1" applyBorder="1" applyAlignment="1">
      <alignment horizontal="center" vertical="center"/>
    </xf>
    <xf numFmtId="0" fontId="4" fillId="0" borderId="45" xfId="0" applyFont="1" applyBorder="1" applyAlignment="1">
      <alignment horizontal="center" vertical="center"/>
    </xf>
    <xf numFmtId="0" fontId="4" fillId="0" borderId="45" xfId="0" applyFont="1" applyBorder="1" applyAlignment="1">
      <alignment horizontal="left" vertical="center" wrapText="1"/>
    </xf>
    <xf numFmtId="0" fontId="4" fillId="0" borderId="45" xfId="0" applyFont="1" applyBorder="1" applyAlignment="1">
      <alignment horizontal="center" vertical="center" wrapText="1"/>
    </xf>
    <xf numFmtId="164" fontId="4" fillId="0" borderId="45" xfId="0" applyNumberFormat="1" applyFont="1" applyBorder="1" applyAlignment="1">
      <alignment horizontal="center" vertical="center"/>
    </xf>
    <xf numFmtId="0" fontId="4" fillId="0" borderId="45" xfId="0" applyFont="1" applyBorder="1" applyAlignment="1">
      <alignment horizontal="left" vertical="center"/>
    </xf>
    <xf numFmtId="0" fontId="4" fillId="0" borderId="45" xfId="0" applyFont="1" applyBorder="1" applyAlignment="1">
      <alignment vertical="center"/>
    </xf>
    <xf numFmtId="164" fontId="4" fillId="4" borderId="44" xfId="0" applyNumberFormat="1" applyFont="1" applyFill="1" applyBorder="1" applyAlignment="1">
      <alignment horizontal="center" vertical="center"/>
    </xf>
    <xf numFmtId="0" fontId="2" fillId="7" borderId="45" xfId="1" applyFill="1" applyBorder="1" applyAlignment="1">
      <alignment horizontal="center" vertical="center" wrapText="1"/>
    </xf>
    <xf numFmtId="0" fontId="2" fillId="7" borderId="9" xfId="1" applyFill="1" applyBorder="1" applyAlignment="1">
      <alignment horizontal="center" vertical="center" wrapText="1"/>
    </xf>
    <xf numFmtId="164" fontId="4" fillId="4" borderId="45" xfId="0" applyNumberFormat="1" applyFont="1" applyFill="1" applyBorder="1" applyAlignment="1">
      <alignment horizontal="center" vertical="center"/>
    </xf>
    <xf numFmtId="0" fontId="6" fillId="0" borderId="45" xfId="0" applyFont="1" applyBorder="1" applyAlignment="1">
      <alignment horizontal="left" vertical="center"/>
    </xf>
    <xf numFmtId="0" fontId="4" fillId="18" borderId="45" xfId="0" applyFont="1" applyFill="1" applyBorder="1" applyAlignment="1">
      <alignment horizontal="center" vertical="center"/>
    </xf>
    <xf numFmtId="0" fontId="2" fillId="7" borderId="46" xfId="1" applyFill="1" applyBorder="1" applyAlignment="1">
      <alignment horizontal="center" vertical="center" wrapText="1"/>
    </xf>
    <xf numFmtId="0" fontId="4" fillId="0" borderId="46" xfId="0" applyFont="1" applyBorder="1" applyAlignment="1">
      <alignment horizontal="center" vertical="center"/>
    </xf>
    <xf numFmtId="0" fontId="4" fillId="0" borderId="46" xfId="0" applyFont="1" applyBorder="1" applyAlignment="1">
      <alignment horizontal="left" vertical="center" wrapText="1"/>
    </xf>
    <xf numFmtId="0" fontId="4" fillId="0" borderId="46" xfId="0" applyFont="1" applyBorder="1" applyAlignment="1">
      <alignment horizontal="center" vertical="center" wrapText="1"/>
    </xf>
    <xf numFmtId="164" fontId="4" fillId="0" borderId="46" xfId="0" applyNumberFormat="1" applyFont="1" applyBorder="1" applyAlignment="1">
      <alignment horizontal="center" vertical="center"/>
    </xf>
    <xf numFmtId="0" fontId="4" fillId="0" borderId="46" xfId="0" applyFont="1" applyBorder="1" applyAlignment="1">
      <alignment horizontal="left" vertical="center"/>
    </xf>
    <xf numFmtId="0" fontId="4" fillId="0" borderId="46" xfId="0" applyFont="1" applyBorder="1" applyAlignment="1">
      <alignment vertical="center"/>
    </xf>
    <xf numFmtId="0" fontId="2" fillId="7" borderId="47" xfId="1" applyFill="1" applyBorder="1" applyAlignment="1">
      <alignment horizontal="center" vertical="center" wrapText="1"/>
    </xf>
    <xf numFmtId="0" fontId="4" fillId="0" borderId="47" xfId="0" applyFont="1" applyBorder="1" applyAlignment="1">
      <alignment horizontal="center" vertical="center"/>
    </xf>
    <xf numFmtId="0" fontId="36" fillId="16" borderId="0" xfId="1" applyFont="1" applyFill="1" applyAlignment="1">
      <alignment horizontal="center" vertical="center" wrapText="1"/>
    </xf>
    <xf numFmtId="0" fontId="4" fillId="0" borderId="47" xfId="0" applyFont="1" applyBorder="1" applyAlignment="1">
      <alignment horizontal="left" vertical="center" wrapText="1"/>
    </xf>
    <xf numFmtId="0" fontId="4" fillId="0" borderId="47" xfId="0" applyFont="1" applyBorder="1" applyAlignment="1">
      <alignment horizontal="left" vertical="center"/>
    </xf>
    <xf numFmtId="0" fontId="4" fillId="0" borderId="47" xfId="0" applyFont="1" applyBorder="1" applyAlignment="1">
      <alignment vertical="center"/>
    </xf>
    <xf numFmtId="0" fontId="2" fillId="7" borderId="48" xfId="1" applyFill="1" applyBorder="1" applyAlignment="1">
      <alignment horizontal="center" vertical="center" wrapText="1"/>
    </xf>
    <xf numFmtId="164" fontId="4" fillId="4" borderId="46" xfId="0" applyNumberFormat="1" applyFont="1" applyFill="1" applyBorder="1" applyAlignment="1">
      <alignment horizontal="center" vertical="center"/>
    </xf>
    <xf numFmtId="0" fontId="4" fillId="0" borderId="49" xfId="0" applyFont="1" applyBorder="1" applyAlignment="1">
      <alignment horizontal="center" vertical="center"/>
    </xf>
    <xf numFmtId="0" fontId="4" fillId="0" borderId="49" xfId="0" applyFont="1" applyBorder="1" applyAlignment="1">
      <alignment horizontal="left" vertical="center" wrapText="1"/>
    </xf>
    <xf numFmtId="0" fontId="4" fillId="0" borderId="49" xfId="0" applyFont="1" applyBorder="1" applyAlignment="1">
      <alignment horizontal="center" vertical="center" wrapText="1"/>
    </xf>
    <xf numFmtId="164" fontId="4" fillId="0" borderId="49" xfId="0" applyNumberFormat="1" applyFont="1" applyBorder="1" applyAlignment="1">
      <alignment horizontal="center" vertical="center"/>
    </xf>
    <xf numFmtId="0" fontId="4" fillId="0" borderId="49" xfId="0" applyFont="1" applyBorder="1" applyAlignment="1">
      <alignment horizontal="left" vertical="center"/>
    </xf>
    <xf numFmtId="0" fontId="4" fillId="0" borderId="49" xfId="0" applyFont="1" applyBorder="1" applyAlignment="1">
      <alignment vertical="center"/>
    </xf>
    <xf numFmtId="0" fontId="4" fillId="5" borderId="25" xfId="0" applyFont="1" applyFill="1" applyBorder="1" applyAlignment="1">
      <alignment horizontal="center" vertical="center"/>
    </xf>
    <xf numFmtId="0" fontId="4" fillId="5" borderId="24" xfId="0" applyFont="1" applyFill="1" applyBorder="1" applyAlignment="1">
      <alignment horizontal="center" vertical="center"/>
    </xf>
    <xf numFmtId="0" fontId="4" fillId="5" borderId="24" xfId="0" applyFont="1" applyFill="1" applyBorder="1" applyAlignment="1">
      <alignment horizontal="center" vertical="center" wrapText="1"/>
    </xf>
    <xf numFmtId="164" fontId="4" fillId="5" borderId="24" xfId="0" applyNumberFormat="1" applyFont="1" applyFill="1" applyBorder="1" applyAlignment="1">
      <alignment horizontal="center" vertical="center"/>
    </xf>
    <xf numFmtId="14" fontId="16" fillId="5" borderId="24" xfId="1" applyNumberFormat="1" applyFont="1" applyFill="1" applyBorder="1" applyAlignment="1">
      <alignment horizontal="center" vertical="center" wrapText="1"/>
    </xf>
    <xf numFmtId="0" fontId="4" fillId="5" borderId="24" xfId="0" applyFont="1" applyFill="1" applyBorder="1" applyAlignment="1">
      <alignment vertical="center"/>
    </xf>
    <xf numFmtId="0" fontId="4" fillId="0" borderId="50" xfId="0" applyFont="1" applyBorder="1" applyAlignment="1">
      <alignment horizontal="center" vertical="center"/>
    </xf>
    <xf numFmtId="0" fontId="4" fillId="0" borderId="50" xfId="0" applyFont="1" applyBorder="1" applyAlignment="1">
      <alignment horizontal="left" vertical="center" wrapText="1"/>
    </xf>
    <xf numFmtId="0" fontId="4" fillId="0" borderId="50" xfId="0" applyFont="1" applyBorder="1" applyAlignment="1">
      <alignment horizontal="center" vertical="center" wrapText="1"/>
    </xf>
    <xf numFmtId="164" fontId="4" fillId="0" borderId="50" xfId="0" applyNumberFormat="1" applyFont="1" applyBorder="1" applyAlignment="1">
      <alignment horizontal="center" vertical="center"/>
    </xf>
    <xf numFmtId="0" fontId="4" fillId="0" borderId="50" xfId="0" applyFont="1" applyBorder="1" applyAlignment="1">
      <alignment horizontal="left" vertical="center"/>
    </xf>
    <xf numFmtId="14" fontId="4" fillId="0" borderId="50" xfId="0" applyNumberFormat="1" applyFont="1" applyBorder="1" applyAlignment="1">
      <alignment horizontal="center" vertical="center"/>
    </xf>
    <xf numFmtId="1" fontId="4" fillId="0" borderId="50" xfId="0" applyNumberFormat="1" applyFont="1" applyBorder="1" applyAlignment="1">
      <alignment horizontal="center" vertical="center"/>
    </xf>
    <xf numFmtId="0" fontId="4" fillId="0" borderId="50" xfId="0" applyFont="1" applyBorder="1" applyAlignment="1">
      <alignment vertical="center"/>
    </xf>
    <xf numFmtId="0" fontId="4" fillId="0" borderId="34" xfId="0" applyFont="1" applyBorder="1" applyAlignment="1">
      <alignment horizontal="left" vertical="center" wrapText="1"/>
    </xf>
    <xf numFmtId="0" fontId="2" fillId="0" borderId="50" xfId="1" applyFill="1" applyBorder="1" applyAlignment="1">
      <alignment horizontal="center" vertical="center" wrapText="1"/>
    </xf>
    <xf numFmtId="0" fontId="11" fillId="4" borderId="5" xfId="0" applyFont="1" applyFill="1" applyBorder="1" applyAlignment="1">
      <alignment vertical="center" wrapText="1"/>
    </xf>
    <xf numFmtId="0" fontId="6" fillId="0" borderId="0" xfId="0" applyFont="1" applyAlignment="1">
      <alignment horizontal="left" vertical="center" wrapText="1"/>
    </xf>
    <xf numFmtId="14" fontId="6" fillId="0" borderId="0" xfId="0" applyNumberFormat="1" applyFont="1" applyAlignment="1">
      <alignment horizontal="left" vertical="center"/>
    </xf>
    <xf numFmtId="0" fontId="4" fillId="0" borderId="32" xfId="0" applyFont="1" applyBorder="1" applyAlignment="1">
      <alignment horizontal="center" vertical="center"/>
    </xf>
    <xf numFmtId="0" fontId="2" fillId="8" borderId="32" xfId="1" applyFill="1" applyBorder="1" applyAlignment="1">
      <alignment horizontal="center" vertical="center" wrapText="1"/>
    </xf>
    <xf numFmtId="0" fontId="2" fillId="8" borderId="9" xfId="1" applyFill="1" applyBorder="1" applyAlignment="1">
      <alignment horizontal="center" vertical="center" wrapText="1"/>
    </xf>
    <xf numFmtId="0" fontId="2" fillId="7" borderId="50" xfId="1" applyFill="1" applyBorder="1" applyAlignment="1">
      <alignment horizontal="center" vertical="center" wrapText="1"/>
    </xf>
    <xf numFmtId="0" fontId="4" fillId="0" borderId="51" xfId="0" applyFont="1" applyBorder="1" applyAlignment="1">
      <alignment horizontal="center" vertical="center"/>
    </xf>
    <xf numFmtId="0" fontId="4" fillId="0" borderId="51" xfId="0" applyFont="1" applyBorder="1" applyAlignment="1">
      <alignment horizontal="center" vertical="center" wrapText="1"/>
    </xf>
    <xf numFmtId="164" fontId="4" fillId="0" borderId="51" xfId="0" applyNumberFormat="1" applyFont="1" applyBorder="1" applyAlignment="1">
      <alignment horizontal="center" vertical="center"/>
    </xf>
    <xf numFmtId="0" fontId="4" fillId="0" borderId="51" xfId="0" applyFont="1" applyBorder="1" applyAlignment="1">
      <alignment horizontal="left" vertical="center"/>
    </xf>
    <xf numFmtId="0" fontId="4" fillId="0" borderId="51" xfId="0" applyFont="1" applyBorder="1" applyAlignment="1">
      <alignment vertical="center"/>
    </xf>
    <xf numFmtId="0" fontId="4" fillId="17" borderId="51" xfId="0" applyFont="1" applyFill="1" applyBorder="1" applyAlignment="1">
      <alignment horizontal="center" vertical="center"/>
    </xf>
    <xf numFmtId="0" fontId="4" fillId="17" borderId="44" xfId="0" applyFont="1" applyFill="1" applyBorder="1" applyAlignment="1">
      <alignment horizontal="center" vertical="center"/>
    </xf>
    <xf numFmtId="0" fontId="4" fillId="17" borderId="46" xfId="0" applyFont="1" applyFill="1" applyBorder="1" applyAlignment="1">
      <alignment horizontal="center" vertical="center"/>
    </xf>
    <xf numFmtId="0" fontId="4" fillId="17" borderId="45" xfId="0" applyFont="1" applyFill="1" applyBorder="1" applyAlignment="1">
      <alignment horizontal="center" vertical="center"/>
    </xf>
    <xf numFmtId="0" fontId="2" fillId="7" borderId="51" xfId="1" applyFill="1" applyBorder="1" applyAlignment="1">
      <alignment horizontal="center" vertical="center" wrapText="1"/>
    </xf>
    <xf numFmtId="0" fontId="4" fillId="0" borderId="51" xfId="0" applyFont="1" applyBorder="1" applyAlignment="1">
      <alignment horizontal="left" vertical="center" wrapText="1"/>
    </xf>
    <xf numFmtId="0" fontId="4" fillId="17" borderId="11" xfId="0" applyFont="1" applyFill="1" applyBorder="1" applyAlignment="1">
      <alignment horizontal="center" vertical="center"/>
    </xf>
    <xf numFmtId="0" fontId="2" fillId="2" borderId="50" xfId="1" applyFill="1" applyBorder="1" applyAlignment="1">
      <alignment horizontal="center" vertical="center"/>
    </xf>
    <xf numFmtId="0" fontId="2" fillId="0" borderId="50" xfId="1" applyBorder="1" applyAlignment="1">
      <alignment horizontal="center" vertical="center"/>
    </xf>
    <xf numFmtId="0" fontId="2" fillId="7" borderId="0" xfId="1" applyFill="1" applyBorder="1" applyAlignment="1">
      <alignment horizontal="center" vertical="center"/>
    </xf>
    <xf numFmtId="0" fontId="4" fillId="0" borderId="42" xfId="1" applyFont="1" applyFill="1" applyBorder="1" applyAlignment="1">
      <alignment horizontal="center" vertical="center" wrapText="1"/>
    </xf>
    <xf numFmtId="0" fontId="4" fillId="0" borderId="45" xfId="1" applyFont="1" applyFill="1" applyBorder="1" applyAlignment="1">
      <alignment horizontal="center" vertical="center" wrapText="1"/>
    </xf>
    <xf numFmtId="0" fontId="6" fillId="0" borderId="45" xfId="0" applyFont="1" applyBorder="1" applyAlignment="1">
      <alignment horizontal="center" vertical="center"/>
    </xf>
    <xf numFmtId="0" fontId="4" fillId="0" borderId="42" xfId="1" applyFont="1" applyFill="1" applyBorder="1" applyAlignment="1">
      <alignment horizontal="left" vertical="center" wrapText="1"/>
    </xf>
    <xf numFmtId="0" fontId="4" fillId="0" borderId="45" xfId="1" applyFont="1" applyFill="1" applyBorder="1" applyAlignment="1">
      <alignment horizontal="left" vertical="center" wrapText="1"/>
    </xf>
    <xf numFmtId="0" fontId="6" fillId="0" borderId="45" xfId="0" applyFont="1" applyBorder="1" applyAlignment="1">
      <alignment horizontal="left" vertical="center" wrapText="1"/>
    </xf>
    <xf numFmtId="0" fontId="4" fillId="0" borderId="18" xfId="0" applyFont="1" applyBorder="1" applyAlignment="1">
      <alignment horizontal="left" vertical="center" wrapText="1"/>
    </xf>
    <xf numFmtId="0" fontId="6" fillId="0" borderId="45" xfId="0" applyFont="1" applyBorder="1" applyAlignment="1">
      <alignment horizontal="center" vertical="center" wrapText="1"/>
    </xf>
    <xf numFmtId="164" fontId="4" fillId="0" borderId="18" xfId="0" applyNumberFormat="1" applyFont="1" applyBorder="1" applyAlignment="1">
      <alignment horizontal="center" vertical="center" wrapText="1"/>
    </xf>
    <xf numFmtId="0" fontId="31" fillId="0" borderId="50" xfId="0" applyFont="1" applyBorder="1" applyAlignment="1">
      <alignment horizontal="center" vertical="center"/>
    </xf>
    <xf numFmtId="0" fontId="16" fillId="8" borderId="42" xfId="1" applyFont="1" applyFill="1" applyBorder="1" applyAlignment="1">
      <alignment horizontal="left" vertical="center" wrapText="1"/>
    </xf>
    <xf numFmtId="0" fontId="34" fillId="0" borderId="11" xfId="0" applyFont="1" applyBorder="1" applyAlignment="1">
      <alignment wrapText="1"/>
    </xf>
    <xf numFmtId="0" fontId="6" fillId="0" borderId="44" xfId="0" applyFont="1" applyBorder="1" applyAlignment="1">
      <alignment horizontal="left" vertical="center"/>
    </xf>
    <xf numFmtId="0" fontId="15" fillId="0" borderId="42" xfId="1" applyFont="1" applyFill="1" applyBorder="1" applyAlignment="1">
      <alignment horizontal="center" vertical="center" wrapText="1"/>
    </xf>
    <xf numFmtId="0" fontId="2" fillId="0" borderId="45" xfId="1" applyFill="1" applyBorder="1" applyAlignment="1">
      <alignment horizontal="center" vertical="center"/>
    </xf>
    <xf numFmtId="0" fontId="4" fillId="4" borderId="19" xfId="0" applyFont="1" applyFill="1" applyBorder="1" applyAlignment="1">
      <alignment horizontal="center" vertical="center"/>
    </xf>
    <xf numFmtId="14" fontId="4" fillId="0" borderId="28" xfId="0" applyNumberFormat="1" applyFont="1" applyBorder="1" applyAlignment="1">
      <alignment horizontal="center" vertical="center"/>
    </xf>
    <xf numFmtId="0" fontId="6" fillId="17" borderId="11" xfId="0" applyFont="1" applyFill="1" applyBorder="1" applyAlignment="1">
      <alignment horizontal="center" vertical="center"/>
    </xf>
    <xf numFmtId="0" fontId="15" fillId="0" borderId="44" xfId="1" applyFont="1" applyFill="1" applyBorder="1" applyAlignment="1">
      <alignment horizontal="center" vertical="center"/>
    </xf>
    <xf numFmtId="0" fontId="15" fillId="0" borderId="45" xfId="1" applyFont="1" applyFill="1" applyBorder="1" applyAlignment="1">
      <alignment horizontal="center" vertical="center"/>
    </xf>
    <xf numFmtId="0" fontId="4" fillId="0" borderId="18" xfId="0" applyFont="1" applyBorder="1" applyAlignment="1">
      <alignment vertical="center"/>
    </xf>
    <xf numFmtId="0" fontId="6" fillId="0" borderId="42" xfId="0" applyFont="1" applyBorder="1" applyAlignment="1">
      <alignment vertical="center"/>
    </xf>
    <xf numFmtId="0" fontId="6" fillId="0" borderId="46" xfId="0" applyFont="1" applyBorder="1" applyAlignment="1">
      <alignment vertical="center"/>
    </xf>
    <xf numFmtId="0" fontId="6" fillId="0" borderId="45" xfId="0" applyFont="1" applyBorder="1" applyAlignment="1">
      <alignment vertical="center"/>
    </xf>
    <xf numFmtId="0" fontId="4" fillId="0" borderId="52" xfId="0" applyFont="1" applyBorder="1" applyAlignment="1">
      <alignment horizontal="center" vertical="center"/>
    </xf>
    <xf numFmtId="164" fontId="4" fillId="0" borderId="52" xfId="0" applyNumberFormat="1" applyFont="1" applyBorder="1" applyAlignment="1">
      <alignment horizontal="center" vertical="center"/>
    </xf>
    <xf numFmtId="0" fontId="4" fillId="0" borderId="52" xfId="0" applyFont="1" applyBorder="1" applyAlignment="1">
      <alignment horizontal="left" vertical="center"/>
    </xf>
    <xf numFmtId="0" fontId="4" fillId="0" borderId="52" xfId="0" applyFont="1" applyBorder="1" applyAlignment="1">
      <alignment vertical="center"/>
    </xf>
    <xf numFmtId="0" fontId="2" fillId="7" borderId="26" xfId="1" applyFill="1" applyBorder="1" applyAlignment="1">
      <alignment horizontal="center" vertical="center" wrapText="1"/>
    </xf>
    <xf numFmtId="0" fontId="4" fillId="0" borderId="53" xfId="0" applyFont="1" applyBorder="1" applyAlignment="1">
      <alignment horizontal="center" vertical="center"/>
    </xf>
    <xf numFmtId="0" fontId="4" fillId="0" borderId="53" xfId="0" applyFont="1" applyBorder="1" applyAlignment="1">
      <alignment horizontal="center" vertical="center" wrapText="1"/>
    </xf>
    <xf numFmtId="164" fontId="4" fillId="0" borderId="53" xfId="0" applyNumberFormat="1" applyFont="1" applyBorder="1" applyAlignment="1">
      <alignment horizontal="center" vertical="center"/>
    </xf>
    <xf numFmtId="0" fontId="4" fillId="0" borderId="53" xfId="0" applyFont="1" applyBorder="1" applyAlignment="1">
      <alignment horizontal="left" vertical="center"/>
    </xf>
    <xf numFmtId="0" fontId="4" fillId="0" borderId="53" xfId="0" applyFont="1" applyBorder="1" applyAlignment="1">
      <alignment vertical="center"/>
    </xf>
    <xf numFmtId="164" fontId="4" fillId="0" borderId="32" xfId="0" applyNumberFormat="1" applyFont="1" applyBorder="1" applyAlignment="1">
      <alignment horizontal="center" vertical="center"/>
    </xf>
    <xf numFmtId="0" fontId="4" fillId="0" borderId="32" xfId="0" applyFont="1" applyBorder="1" applyAlignment="1">
      <alignment horizontal="left" vertical="center"/>
    </xf>
    <xf numFmtId="0" fontId="4" fillId="0" borderId="32" xfId="0" applyFont="1" applyBorder="1" applyAlignment="1">
      <alignment vertical="center"/>
    </xf>
    <xf numFmtId="0" fontId="16" fillId="7" borderId="53" xfId="1" applyFont="1" applyFill="1" applyBorder="1" applyAlignment="1">
      <alignment horizontal="center" vertical="center" wrapText="1"/>
    </xf>
    <xf numFmtId="0" fontId="6" fillId="0" borderId="53" xfId="0" applyFont="1" applyBorder="1" applyAlignment="1">
      <alignment vertical="center"/>
    </xf>
    <xf numFmtId="0" fontId="6" fillId="0" borderId="53" xfId="0" applyFont="1" applyBorder="1" applyAlignment="1">
      <alignment horizontal="center" vertical="center"/>
    </xf>
    <xf numFmtId="0" fontId="2" fillId="7" borderId="53" xfId="1" applyFill="1" applyBorder="1" applyAlignment="1">
      <alignment horizontal="center" vertical="center" wrapText="1"/>
    </xf>
    <xf numFmtId="0" fontId="2" fillId="7" borderId="52" xfId="1" applyFill="1" applyBorder="1" applyAlignment="1">
      <alignment horizontal="center" vertical="center" wrapText="1"/>
    </xf>
    <xf numFmtId="0" fontId="4" fillId="0" borderId="53" xfId="0" applyFont="1" applyBorder="1" applyAlignment="1">
      <alignment horizontal="left" vertical="center" wrapText="1"/>
    </xf>
    <xf numFmtId="0" fontId="4" fillId="0" borderId="52" xfId="0" applyFont="1" applyBorder="1" applyAlignment="1">
      <alignment horizontal="left" vertical="center" wrapText="1"/>
    </xf>
    <xf numFmtId="0" fontId="6" fillId="0" borderId="53" xfId="0" applyFont="1" applyBorder="1" applyAlignment="1">
      <alignment horizontal="left" vertical="center"/>
    </xf>
    <xf numFmtId="0" fontId="4" fillId="14" borderId="50" xfId="0" applyFont="1" applyFill="1" applyBorder="1" applyAlignment="1">
      <alignment horizontal="center" vertical="center"/>
    </xf>
    <xf numFmtId="0" fontId="6" fillId="0" borderId="53" xfId="0" applyFont="1" applyBorder="1" applyAlignment="1">
      <alignment vertical="center" wrapText="1"/>
    </xf>
    <xf numFmtId="0" fontId="6" fillId="19" borderId="0" xfId="0" applyFont="1" applyFill="1" applyAlignment="1">
      <alignment horizontal="center" vertical="center"/>
    </xf>
    <xf numFmtId="0" fontId="4" fillId="19" borderId="53" xfId="0" applyFont="1" applyFill="1" applyBorder="1" applyAlignment="1">
      <alignment horizontal="center" vertical="center"/>
    </xf>
    <xf numFmtId="0" fontId="16" fillId="19" borderId="53" xfId="1" applyFont="1" applyFill="1" applyBorder="1" applyAlignment="1">
      <alignment horizontal="center" vertical="center" wrapText="1"/>
    </xf>
    <xf numFmtId="0" fontId="4" fillId="19" borderId="53" xfId="0" applyFont="1" applyFill="1" applyBorder="1" applyAlignment="1">
      <alignment vertical="center"/>
    </xf>
    <xf numFmtId="164" fontId="4" fillId="19" borderId="53" xfId="0" applyNumberFormat="1" applyFont="1" applyFill="1" applyBorder="1" applyAlignment="1">
      <alignment horizontal="center" vertical="center"/>
    </xf>
    <xf numFmtId="0" fontId="4" fillId="19" borderId="53" xfId="0" applyFont="1" applyFill="1" applyBorder="1" applyAlignment="1">
      <alignment horizontal="left" vertical="center"/>
    </xf>
    <xf numFmtId="0" fontId="6" fillId="19" borderId="0" xfId="0" applyFont="1" applyFill="1" applyAlignment="1">
      <alignment vertical="center"/>
    </xf>
    <xf numFmtId="0" fontId="6" fillId="8" borderId="53" xfId="0" applyFont="1" applyFill="1" applyBorder="1" applyAlignment="1">
      <alignment horizontal="center" vertical="center"/>
    </xf>
    <xf numFmtId="0" fontId="4" fillId="8" borderId="53" xfId="0" applyFont="1" applyFill="1" applyBorder="1" applyAlignment="1">
      <alignment horizontal="center" vertical="center"/>
    </xf>
    <xf numFmtId="0" fontId="16" fillId="8" borderId="53" xfId="1" applyFont="1" applyFill="1" applyBorder="1" applyAlignment="1">
      <alignment horizontal="left" vertical="center" wrapText="1"/>
    </xf>
    <xf numFmtId="0" fontId="16" fillId="8" borderId="52" xfId="1" applyFont="1" applyFill="1" applyBorder="1" applyAlignment="1">
      <alignment horizontal="left" vertical="center" wrapText="1"/>
    </xf>
    <xf numFmtId="0" fontId="6" fillId="0" borderId="53" xfId="0" applyFont="1" applyBorder="1" applyAlignment="1">
      <alignment horizontal="left" vertical="center" wrapText="1"/>
    </xf>
    <xf numFmtId="0" fontId="4" fillId="19" borderId="53" xfId="0" applyFont="1" applyFill="1" applyBorder="1" applyAlignment="1">
      <alignment horizontal="left" vertical="center" wrapText="1"/>
    </xf>
    <xf numFmtId="0" fontId="6" fillId="0" borderId="7" xfId="0" applyFont="1" applyBorder="1" applyAlignment="1">
      <alignment horizontal="center" vertical="center"/>
    </xf>
    <xf numFmtId="0" fontId="2" fillId="0" borderId="53" xfId="1" applyBorder="1" applyAlignment="1">
      <alignment horizontal="center" vertical="center"/>
    </xf>
    <xf numFmtId="0" fontId="28" fillId="4" borderId="53" xfId="1" applyFont="1" applyFill="1" applyBorder="1" applyAlignment="1">
      <alignment horizontal="center" vertical="center"/>
    </xf>
    <xf numFmtId="0" fontId="2" fillId="7" borderId="53" xfId="1" applyFill="1" applyBorder="1" applyAlignment="1">
      <alignment horizontal="center" vertical="center"/>
    </xf>
    <xf numFmtId="0" fontId="4" fillId="8" borderId="26" xfId="0" applyFont="1" applyFill="1" applyBorder="1" applyAlignment="1">
      <alignment horizontal="center" vertical="center"/>
    </xf>
    <xf numFmtId="0" fontId="4" fillId="8" borderId="39" xfId="0" applyFont="1" applyFill="1" applyBorder="1" applyAlignment="1">
      <alignment horizontal="center" vertical="center"/>
    </xf>
    <xf numFmtId="0" fontId="4" fillId="8" borderId="42" xfId="0" applyFont="1" applyFill="1" applyBorder="1" applyAlignment="1">
      <alignment horizontal="center" vertical="center"/>
    </xf>
    <xf numFmtId="0" fontId="4" fillId="8" borderId="45" xfId="0" applyFont="1" applyFill="1" applyBorder="1" applyAlignment="1">
      <alignment horizontal="center" vertical="center"/>
    </xf>
    <xf numFmtId="0" fontId="6" fillId="8" borderId="45" xfId="0" applyFont="1" applyFill="1" applyBorder="1" applyAlignment="1">
      <alignment horizontal="center" vertical="center"/>
    </xf>
    <xf numFmtId="0" fontId="4" fillId="8" borderId="50" xfId="0" applyFont="1" applyFill="1" applyBorder="1" applyAlignment="1">
      <alignment horizontal="center" vertical="center"/>
    </xf>
    <xf numFmtId="0" fontId="4" fillId="8" borderId="52" xfId="0" applyFont="1" applyFill="1" applyBorder="1" applyAlignment="1">
      <alignment horizontal="center" vertical="center"/>
    </xf>
    <xf numFmtId="0" fontId="4" fillId="8" borderId="32" xfId="0" applyFont="1" applyFill="1" applyBorder="1" applyAlignment="1">
      <alignment horizontal="center" vertical="center"/>
    </xf>
    <xf numFmtId="0" fontId="6" fillId="0" borderId="39" xfId="0" applyFont="1" applyBorder="1" applyAlignment="1">
      <alignment horizontal="left" vertical="center"/>
    </xf>
    <xf numFmtId="0" fontId="31" fillId="0" borderId="45" xfId="0" applyFont="1" applyBorder="1" applyAlignment="1">
      <alignment horizontal="left" vertical="center"/>
    </xf>
    <xf numFmtId="0" fontId="4" fillId="4" borderId="47" xfId="0" applyFont="1" applyFill="1" applyBorder="1" applyAlignment="1">
      <alignment horizontal="center" vertical="center"/>
    </xf>
    <xf numFmtId="0" fontId="4" fillId="4" borderId="47" xfId="0" applyFont="1" applyFill="1" applyBorder="1" applyAlignment="1">
      <alignment horizontal="left" vertical="center" wrapText="1"/>
    </xf>
    <xf numFmtId="0" fontId="4" fillId="4" borderId="47" xfId="0" applyFont="1" applyFill="1" applyBorder="1" applyAlignment="1">
      <alignment horizontal="center" vertical="center" wrapText="1"/>
    </xf>
    <xf numFmtId="164" fontId="4" fillId="4" borderId="47" xfId="0" applyNumberFormat="1" applyFont="1" applyFill="1" applyBorder="1" applyAlignment="1">
      <alignment horizontal="center" vertical="center"/>
    </xf>
    <xf numFmtId="0" fontId="4" fillId="4" borderId="47" xfId="0" applyFont="1" applyFill="1" applyBorder="1" applyAlignment="1">
      <alignment horizontal="left" vertical="center"/>
    </xf>
    <xf numFmtId="0" fontId="6" fillId="0" borderId="51" xfId="0" applyFont="1" applyBorder="1" applyAlignment="1">
      <alignment horizontal="left" vertical="center" wrapText="1"/>
    </xf>
    <xf numFmtId="0" fontId="4" fillId="0" borderId="53" xfId="0" applyFont="1" applyBorder="1" applyAlignment="1">
      <alignment vertical="center" wrapText="1"/>
    </xf>
    <xf numFmtId="164" fontId="4" fillId="4" borderId="53" xfId="0" applyNumberFormat="1" applyFont="1" applyFill="1" applyBorder="1" applyAlignment="1">
      <alignment horizontal="center" vertical="center"/>
    </xf>
    <xf numFmtId="0" fontId="27" fillId="5" borderId="11" xfId="0" applyFont="1" applyFill="1" applyBorder="1" applyAlignment="1">
      <alignment horizontal="left" vertical="center" wrapText="1"/>
    </xf>
    <xf numFmtId="0" fontId="4" fillId="0" borderId="11" xfId="0" quotePrefix="1" applyFont="1" applyBorder="1" applyAlignment="1">
      <alignment horizontal="left" vertical="center" wrapText="1"/>
    </xf>
    <xf numFmtId="0" fontId="9" fillId="0" borderId="11" xfId="0" applyFont="1" applyBorder="1" applyAlignment="1">
      <alignment horizontal="left" vertical="center" wrapText="1"/>
    </xf>
    <xf numFmtId="0" fontId="4" fillId="2" borderId="11" xfId="0" applyFont="1" applyFill="1" applyBorder="1" applyAlignment="1">
      <alignment horizontal="left" vertical="center" wrapText="1"/>
    </xf>
    <xf numFmtId="0" fontId="20" fillId="11" borderId="11" xfId="0" applyFont="1" applyFill="1" applyBorder="1" applyAlignment="1">
      <alignment horizontal="left" vertical="center" wrapText="1"/>
    </xf>
    <xf numFmtId="0" fontId="4" fillId="4" borderId="11" xfId="0" applyFont="1" applyFill="1" applyBorder="1" applyAlignment="1">
      <alignment horizontal="left" vertical="center" wrapText="1"/>
    </xf>
    <xf numFmtId="0" fontId="4" fillId="0" borderId="12" xfId="0" applyFont="1" applyBorder="1" applyAlignment="1">
      <alignment horizontal="left" vertical="center" wrapText="1"/>
    </xf>
    <xf numFmtId="0" fontId="4" fillId="0" borderId="21" xfId="0" applyFont="1" applyBorder="1" applyAlignment="1">
      <alignment horizontal="left" vertical="center" wrapText="1"/>
    </xf>
    <xf numFmtId="0" fontId="4" fillId="0" borderId="23" xfId="0" applyFont="1" applyBorder="1" applyAlignment="1">
      <alignment horizontal="left" vertical="center" wrapText="1"/>
    </xf>
    <xf numFmtId="0" fontId="4" fillId="0" borderId="28" xfId="0" applyFont="1" applyBorder="1" applyAlignment="1">
      <alignment horizontal="left" vertical="center" wrapText="1"/>
    </xf>
    <xf numFmtId="0" fontId="4" fillId="0" borderId="29" xfId="0" applyFont="1" applyBorder="1" applyAlignment="1">
      <alignment horizontal="left" vertical="center" wrapText="1"/>
    </xf>
    <xf numFmtId="0" fontId="4" fillId="0" borderId="33" xfId="0" applyFont="1" applyBorder="1" applyAlignment="1">
      <alignment horizontal="left" vertical="center" wrapText="1"/>
    </xf>
    <xf numFmtId="0" fontId="4" fillId="0" borderId="35" xfId="0" applyFont="1" applyBorder="1" applyAlignment="1">
      <alignment horizontal="left" vertical="center" wrapText="1"/>
    </xf>
    <xf numFmtId="0" fontId="4" fillId="0" borderId="38" xfId="0" applyFont="1" applyBorder="1" applyAlignment="1">
      <alignment horizontal="left" vertical="center" wrapText="1"/>
    </xf>
    <xf numFmtId="0" fontId="6" fillId="0" borderId="39" xfId="0" applyFont="1" applyBorder="1" applyAlignment="1">
      <alignment horizontal="left" vertical="center" wrapText="1"/>
    </xf>
    <xf numFmtId="0" fontId="2" fillId="6" borderId="47" xfId="1" applyFill="1" applyBorder="1" applyAlignment="1">
      <alignment horizontal="center" vertical="center" wrapText="1"/>
    </xf>
    <xf numFmtId="0" fontId="16" fillId="0" borderId="53" xfId="1" applyFont="1" applyFill="1" applyBorder="1" applyAlignment="1">
      <alignment horizontal="center" vertical="center" wrapText="1"/>
    </xf>
    <xf numFmtId="0" fontId="2" fillId="0" borderId="0" xfId="1" applyFill="1" applyBorder="1" applyAlignment="1">
      <alignment horizontal="center" vertical="center"/>
    </xf>
    <xf numFmtId="0" fontId="2" fillId="6" borderId="9" xfId="1" applyFill="1" applyBorder="1" applyAlignment="1">
      <alignment horizontal="center" vertical="center" wrapText="1"/>
    </xf>
    <xf numFmtId="0" fontId="2" fillId="6" borderId="53" xfId="1" applyFill="1" applyBorder="1" applyAlignment="1">
      <alignment horizontal="center" vertical="center" wrapText="1"/>
    </xf>
    <xf numFmtId="0" fontId="2" fillId="0" borderId="53" xfId="1" applyFill="1" applyBorder="1" applyAlignment="1">
      <alignment horizontal="center" vertical="center" wrapText="1"/>
    </xf>
    <xf numFmtId="0" fontId="2" fillId="0" borderId="32" xfId="1" applyFill="1" applyBorder="1" applyAlignment="1">
      <alignment horizontal="center" vertical="center"/>
    </xf>
    <xf numFmtId="0" fontId="4" fillId="8" borderId="35" xfId="0" applyFont="1" applyFill="1" applyBorder="1" applyAlignment="1">
      <alignment horizontal="center" vertical="center"/>
    </xf>
    <xf numFmtId="0" fontId="16" fillId="8" borderId="53" xfId="1" applyFont="1" applyFill="1" applyBorder="1" applyAlignment="1">
      <alignment vertical="center" wrapText="1"/>
    </xf>
    <xf numFmtId="0" fontId="6" fillId="0" borderId="51" xfId="0" applyFont="1" applyBorder="1" applyAlignment="1">
      <alignment horizontal="left" vertical="center"/>
    </xf>
    <xf numFmtId="0" fontId="4" fillId="0" borderId="9" xfId="0" applyFont="1" applyBorder="1" applyAlignment="1">
      <alignment vertical="center" wrapText="1"/>
    </xf>
    <xf numFmtId="0" fontId="4" fillId="0" borderId="9" xfId="0" applyFont="1" applyBorder="1" applyAlignment="1">
      <alignment horizontal="left" vertical="center" wrapText="1"/>
    </xf>
    <xf numFmtId="0" fontId="2" fillId="6" borderId="28" xfId="1" applyFill="1" applyBorder="1" applyAlignment="1">
      <alignment horizontal="center" vertical="center" wrapText="1"/>
    </xf>
    <xf numFmtId="0" fontId="4" fillId="4" borderId="53" xfId="0" applyFont="1" applyFill="1" applyBorder="1" applyAlignment="1">
      <alignment horizontal="center" vertical="center"/>
    </xf>
    <xf numFmtId="0" fontId="4" fillId="0" borderId="53" xfId="1" applyFont="1" applyFill="1" applyBorder="1" applyAlignment="1">
      <alignment horizontal="center" vertical="center" wrapText="1"/>
    </xf>
    <xf numFmtId="0" fontId="4" fillId="0" borderId="53" xfId="1" applyFont="1" applyFill="1" applyBorder="1" applyAlignment="1">
      <alignment horizontal="left" vertical="center" wrapText="1"/>
    </xf>
    <xf numFmtId="0" fontId="15" fillId="0" borderId="53" xfId="1" applyFont="1" applyFill="1" applyBorder="1" applyAlignment="1">
      <alignment horizontal="center" vertical="center"/>
    </xf>
    <xf numFmtId="0" fontId="4" fillId="4" borderId="53" xfId="0" applyFont="1" applyFill="1" applyBorder="1" applyAlignment="1">
      <alignment vertical="center"/>
    </xf>
    <xf numFmtId="0" fontId="2" fillId="0" borderId="53" xfId="1" applyFill="1" applyBorder="1" applyAlignment="1">
      <alignment horizontal="center" vertical="center"/>
    </xf>
    <xf numFmtId="0" fontId="4" fillId="0" borderId="55" xfId="0" applyFont="1" applyBorder="1" applyAlignment="1">
      <alignment vertical="center"/>
    </xf>
    <xf numFmtId="0" fontId="4" fillId="0" borderId="55" xfId="0" applyFont="1" applyBorder="1" applyAlignment="1">
      <alignment horizontal="center" vertical="center"/>
    </xf>
    <xf numFmtId="0" fontId="4" fillId="0" borderId="55" xfId="0" applyFont="1" applyBorder="1" applyAlignment="1">
      <alignment vertical="center" wrapText="1"/>
    </xf>
    <xf numFmtId="164" fontId="4" fillId="0" borderId="55" xfId="0" applyNumberFormat="1" applyFont="1" applyBorder="1" applyAlignment="1">
      <alignment horizontal="center" vertical="center"/>
    </xf>
    <xf numFmtId="0" fontId="38" fillId="0" borderId="11" xfId="0" applyFont="1" applyBorder="1" applyAlignment="1">
      <alignment horizontal="left" vertical="center" wrapText="1"/>
    </xf>
    <xf numFmtId="0" fontId="38" fillId="0" borderId="28" xfId="0" applyFont="1" applyBorder="1" applyAlignment="1">
      <alignment horizontal="left" vertical="center" wrapText="1"/>
    </xf>
    <xf numFmtId="0" fontId="38" fillId="0" borderId="51" xfId="0" applyFont="1" applyBorder="1" applyAlignment="1">
      <alignment horizontal="left" vertical="center" wrapText="1"/>
    </xf>
    <xf numFmtId="0" fontId="38" fillId="0" borderId="32" xfId="0" applyFont="1" applyBorder="1" applyAlignment="1">
      <alignment horizontal="left" vertical="center" wrapText="1"/>
    </xf>
    <xf numFmtId="0" fontId="38" fillId="0" borderId="53" xfId="0" applyFont="1" applyBorder="1" applyAlignment="1">
      <alignment horizontal="left" vertical="center" wrapText="1"/>
    </xf>
    <xf numFmtId="0" fontId="2" fillId="7" borderId="55" xfId="1" applyFill="1" applyBorder="1" applyAlignment="1">
      <alignment horizontal="center" vertical="center" wrapText="1"/>
    </xf>
    <xf numFmtId="0" fontId="6" fillId="0" borderId="55" xfId="0" applyFont="1" applyBorder="1" applyAlignment="1">
      <alignment vertical="center"/>
    </xf>
    <xf numFmtId="0" fontId="6" fillId="0" borderId="55" xfId="0" applyFont="1" applyBorder="1" applyAlignment="1">
      <alignment horizontal="left" vertical="center"/>
    </xf>
    <xf numFmtId="0" fontId="4" fillId="14" borderId="28" xfId="0" applyFont="1" applyFill="1" applyBorder="1" applyAlignment="1">
      <alignment horizontal="center" vertical="center"/>
    </xf>
    <xf numFmtId="0" fontId="4" fillId="14" borderId="53" xfId="0" applyFont="1" applyFill="1" applyBorder="1" applyAlignment="1">
      <alignment horizontal="center" vertical="center"/>
    </xf>
    <xf numFmtId="0" fontId="36" fillId="8" borderId="53" xfId="1" applyFont="1" applyFill="1" applyBorder="1" applyAlignment="1">
      <alignment horizontal="left" vertical="center" wrapText="1"/>
    </xf>
    <xf numFmtId="0" fontId="36" fillId="8" borderId="53" xfId="1" applyFont="1" applyFill="1" applyBorder="1" applyAlignment="1">
      <alignment vertical="center" wrapText="1"/>
    </xf>
    <xf numFmtId="0" fontId="4" fillId="0" borderId="7" xfId="0" applyFont="1" applyBorder="1" applyAlignment="1">
      <alignment vertical="center"/>
    </xf>
    <xf numFmtId="0" fontId="16" fillId="7" borderId="56" xfId="1" applyFont="1" applyFill="1" applyBorder="1" applyAlignment="1">
      <alignment horizontal="center" vertical="center" wrapText="1"/>
    </xf>
    <xf numFmtId="0" fontId="6" fillId="0" borderId="9" xfId="0" applyFont="1" applyBorder="1" applyAlignment="1">
      <alignment horizontal="center" vertical="center"/>
    </xf>
    <xf numFmtId="0" fontId="2" fillId="7" borderId="56" xfId="1" applyFill="1" applyBorder="1" applyAlignment="1">
      <alignment horizontal="center" vertical="center" wrapText="1"/>
    </xf>
    <xf numFmtId="0" fontId="4" fillId="0" borderId="56" xfId="0" applyFont="1" applyBorder="1" applyAlignment="1">
      <alignment vertical="center"/>
    </xf>
    <xf numFmtId="0" fontId="6" fillId="0" borderId="56" xfId="0" applyFont="1" applyBorder="1" applyAlignment="1">
      <alignment vertical="center"/>
    </xf>
    <xf numFmtId="164" fontId="4" fillId="0" borderId="56" xfId="0" applyNumberFormat="1" applyFont="1" applyBorder="1" applyAlignment="1">
      <alignment horizontal="center" vertical="center"/>
    </xf>
    <xf numFmtId="0" fontId="6" fillId="0" borderId="56" xfId="0" applyFont="1" applyBorder="1" applyAlignment="1">
      <alignment vertical="center" wrapText="1"/>
    </xf>
    <xf numFmtId="0" fontId="6" fillId="0" borderId="56" xfId="0" applyFont="1" applyBorder="1" applyAlignment="1">
      <alignment horizontal="left" vertical="center"/>
    </xf>
    <xf numFmtId="0" fontId="6" fillId="0" borderId="56" xfId="0" applyFont="1" applyBorder="1" applyAlignment="1">
      <alignment horizontal="center" vertical="center"/>
    </xf>
    <xf numFmtId="0" fontId="4" fillId="0" borderId="56" xfId="0" applyFont="1" applyBorder="1" applyAlignment="1">
      <alignment horizontal="left" vertical="center"/>
    </xf>
    <xf numFmtId="0" fontId="4" fillId="0" borderId="56" xfId="0" applyFont="1" applyBorder="1" applyAlignment="1">
      <alignment vertical="center" wrapText="1"/>
    </xf>
    <xf numFmtId="0" fontId="6" fillId="8" borderId="56" xfId="0" applyFont="1" applyFill="1" applyBorder="1" applyAlignment="1">
      <alignment horizontal="center" vertical="center"/>
    </xf>
    <xf numFmtId="0" fontId="4" fillId="8" borderId="56" xfId="0" applyFont="1" applyFill="1" applyBorder="1" applyAlignment="1">
      <alignment horizontal="center" vertical="center"/>
    </xf>
    <xf numFmtId="0" fontId="4" fillId="0" borderId="56" xfId="0" applyFont="1" applyBorder="1" applyAlignment="1">
      <alignment horizontal="center" vertical="center"/>
    </xf>
    <xf numFmtId="0" fontId="4" fillId="0" borderId="56" xfId="0" applyFont="1" applyBorder="1" applyAlignment="1">
      <alignment horizontal="left" vertical="center" wrapText="1"/>
    </xf>
    <xf numFmtId="0" fontId="4" fillId="0" borderId="57" xfId="0" applyFont="1" applyBorder="1" applyAlignment="1">
      <alignment horizontal="center" vertical="center"/>
    </xf>
    <xf numFmtId="0" fontId="4" fillId="4" borderId="57" xfId="0" applyFont="1" applyFill="1" applyBorder="1" applyAlignment="1">
      <alignment horizontal="center" vertical="center"/>
    </xf>
    <xf numFmtId="0" fontId="4" fillId="0" borderId="57" xfId="0" applyFont="1" applyBorder="1" applyAlignment="1">
      <alignment vertical="center"/>
    </xf>
    <xf numFmtId="0" fontId="4" fillId="0" borderId="57" xfId="0" applyFont="1" applyBorder="1" applyAlignment="1">
      <alignment vertical="center" wrapText="1"/>
    </xf>
    <xf numFmtId="0" fontId="4" fillId="0" borderId="57" xfId="0" applyFont="1" applyBorder="1" applyAlignment="1">
      <alignment horizontal="left" vertical="center"/>
    </xf>
    <xf numFmtId="0" fontId="16" fillId="7" borderId="57" xfId="1" applyFont="1" applyFill="1" applyBorder="1" applyAlignment="1">
      <alignment horizontal="center" vertical="center" wrapText="1"/>
    </xf>
    <xf numFmtId="0" fontId="4" fillId="0" borderId="58" xfId="0" applyFont="1" applyBorder="1" applyAlignment="1">
      <alignment vertical="center"/>
    </xf>
    <xf numFmtId="0" fontId="4" fillId="15" borderId="57" xfId="0" applyFont="1" applyFill="1" applyBorder="1" applyAlignment="1">
      <alignment horizontal="center" vertical="center"/>
    </xf>
    <xf numFmtId="0" fontId="4" fillId="0" borderId="59" xfId="0" applyFont="1" applyBorder="1" applyAlignment="1">
      <alignment horizontal="center" vertical="center"/>
    </xf>
    <xf numFmtId="0" fontId="4" fillId="0" borderId="59" xfId="0" applyFont="1" applyBorder="1" applyAlignment="1">
      <alignment vertical="center"/>
    </xf>
    <xf numFmtId="0" fontId="4" fillId="0" borderId="59" xfId="0" applyFont="1" applyBorder="1" applyAlignment="1">
      <alignment vertical="center" wrapText="1"/>
    </xf>
    <xf numFmtId="0" fontId="4" fillId="4" borderId="59" xfId="0" applyFont="1" applyFill="1" applyBorder="1" applyAlignment="1">
      <alignment vertical="center"/>
    </xf>
    <xf numFmtId="0" fontId="4" fillId="0" borderId="59" xfId="0" applyFont="1" applyBorder="1" applyAlignment="1">
      <alignment horizontal="left" vertical="center" wrapText="1"/>
    </xf>
    <xf numFmtId="0" fontId="4" fillId="8" borderId="59" xfId="0" applyFont="1" applyFill="1" applyBorder="1" applyAlignment="1">
      <alignment horizontal="center" vertical="center"/>
    </xf>
    <xf numFmtId="0" fontId="16" fillId="8" borderId="59" xfId="1" applyFont="1" applyFill="1" applyBorder="1" applyAlignment="1">
      <alignment horizontal="left" vertical="center" wrapText="1"/>
    </xf>
    <xf numFmtId="0" fontId="16" fillId="7" borderId="59" xfId="1" applyFont="1" applyFill="1" applyBorder="1" applyAlignment="1">
      <alignment horizontal="center" vertical="center" wrapText="1"/>
    </xf>
    <xf numFmtId="0" fontId="4" fillId="8" borderId="11" xfId="0" applyFont="1" applyFill="1" applyBorder="1" applyAlignment="1">
      <alignment horizontal="center" vertical="center" wrapText="1"/>
    </xf>
    <xf numFmtId="0" fontId="4" fillId="8" borderId="14" xfId="0" applyFont="1" applyFill="1" applyBorder="1" applyAlignment="1">
      <alignment horizontal="center" vertical="center" wrapText="1"/>
    </xf>
    <xf numFmtId="14" fontId="2" fillId="8" borderId="17" xfId="1" applyNumberFormat="1" applyFill="1" applyBorder="1" applyAlignment="1">
      <alignment horizontal="center" vertical="center" wrapText="1"/>
    </xf>
    <xf numFmtId="0" fontId="4" fillId="8" borderId="17" xfId="0" applyFont="1" applyFill="1" applyBorder="1" applyAlignment="1">
      <alignment horizontal="center" vertical="center" wrapText="1"/>
    </xf>
    <xf numFmtId="0" fontId="9" fillId="8" borderId="11" xfId="0" applyFont="1" applyFill="1" applyBorder="1" applyAlignment="1">
      <alignment horizontal="center" vertical="center"/>
    </xf>
    <xf numFmtId="0" fontId="16" fillId="8" borderId="50" xfId="1" applyFont="1" applyFill="1" applyBorder="1" applyAlignment="1">
      <alignment horizontal="left" vertical="center" wrapText="1"/>
    </xf>
    <xf numFmtId="0" fontId="36" fillId="8" borderId="0" xfId="1" applyFont="1" applyFill="1" applyAlignment="1">
      <alignment horizontal="center" vertical="center" wrapText="1"/>
    </xf>
    <xf numFmtId="0" fontId="36" fillId="8" borderId="56" xfId="1" applyFont="1" applyFill="1" applyBorder="1" applyAlignment="1">
      <alignment horizontal="left" vertical="center" wrapText="1"/>
    </xf>
    <xf numFmtId="14" fontId="4" fillId="8" borderId="11" xfId="0" applyNumberFormat="1" applyFont="1" applyFill="1" applyBorder="1" applyAlignment="1">
      <alignment horizontal="center" vertical="center" wrapText="1"/>
    </xf>
    <xf numFmtId="0" fontId="16" fillId="8" borderId="32" xfId="1" applyFont="1" applyFill="1" applyBorder="1" applyAlignment="1">
      <alignment horizontal="center" vertical="center" wrapText="1"/>
    </xf>
    <xf numFmtId="0" fontId="4" fillId="8" borderId="9" xfId="0" applyFont="1" applyFill="1" applyBorder="1" applyAlignment="1">
      <alignment horizontal="center" vertical="center" wrapText="1"/>
    </xf>
    <xf numFmtId="0" fontId="6" fillId="8" borderId="11" xfId="0" applyFont="1" applyFill="1" applyBorder="1" applyAlignment="1">
      <alignment horizontal="center" vertical="center" wrapText="1"/>
    </xf>
    <xf numFmtId="0" fontId="4" fillId="8" borderId="13" xfId="0" applyFont="1" applyFill="1" applyBorder="1" applyAlignment="1">
      <alignment horizontal="center" vertical="center" wrapText="1"/>
    </xf>
    <xf numFmtId="0" fontId="4" fillId="8" borderId="12" xfId="0" applyFont="1" applyFill="1" applyBorder="1" applyAlignment="1">
      <alignment horizontal="center" vertical="center" wrapText="1"/>
    </xf>
    <xf numFmtId="14" fontId="4" fillId="8" borderId="17" xfId="0" applyNumberFormat="1" applyFont="1" applyFill="1" applyBorder="1" applyAlignment="1">
      <alignment horizontal="center" vertical="center" wrapText="1"/>
    </xf>
    <xf numFmtId="0" fontId="4" fillId="8" borderId="21" xfId="0" applyFont="1" applyFill="1" applyBorder="1" applyAlignment="1">
      <alignment horizontal="center" vertical="center" wrapText="1"/>
    </xf>
    <xf numFmtId="0" fontId="4" fillId="8" borderId="23" xfId="0" applyFont="1" applyFill="1" applyBorder="1" applyAlignment="1">
      <alignment horizontal="center" vertical="center" wrapText="1"/>
    </xf>
    <xf numFmtId="0" fontId="16" fillId="8" borderId="24" xfId="1" applyFont="1" applyFill="1" applyBorder="1" applyAlignment="1">
      <alignment horizontal="left" vertical="center" wrapText="1"/>
    </xf>
    <xf numFmtId="0" fontId="16" fillId="8" borderId="30" xfId="1" applyFont="1" applyFill="1" applyBorder="1" applyAlignment="1">
      <alignment horizontal="center" vertical="center" wrapText="1"/>
    </xf>
    <xf numFmtId="0" fontId="16" fillId="8" borderId="0" xfId="1" applyFont="1" applyFill="1" applyAlignment="1">
      <alignment horizontal="left" vertical="center" wrapText="1"/>
    </xf>
    <xf numFmtId="0" fontId="32" fillId="8" borderId="24" xfId="1" applyFont="1" applyFill="1" applyBorder="1" applyAlignment="1">
      <alignment horizontal="center" vertical="center" wrapText="1"/>
    </xf>
    <xf numFmtId="0" fontId="16" fillId="8" borderId="26" xfId="1" applyFont="1" applyFill="1" applyBorder="1" applyAlignment="1">
      <alignment horizontal="center" vertical="center" wrapText="1"/>
    </xf>
    <xf numFmtId="0" fontId="32" fillId="8" borderId="28" xfId="1" applyFont="1" applyFill="1" applyBorder="1" applyAlignment="1">
      <alignment horizontal="center" vertical="center" wrapText="1"/>
    </xf>
    <xf numFmtId="0" fontId="16" fillId="8" borderId="28" xfId="1" applyFont="1" applyFill="1" applyBorder="1" applyAlignment="1">
      <alignment horizontal="center" vertical="center" wrapText="1"/>
    </xf>
    <xf numFmtId="0" fontId="16" fillId="8" borderId="33" xfId="1" applyFont="1" applyFill="1" applyBorder="1" applyAlignment="1">
      <alignment horizontal="center" vertical="center" wrapText="1"/>
    </xf>
    <xf numFmtId="0" fontId="16" fillId="8" borderId="53" xfId="1" applyFont="1" applyFill="1" applyBorder="1" applyAlignment="1">
      <alignment horizontal="center" vertical="center" wrapText="1"/>
    </xf>
    <xf numFmtId="0" fontId="16" fillId="8" borderId="39" xfId="1" applyFont="1" applyFill="1" applyBorder="1" applyAlignment="1">
      <alignment horizontal="center" vertical="center" wrapText="1"/>
    </xf>
    <xf numFmtId="0" fontId="16" fillId="8" borderId="42" xfId="1" applyFont="1" applyFill="1" applyBorder="1" applyAlignment="1">
      <alignment horizontal="center" vertical="center" wrapText="1"/>
    </xf>
    <xf numFmtId="0" fontId="36" fillId="8" borderId="42" xfId="1" applyFont="1" applyFill="1" applyBorder="1" applyAlignment="1">
      <alignment horizontal="left" vertical="center" wrapText="1"/>
    </xf>
    <xf numFmtId="0" fontId="16" fillId="8" borderId="44" xfId="1" applyFont="1" applyFill="1" applyBorder="1" applyAlignment="1">
      <alignment horizontal="center" vertical="center" wrapText="1"/>
    </xf>
    <xf numFmtId="0" fontId="16" fillId="8" borderId="45" xfId="1" applyFont="1" applyFill="1" applyBorder="1" applyAlignment="1">
      <alignment horizontal="center" vertical="center" wrapText="1"/>
    </xf>
    <xf numFmtId="0" fontId="16" fillId="8" borderId="45" xfId="1" applyFont="1" applyFill="1" applyBorder="1" applyAlignment="1">
      <alignment horizontal="left" vertical="center" wrapText="1"/>
    </xf>
    <xf numFmtId="0" fontId="16" fillId="8" borderId="0" xfId="1" applyFont="1" applyFill="1" applyBorder="1" applyAlignment="1">
      <alignment horizontal="left" vertical="center" wrapText="1"/>
    </xf>
    <xf numFmtId="0" fontId="36" fillId="8" borderId="0" xfId="1" applyFont="1" applyFill="1" applyAlignment="1">
      <alignment horizontal="left" vertical="center" wrapText="1"/>
    </xf>
    <xf numFmtId="0" fontId="16" fillId="8" borderId="56" xfId="1" applyFont="1" applyFill="1" applyBorder="1" applyAlignment="1">
      <alignment horizontal="center" vertical="center" wrapText="1"/>
    </xf>
    <xf numFmtId="0" fontId="16" fillId="8" borderId="0" xfId="1" applyFont="1" applyFill="1" applyAlignment="1">
      <alignment vertical="center" wrapText="1"/>
    </xf>
    <xf numFmtId="0" fontId="16" fillId="8" borderId="56" xfId="1" applyFont="1" applyFill="1" applyBorder="1" applyAlignment="1">
      <alignment horizontal="left" vertical="center" wrapText="1"/>
    </xf>
    <xf numFmtId="0" fontId="16" fillId="8" borderId="57" xfId="1" applyFont="1" applyFill="1" applyBorder="1" applyAlignment="1">
      <alignment horizontal="left" vertical="center" wrapText="1"/>
    </xf>
    <xf numFmtId="0" fontId="4" fillId="0" borderId="0" xfId="0" applyFont="1" applyAlignment="1">
      <alignment horizontal="left" vertical="center" wrapText="1"/>
    </xf>
    <xf numFmtId="0" fontId="4" fillId="0" borderId="13" xfId="0" applyFont="1" applyBorder="1" applyAlignment="1">
      <alignment horizontal="left" vertical="center" wrapText="1"/>
    </xf>
    <xf numFmtId="0" fontId="4" fillId="0" borderId="22" xfId="0" applyFont="1" applyBorder="1" applyAlignment="1">
      <alignment horizontal="left" vertical="center" wrapText="1"/>
    </xf>
    <xf numFmtId="0" fontId="39" fillId="0" borderId="53" xfId="0" applyFont="1" applyBorder="1" applyAlignment="1">
      <alignment horizontal="left" vertical="center" wrapText="1"/>
    </xf>
    <xf numFmtId="0" fontId="38" fillId="0" borderId="55" xfId="0" applyFont="1" applyBorder="1" applyAlignment="1">
      <alignment horizontal="left" vertical="center" wrapText="1"/>
    </xf>
    <xf numFmtId="0" fontId="6" fillId="0" borderId="56" xfId="0" applyFont="1" applyBorder="1" applyAlignment="1">
      <alignment horizontal="left" vertical="center" wrapText="1"/>
    </xf>
    <xf numFmtId="0" fontId="4" fillId="0" borderId="57" xfId="0" applyFont="1" applyBorder="1" applyAlignment="1">
      <alignment horizontal="left" vertical="center" wrapText="1"/>
    </xf>
    <xf numFmtId="0" fontId="4" fillId="0" borderId="61" xfId="0" applyFont="1" applyBorder="1" applyAlignment="1">
      <alignment horizontal="center" vertical="center"/>
    </xf>
    <xf numFmtId="0" fontId="4" fillId="0" borderId="61" xfId="0" applyFont="1" applyBorder="1" applyAlignment="1">
      <alignment vertical="center"/>
    </xf>
    <xf numFmtId="0" fontId="4" fillId="0" borderId="61" xfId="0" applyFont="1" applyBorder="1" applyAlignment="1">
      <alignment vertical="center" wrapText="1"/>
    </xf>
    <xf numFmtId="0" fontId="4" fillId="0" borderId="61" xfId="0" applyFont="1" applyBorder="1" applyAlignment="1">
      <alignment horizontal="left" vertical="center" wrapText="1"/>
    </xf>
    <xf numFmtId="0" fontId="16" fillId="7" borderId="61" xfId="1" applyFont="1" applyFill="1" applyBorder="1" applyAlignment="1">
      <alignment horizontal="center" vertical="center" wrapText="1"/>
    </xf>
    <xf numFmtId="0" fontId="2" fillId="7" borderId="61" xfId="1" applyFill="1" applyBorder="1" applyAlignment="1">
      <alignment horizontal="center" vertical="center" wrapText="1"/>
    </xf>
    <xf numFmtId="0" fontId="4" fillId="8" borderId="61" xfId="0" applyFont="1" applyFill="1" applyBorder="1" applyAlignment="1">
      <alignment horizontal="center" vertical="center"/>
    </xf>
    <xf numFmtId="0" fontId="6" fillId="0" borderId="61" xfId="0" applyFont="1" applyBorder="1" applyAlignment="1">
      <alignment vertical="center"/>
    </xf>
    <xf numFmtId="0" fontId="6" fillId="0" borderId="61" xfId="0" applyFont="1" applyBorder="1" applyAlignment="1">
      <alignment horizontal="left" vertical="center"/>
    </xf>
    <xf numFmtId="0" fontId="16" fillId="16" borderId="61" xfId="1" applyFont="1" applyFill="1" applyBorder="1" applyAlignment="1">
      <alignment horizontal="left" vertical="center" wrapText="1"/>
    </xf>
    <xf numFmtId="0" fontId="16" fillId="16" borderId="0" xfId="1" applyFont="1" applyFill="1" applyAlignment="1">
      <alignment horizontal="left" vertical="center" wrapText="1"/>
    </xf>
    <xf numFmtId="0" fontId="6" fillId="0" borderId="61" xfId="0" applyFont="1" applyBorder="1" applyAlignment="1">
      <alignment horizontal="center" vertical="center"/>
    </xf>
    <xf numFmtId="0" fontId="4" fillId="0" borderId="18" xfId="0" applyFont="1" applyBorder="1" applyAlignment="1">
      <alignment vertical="center" wrapText="1"/>
    </xf>
    <xf numFmtId="0" fontId="4" fillId="0" borderId="11" xfId="0" applyFont="1" applyBorder="1" applyAlignment="1">
      <alignment vertical="center" wrapText="1"/>
    </xf>
    <xf numFmtId="0" fontId="4" fillId="0" borderId="62" xfId="0" applyFont="1" applyBorder="1" applyAlignment="1">
      <alignment horizontal="center" vertical="center"/>
    </xf>
    <xf numFmtId="0" fontId="4" fillId="0" borderId="62" xfId="0" applyFont="1" applyBorder="1" applyAlignment="1">
      <alignment vertical="center"/>
    </xf>
    <xf numFmtId="0" fontId="4" fillId="0" borderId="62" xfId="0" applyFont="1" applyBorder="1" applyAlignment="1">
      <alignment vertical="center" wrapText="1"/>
    </xf>
    <xf numFmtId="0" fontId="4" fillId="0" borderId="62" xfId="0" applyFont="1" applyBorder="1" applyAlignment="1">
      <alignment horizontal="left" vertical="center" wrapText="1"/>
    </xf>
    <xf numFmtId="0" fontId="4" fillId="8" borderId="62" xfId="0" applyFont="1" applyFill="1" applyBorder="1" applyAlignment="1">
      <alignment horizontal="center" vertical="center"/>
    </xf>
    <xf numFmtId="0" fontId="2" fillId="7" borderId="63" xfId="1" applyFill="1" applyBorder="1" applyAlignment="1">
      <alignment horizontal="center" vertical="center" wrapText="1"/>
    </xf>
    <xf numFmtId="0" fontId="4" fillId="0" borderId="63" xfId="0" applyFont="1" applyBorder="1" applyAlignment="1">
      <alignment horizontal="center" vertical="center"/>
    </xf>
    <xf numFmtId="0" fontId="4" fillId="0" borderId="63" xfId="0" applyFont="1" applyBorder="1" applyAlignment="1">
      <alignment vertical="center"/>
    </xf>
    <xf numFmtId="0" fontId="4" fillId="0" borderId="63" xfId="0" applyFont="1" applyBorder="1" applyAlignment="1">
      <alignment vertical="center" wrapText="1"/>
    </xf>
    <xf numFmtId="0" fontId="4" fillId="0" borderId="63" xfId="0" applyFont="1" applyBorder="1" applyAlignment="1">
      <alignment horizontal="left" vertical="center"/>
    </xf>
    <xf numFmtId="0" fontId="4" fillId="0" borderId="62" xfId="0" applyFont="1" applyBorder="1" applyAlignment="1">
      <alignment horizontal="left" vertical="center"/>
    </xf>
    <xf numFmtId="0" fontId="16" fillId="8" borderId="9" xfId="1" applyFont="1" applyFill="1" applyBorder="1" applyAlignment="1">
      <alignment horizontal="left" vertical="center" wrapText="1"/>
    </xf>
    <xf numFmtId="0" fontId="36" fillId="8" borderId="63" xfId="1" applyFont="1" applyFill="1" applyBorder="1" applyAlignment="1">
      <alignment horizontal="left" vertical="center" wrapText="1"/>
    </xf>
    <xf numFmtId="0" fontId="36" fillId="16" borderId="63" xfId="1" applyFont="1" applyFill="1" applyBorder="1" applyAlignment="1">
      <alignment horizontal="center" vertical="center" wrapText="1"/>
    </xf>
    <xf numFmtId="0" fontId="16" fillId="16" borderId="63" xfId="1" applyFont="1" applyFill="1" applyBorder="1" applyAlignment="1">
      <alignment horizontal="left" vertical="center" wrapText="1"/>
    </xf>
    <xf numFmtId="0" fontId="16" fillId="7" borderId="0" xfId="1" applyFont="1" applyFill="1" applyAlignment="1">
      <alignment horizontal="center" vertical="center" wrapText="1"/>
    </xf>
    <xf numFmtId="0" fontId="4" fillId="0" borderId="63" xfId="0" applyFont="1" applyBorder="1" applyAlignment="1">
      <alignment horizontal="left" vertical="center" wrapText="1"/>
    </xf>
    <xf numFmtId="0" fontId="16" fillId="7" borderId="63" xfId="1" applyFont="1" applyFill="1" applyBorder="1" applyAlignment="1">
      <alignment horizontal="center" vertical="center" wrapText="1"/>
    </xf>
    <xf numFmtId="0" fontId="2" fillId="7" borderId="62" xfId="1" applyFill="1" applyBorder="1" applyAlignment="1">
      <alignment horizontal="center" vertical="center" wrapText="1"/>
    </xf>
    <xf numFmtId="0" fontId="2" fillId="7" borderId="64" xfId="1" applyFill="1" applyBorder="1" applyAlignment="1">
      <alignment horizontal="center" vertical="center" wrapText="1"/>
    </xf>
    <xf numFmtId="0" fontId="4" fillId="0" borderId="64" xfId="0" applyFont="1" applyBorder="1" applyAlignment="1">
      <alignment horizontal="center" vertical="center"/>
    </xf>
    <xf numFmtId="0" fontId="4" fillId="0" borderId="64" xfId="0" applyFont="1" applyBorder="1" applyAlignment="1">
      <alignment vertical="center"/>
    </xf>
    <xf numFmtId="0" fontId="4" fillId="0" borderId="64" xfId="0" applyFont="1" applyBorder="1" applyAlignment="1">
      <alignment vertical="center" wrapText="1"/>
    </xf>
    <xf numFmtId="0" fontId="4" fillId="0" borderId="64" xfId="0" applyFont="1" applyBorder="1" applyAlignment="1">
      <alignment horizontal="left" vertical="center"/>
    </xf>
    <xf numFmtId="0" fontId="16" fillId="7" borderId="64" xfId="1" applyFont="1" applyFill="1" applyBorder="1" applyAlignment="1">
      <alignment horizontal="left" vertical="center" wrapText="1"/>
    </xf>
    <xf numFmtId="0" fontId="4" fillId="8" borderId="63" xfId="0" applyFont="1" applyFill="1" applyBorder="1" applyAlignment="1">
      <alignment horizontal="center" vertical="center"/>
    </xf>
    <xf numFmtId="0" fontId="4" fillId="8" borderId="64" xfId="0" applyFont="1" applyFill="1" applyBorder="1" applyAlignment="1">
      <alignment horizontal="center" vertical="center"/>
    </xf>
    <xf numFmtId="0" fontId="4" fillId="0" borderId="65" xfId="0" applyFont="1" applyBorder="1" applyAlignment="1">
      <alignment horizontal="center" vertical="center"/>
    </xf>
    <xf numFmtId="0" fontId="4" fillId="0" borderId="65" xfId="0" applyFont="1" applyBorder="1" applyAlignment="1">
      <alignment vertical="center"/>
    </xf>
    <xf numFmtId="0" fontId="4" fillId="0" borderId="65" xfId="0" applyFont="1" applyBorder="1" applyAlignment="1">
      <alignment vertical="center" wrapText="1"/>
    </xf>
    <xf numFmtId="0" fontId="4" fillId="0" borderId="65" xfId="0" applyFont="1" applyBorder="1" applyAlignment="1">
      <alignment horizontal="left" vertical="center"/>
    </xf>
    <xf numFmtId="0" fontId="16" fillId="7" borderId="65" xfId="1" applyFont="1" applyFill="1" applyBorder="1" applyAlignment="1">
      <alignment horizontal="center" vertical="center" wrapText="1"/>
    </xf>
    <xf numFmtId="0" fontId="2" fillId="6" borderId="65" xfId="1" applyFill="1" applyBorder="1" applyAlignment="1">
      <alignment horizontal="center" vertical="center" wrapText="1"/>
    </xf>
    <xf numFmtId="0" fontId="2" fillId="7" borderId="65" xfId="1" applyFill="1" applyBorder="1" applyAlignment="1">
      <alignment horizontal="center" vertical="center" wrapText="1"/>
    </xf>
    <xf numFmtId="0" fontId="0" fillId="13" borderId="65" xfId="0" applyFill="1" applyBorder="1" applyAlignment="1">
      <alignment wrapText="1"/>
    </xf>
    <xf numFmtId="0" fontId="4" fillId="0" borderId="65" xfId="0" applyFont="1" applyBorder="1" applyAlignment="1">
      <alignment horizontal="center" vertical="center" wrapText="1"/>
    </xf>
    <xf numFmtId="164" fontId="4" fillId="0" borderId="0" xfId="0" applyNumberFormat="1" applyFont="1" applyAlignment="1">
      <alignment horizontal="center" vertical="center"/>
    </xf>
    <xf numFmtId="0" fontId="4" fillId="0" borderId="7" xfId="0" applyFont="1" applyBorder="1" applyAlignment="1">
      <alignment horizontal="center" vertical="center"/>
    </xf>
    <xf numFmtId="0" fontId="4" fillId="14" borderId="65" xfId="0" applyFont="1" applyFill="1" applyBorder="1" applyAlignment="1">
      <alignment horizontal="center" vertical="center"/>
    </xf>
    <xf numFmtId="0" fontId="4" fillId="14" borderId="64" xfId="0" applyFont="1" applyFill="1" applyBorder="1" applyAlignment="1">
      <alignment horizontal="center" vertical="center"/>
    </xf>
    <xf numFmtId="0" fontId="40" fillId="0" borderId="13" xfId="0" applyFont="1" applyBorder="1" applyAlignment="1">
      <alignment horizontal="left"/>
    </xf>
    <xf numFmtId="0" fontId="40" fillId="0" borderId="13" xfId="0" applyFont="1" applyBorder="1" applyAlignment="1">
      <alignment wrapText="1"/>
    </xf>
    <xf numFmtId="0" fontId="40" fillId="0" borderId="13" xfId="0" applyFont="1" applyBorder="1"/>
    <xf numFmtId="0" fontId="2" fillId="0" borderId="65" xfId="1" applyFill="1" applyBorder="1" applyAlignment="1">
      <alignment horizontal="left" vertical="center" wrapText="1"/>
    </xf>
    <xf numFmtId="0" fontId="4" fillId="0" borderId="59" xfId="0" applyFont="1" applyBorder="1" applyAlignment="1">
      <alignment horizontal="left" vertical="center"/>
    </xf>
    <xf numFmtId="0" fontId="4" fillId="0" borderId="61" xfId="0" applyFont="1" applyBorder="1" applyAlignment="1">
      <alignment horizontal="left" vertical="center"/>
    </xf>
    <xf numFmtId="164" fontId="4" fillId="0" borderId="53" xfId="0" applyNumberFormat="1" applyFont="1" applyBorder="1" applyAlignment="1">
      <alignment horizontal="center" vertical="center" wrapText="1"/>
    </xf>
    <xf numFmtId="0" fontId="2" fillId="7" borderId="0" xfId="1" applyFill="1" applyBorder="1" applyAlignment="1">
      <alignment horizontal="center" vertical="center" wrapText="1"/>
    </xf>
    <xf numFmtId="0" fontId="2" fillId="6" borderId="63" xfId="1" applyFill="1" applyBorder="1" applyAlignment="1">
      <alignment horizontal="center" vertical="center" wrapText="1"/>
    </xf>
    <xf numFmtId="0" fontId="4" fillId="0" borderId="59" xfId="1" applyFont="1" applyFill="1" applyBorder="1" applyAlignment="1">
      <alignment horizontal="center" vertical="center" wrapText="1"/>
    </xf>
    <xf numFmtId="0" fontId="4" fillId="0" borderId="61" xfId="1" applyFont="1" applyFill="1" applyBorder="1" applyAlignment="1">
      <alignment horizontal="center" vertical="center" wrapText="1"/>
    </xf>
    <xf numFmtId="0" fontId="6" fillId="0" borderId="63" xfId="0" applyFont="1" applyBorder="1" applyAlignment="1">
      <alignment vertical="center"/>
    </xf>
    <xf numFmtId="0" fontId="4" fillId="0" borderId="59" xfId="1" applyFont="1" applyFill="1" applyBorder="1" applyAlignment="1">
      <alignment horizontal="left" vertical="center" wrapText="1"/>
    </xf>
    <xf numFmtId="0" fontId="4" fillId="0" borderId="61" xfId="1" applyFont="1" applyFill="1" applyBorder="1" applyAlignment="1">
      <alignment horizontal="left" vertical="center" wrapText="1"/>
    </xf>
    <xf numFmtId="0" fontId="6" fillId="0" borderId="63" xfId="0" applyFont="1" applyBorder="1" applyAlignment="1">
      <alignment vertical="center" wrapText="1"/>
    </xf>
    <xf numFmtId="0" fontId="4" fillId="0" borderId="64" xfId="0" applyFont="1" applyBorder="1" applyAlignment="1">
      <alignment horizontal="left" vertical="center" wrapText="1"/>
    </xf>
    <xf numFmtId="0" fontId="6" fillId="0" borderId="62" xfId="0" applyFont="1" applyBorder="1" applyAlignment="1">
      <alignment horizontal="left" vertical="center"/>
    </xf>
    <xf numFmtId="0" fontId="6" fillId="0" borderId="63" xfId="0" applyFont="1" applyBorder="1" applyAlignment="1">
      <alignment horizontal="left" vertical="center"/>
    </xf>
    <xf numFmtId="0" fontId="38" fillId="0" borderId="59" xfId="0" applyFont="1" applyBorder="1" applyAlignment="1">
      <alignment horizontal="left" vertical="center" wrapText="1"/>
    </xf>
    <xf numFmtId="0" fontId="38" fillId="0" borderId="61" xfId="0" applyFont="1" applyBorder="1" applyAlignment="1">
      <alignment horizontal="left" vertical="center" wrapText="1"/>
    </xf>
    <xf numFmtId="0" fontId="6" fillId="0" borderId="63" xfId="0" applyFont="1" applyBorder="1" applyAlignment="1">
      <alignment horizontal="left" vertical="center" wrapText="1"/>
    </xf>
    <xf numFmtId="0" fontId="2" fillId="0" borderId="59" xfId="1" applyFill="1" applyBorder="1" applyAlignment="1">
      <alignment vertical="center"/>
    </xf>
    <xf numFmtId="17" fontId="4" fillId="0" borderId="59" xfId="0" applyNumberFormat="1" applyFont="1" applyBorder="1" applyAlignment="1">
      <alignment vertical="center"/>
    </xf>
    <xf numFmtId="0" fontId="15" fillId="0" borderId="61" xfId="1" applyFont="1" applyFill="1" applyBorder="1" applyAlignment="1">
      <alignment horizontal="center" vertical="center"/>
    </xf>
    <xf numFmtId="0" fontId="6" fillId="0" borderId="63" xfId="0" applyFont="1" applyBorder="1" applyAlignment="1">
      <alignment horizontal="center" vertical="center"/>
    </xf>
    <xf numFmtId="0" fontId="16" fillId="16" borderId="65" xfId="1" applyFont="1" applyFill="1" applyBorder="1" applyAlignment="1">
      <alignment horizontal="left" vertical="center" wrapText="1"/>
    </xf>
    <xf numFmtId="164" fontId="4" fillId="0" borderId="65" xfId="0" applyNumberFormat="1" applyFont="1" applyBorder="1" applyAlignment="1">
      <alignment horizontal="center" vertical="center"/>
    </xf>
    <xf numFmtId="0" fontId="16" fillId="16" borderId="32" xfId="1" applyFont="1" applyFill="1" applyBorder="1" applyAlignment="1">
      <alignment horizontal="left" vertical="center" wrapText="1"/>
    </xf>
    <xf numFmtId="0" fontId="4" fillId="0" borderId="65" xfId="0" applyFont="1" applyBorder="1" applyAlignment="1">
      <alignment horizontal="left" vertical="center" wrapText="1"/>
    </xf>
    <xf numFmtId="0" fontId="2" fillId="7" borderId="32" xfId="1" applyFill="1" applyBorder="1" applyAlignment="1">
      <alignment horizontal="center" vertical="center" wrapText="1"/>
    </xf>
    <xf numFmtId="0" fontId="6" fillId="0" borderId="65" xfId="0" applyFont="1" applyBorder="1" applyAlignment="1">
      <alignment horizontal="center" vertical="center"/>
    </xf>
    <xf numFmtId="0" fontId="36" fillId="16" borderId="0" xfId="1" applyFont="1" applyFill="1" applyAlignment="1">
      <alignment horizontal="left" vertical="center" wrapText="1"/>
    </xf>
    <xf numFmtId="0" fontId="16" fillId="8" borderId="65" xfId="1" applyFont="1" applyFill="1" applyBorder="1" applyAlignment="1">
      <alignment horizontal="left" vertical="center" wrapText="1"/>
    </xf>
    <xf numFmtId="0" fontId="16" fillId="16" borderId="0" xfId="1" applyFont="1" applyFill="1" applyAlignment="1">
      <alignment horizontal="center" vertical="center" wrapText="1"/>
    </xf>
    <xf numFmtId="0" fontId="6" fillId="0" borderId="65" xfId="0" applyFont="1" applyBorder="1" applyAlignment="1">
      <alignment vertical="center"/>
    </xf>
    <xf numFmtId="0" fontId="6" fillId="0" borderId="65" xfId="0" applyFont="1" applyBorder="1" applyAlignment="1">
      <alignment horizontal="left" vertical="center"/>
    </xf>
    <xf numFmtId="0" fontId="6" fillId="20" borderId="65" xfId="0" applyFont="1" applyFill="1" applyBorder="1" applyAlignment="1">
      <alignment horizontal="left" vertical="center"/>
    </xf>
    <xf numFmtId="0" fontId="0" fillId="20" borderId="65" xfId="0" applyFill="1" applyBorder="1"/>
    <xf numFmtId="0" fontId="6" fillId="20" borderId="9" xfId="0" applyFont="1" applyFill="1" applyBorder="1" applyAlignment="1">
      <alignment horizontal="left" vertical="center"/>
    </xf>
    <xf numFmtId="0" fontId="0" fillId="20" borderId="9" xfId="0" applyFill="1" applyBorder="1"/>
    <xf numFmtId="0" fontId="6" fillId="20" borderId="55" xfId="0" applyFont="1" applyFill="1" applyBorder="1" applyAlignment="1">
      <alignment horizontal="left" vertical="center"/>
    </xf>
    <xf numFmtId="0" fontId="0" fillId="20" borderId="55" xfId="0" applyFill="1" applyBorder="1"/>
    <xf numFmtId="0" fontId="6" fillId="20" borderId="45" xfId="0" applyFont="1" applyFill="1" applyBorder="1" applyAlignment="1">
      <alignment horizontal="left" vertical="center"/>
    </xf>
    <xf numFmtId="0" fontId="0" fillId="20" borderId="45" xfId="0" applyFill="1" applyBorder="1"/>
    <xf numFmtId="0" fontId="6" fillId="0" borderId="32" xfId="0" applyFont="1" applyBorder="1" applyAlignment="1">
      <alignment vertical="center"/>
    </xf>
    <xf numFmtId="0" fontId="6" fillId="0" borderId="32" xfId="0" applyFont="1" applyBorder="1" applyAlignment="1">
      <alignment horizontal="left" vertical="center"/>
    </xf>
    <xf numFmtId="0" fontId="6" fillId="0" borderId="32" xfId="0" applyFont="1" applyBorder="1" applyAlignment="1">
      <alignment horizontal="center" vertical="center"/>
    </xf>
    <xf numFmtId="0" fontId="2" fillId="7" borderId="65" xfId="1" applyFill="1" applyBorder="1" applyAlignment="1">
      <alignment horizontal="left" vertical="center" wrapText="1"/>
    </xf>
    <xf numFmtId="0" fontId="4" fillId="8" borderId="65" xfId="0" applyFont="1" applyFill="1" applyBorder="1" applyAlignment="1">
      <alignment horizontal="center" vertical="center"/>
    </xf>
    <xf numFmtId="0" fontId="6" fillId="0" borderId="65" xfId="0" applyFont="1" applyBorder="1" applyAlignment="1">
      <alignment vertical="center" wrapText="1"/>
    </xf>
    <xf numFmtId="0" fontId="2" fillId="7" borderId="48" xfId="1" applyFill="1" applyBorder="1" applyAlignment="1">
      <alignment horizontal="center" vertical="center"/>
    </xf>
    <xf numFmtId="0" fontId="2" fillId="6" borderId="62" xfId="1" applyFill="1" applyBorder="1" applyAlignment="1">
      <alignment horizontal="center" vertical="center" wrapText="1"/>
    </xf>
    <xf numFmtId="0" fontId="4" fillId="0" borderId="66" xfId="0" applyFont="1" applyBorder="1" applyAlignment="1">
      <alignment horizontal="center" vertical="center"/>
    </xf>
    <xf numFmtId="0" fontId="4" fillId="0" borderId="66" xfId="0" applyFont="1" applyBorder="1" applyAlignment="1">
      <alignment vertical="center"/>
    </xf>
    <xf numFmtId="0" fontId="4" fillId="0" borderId="66" xfId="0" applyFont="1" applyBorder="1" applyAlignment="1">
      <alignment vertical="center" wrapText="1"/>
    </xf>
    <xf numFmtId="0" fontId="4" fillId="0" borderId="66" xfId="0" applyFont="1" applyBorder="1" applyAlignment="1">
      <alignment horizontal="left" vertical="center"/>
    </xf>
    <xf numFmtId="0" fontId="4" fillId="0" borderId="67" xfId="0" applyFont="1" applyBorder="1" applyAlignment="1">
      <alignment horizontal="center" vertical="center"/>
    </xf>
    <xf numFmtId="0" fontId="4" fillId="0" borderId="67" xfId="0" applyFont="1" applyBorder="1" applyAlignment="1">
      <alignment vertical="center"/>
    </xf>
    <xf numFmtId="0" fontId="4" fillId="0" borderId="67" xfId="0" applyFont="1" applyBorder="1" applyAlignment="1">
      <alignment vertical="center" wrapText="1"/>
    </xf>
    <xf numFmtId="0" fontId="4" fillId="0" borderId="67" xfId="0" applyFont="1" applyBorder="1" applyAlignment="1">
      <alignment horizontal="left" vertical="center"/>
    </xf>
    <xf numFmtId="0" fontId="2" fillId="7" borderId="67" xfId="1" applyFill="1" applyBorder="1" applyAlignment="1">
      <alignment horizontal="left" vertical="center" wrapText="1"/>
    </xf>
    <xf numFmtId="164" fontId="4" fillId="0" borderId="67" xfId="0" applyNumberFormat="1" applyFont="1" applyBorder="1" applyAlignment="1">
      <alignment horizontal="center" vertical="center"/>
    </xf>
    <xf numFmtId="0" fontId="2" fillId="7" borderId="67" xfId="1" applyFill="1" applyBorder="1" applyAlignment="1">
      <alignment horizontal="center" vertical="center" wrapText="1"/>
    </xf>
    <xf numFmtId="0" fontId="2" fillId="7" borderId="0" xfId="1" applyFill="1" applyAlignment="1">
      <alignment horizontal="left" vertical="center" wrapText="1"/>
    </xf>
    <xf numFmtId="14" fontId="2" fillId="7" borderId="67" xfId="1" applyNumberFormat="1" applyFill="1" applyBorder="1" applyAlignment="1">
      <alignment horizontal="left" vertical="center" wrapText="1"/>
    </xf>
    <xf numFmtId="0" fontId="4" fillId="6" borderId="5" xfId="0" applyFont="1" applyFill="1" applyBorder="1" applyAlignment="1">
      <alignment horizontal="center" vertical="center" wrapText="1"/>
    </xf>
    <xf numFmtId="0" fontId="4" fillId="0" borderId="68" xfId="0" applyFont="1" applyBorder="1" applyAlignment="1">
      <alignment horizontal="center" vertical="center"/>
    </xf>
    <xf numFmtId="0" fontId="4" fillId="0" borderId="68" xfId="0" applyFont="1" applyBorder="1" applyAlignment="1">
      <alignment vertical="center"/>
    </xf>
    <xf numFmtId="0" fontId="4" fillId="0" borderId="68" xfId="0" applyFont="1" applyBorder="1" applyAlignment="1">
      <alignment vertical="center" wrapText="1"/>
    </xf>
    <xf numFmtId="0" fontId="4" fillId="0" borderId="68" xfId="0" applyFont="1" applyBorder="1" applyAlignment="1">
      <alignment horizontal="left" vertical="center"/>
    </xf>
    <xf numFmtId="0" fontId="2" fillId="6" borderId="67" xfId="1" applyFill="1" applyBorder="1" applyAlignment="1">
      <alignment horizontal="center" vertical="center" wrapText="1"/>
    </xf>
    <xf numFmtId="0" fontId="6" fillId="0" borderId="68" xfId="0" applyFont="1" applyBorder="1" applyAlignment="1">
      <alignment horizontal="center" vertical="center"/>
    </xf>
    <xf numFmtId="0" fontId="6" fillId="0" borderId="68" xfId="0" applyFont="1" applyBorder="1" applyAlignment="1">
      <alignment vertical="center"/>
    </xf>
    <xf numFmtId="0" fontId="6" fillId="0" borderId="68" xfId="0" applyFont="1" applyBorder="1" applyAlignment="1">
      <alignment horizontal="left" vertical="center"/>
    </xf>
    <xf numFmtId="0" fontId="6" fillId="0" borderId="68" xfId="0" applyFont="1" applyBorder="1" applyAlignment="1">
      <alignment horizontal="left" vertical="center" wrapText="1"/>
    </xf>
    <xf numFmtId="0" fontId="4" fillId="8" borderId="67" xfId="0" applyFont="1" applyFill="1" applyBorder="1" applyAlignment="1">
      <alignment horizontal="center" vertical="center"/>
    </xf>
    <xf numFmtId="0" fontId="4" fillId="8" borderId="68" xfId="0" applyFont="1" applyFill="1" applyBorder="1" applyAlignment="1">
      <alignment horizontal="center" vertical="center"/>
    </xf>
    <xf numFmtId="0" fontId="2" fillId="7" borderId="68" xfId="1" applyFill="1" applyBorder="1" applyAlignment="1">
      <alignment horizontal="center" vertical="center" wrapText="1"/>
    </xf>
    <xf numFmtId="0" fontId="2" fillId="0" borderId="0" xfId="1"/>
    <xf numFmtId="0" fontId="6" fillId="0" borderId="68" xfId="0" applyFont="1" applyBorder="1" applyAlignment="1">
      <alignment vertical="center" wrapText="1"/>
    </xf>
    <xf numFmtId="0" fontId="4" fillId="0" borderId="68" xfId="0" applyFont="1" applyBorder="1" applyAlignment="1">
      <alignment horizontal="left" vertical="center" wrapText="1"/>
    </xf>
    <xf numFmtId="0" fontId="4" fillId="0" borderId="69" xfId="0" applyFont="1" applyBorder="1" applyAlignment="1">
      <alignment horizontal="center" vertical="center"/>
    </xf>
    <xf numFmtId="0" fontId="4" fillId="0" borderId="69" xfId="0" applyFont="1" applyBorder="1" applyAlignment="1">
      <alignment horizontal="left" vertical="center" wrapText="1"/>
    </xf>
    <xf numFmtId="0" fontId="4" fillId="0" borderId="69" xfId="0" applyFont="1" applyBorder="1" applyAlignment="1">
      <alignment horizontal="left" vertical="center"/>
    </xf>
    <xf numFmtId="0" fontId="4" fillId="0" borderId="69" xfId="0" applyFont="1" applyBorder="1" applyAlignment="1">
      <alignment vertical="center" wrapText="1"/>
    </xf>
    <xf numFmtId="0" fontId="4" fillId="0" borderId="69" xfId="0" applyFont="1" applyBorder="1" applyAlignment="1">
      <alignment vertical="center"/>
    </xf>
    <xf numFmtId="0" fontId="4" fillId="8" borderId="69" xfId="0" applyFont="1" applyFill="1" applyBorder="1" applyAlignment="1">
      <alignment horizontal="center" vertical="center"/>
    </xf>
    <xf numFmtId="0" fontId="2" fillId="7" borderId="69" xfId="1" applyFill="1" applyBorder="1" applyAlignment="1">
      <alignment horizontal="center" vertical="center" wrapText="1"/>
    </xf>
    <xf numFmtId="0" fontId="36" fillId="16" borderId="65" xfId="1" applyFont="1" applyFill="1" applyBorder="1" applyAlignment="1">
      <alignment horizontal="center" vertical="center" wrapText="1"/>
    </xf>
    <xf numFmtId="0" fontId="2" fillId="6" borderId="68" xfId="1" applyFill="1" applyBorder="1" applyAlignment="1">
      <alignment horizontal="center" vertical="center" wrapText="1"/>
    </xf>
    <xf numFmtId="0" fontId="4" fillId="0" borderId="70" xfId="0" applyFont="1" applyBorder="1" applyAlignment="1">
      <alignment horizontal="center" vertical="center"/>
    </xf>
    <xf numFmtId="0" fontId="4" fillId="0" borderId="70" xfId="0" applyFont="1" applyBorder="1" applyAlignment="1">
      <alignment horizontal="left" vertical="center" wrapText="1"/>
    </xf>
    <xf numFmtId="0" fontId="4" fillId="0" borderId="70" xfId="0" applyFont="1" applyBorder="1" applyAlignment="1">
      <alignment horizontal="left" vertical="center"/>
    </xf>
    <xf numFmtId="0" fontId="4" fillId="0" borderId="70" xfId="0" applyFont="1" applyBorder="1" applyAlignment="1">
      <alignment vertical="center" wrapText="1"/>
    </xf>
    <xf numFmtId="0" fontId="4" fillId="0" borderId="70" xfId="0" applyFont="1" applyBorder="1" applyAlignment="1">
      <alignment vertical="center"/>
    </xf>
    <xf numFmtId="0" fontId="4" fillId="8" borderId="70" xfId="0" applyFont="1" applyFill="1" applyBorder="1" applyAlignment="1">
      <alignment horizontal="center" vertical="center"/>
    </xf>
    <xf numFmtId="0" fontId="2" fillId="7" borderId="70" xfId="1" applyFill="1" applyBorder="1" applyAlignment="1">
      <alignment horizontal="center" vertical="center" wrapText="1"/>
    </xf>
    <xf numFmtId="0" fontId="36" fillId="16" borderId="0" xfId="1" applyFont="1" applyFill="1" applyAlignment="1">
      <alignment vertical="center" wrapText="1"/>
    </xf>
    <xf numFmtId="0" fontId="36" fillId="8" borderId="70" xfId="1" applyFont="1" applyFill="1" applyBorder="1" applyAlignment="1">
      <alignment horizontal="left" vertical="center" wrapText="1"/>
    </xf>
    <xf numFmtId="0" fontId="16" fillId="16" borderId="9" xfId="1" applyFont="1" applyFill="1" applyBorder="1" applyAlignment="1">
      <alignment horizontal="left" vertical="center" wrapText="1"/>
    </xf>
    <xf numFmtId="0" fontId="16" fillId="8" borderId="24" xfId="1" applyFont="1" applyFill="1" applyBorder="1" applyAlignment="1">
      <alignment vertical="center" wrapText="1"/>
    </xf>
    <xf numFmtId="0" fontId="16" fillId="8" borderId="42" xfId="1" applyFont="1" applyFill="1" applyBorder="1" applyAlignment="1">
      <alignment vertical="center" wrapText="1"/>
    </xf>
    <xf numFmtId="0" fontId="4" fillId="8" borderId="44" xfId="0" applyFont="1" applyFill="1" applyBorder="1" applyAlignment="1">
      <alignment vertical="center" wrapText="1"/>
    </xf>
    <xf numFmtId="0" fontId="4" fillId="4" borderId="42" xfId="0" applyFont="1" applyFill="1" applyBorder="1" applyAlignment="1">
      <alignment horizontal="left" vertical="center"/>
    </xf>
    <xf numFmtId="0" fontId="4" fillId="4" borderId="71" xfId="0" applyFont="1" applyFill="1" applyBorder="1" applyAlignment="1">
      <alignment horizontal="center" vertical="center"/>
    </xf>
    <xf numFmtId="0" fontId="4" fillId="4" borderId="71" xfId="0" applyFont="1" applyFill="1" applyBorder="1" applyAlignment="1">
      <alignment horizontal="left" vertical="center" wrapText="1"/>
    </xf>
    <xf numFmtId="164" fontId="4" fillId="4" borderId="71" xfId="0" applyNumberFormat="1" applyFont="1" applyFill="1" applyBorder="1" applyAlignment="1">
      <alignment horizontal="center" vertical="center"/>
    </xf>
    <xf numFmtId="0" fontId="4" fillId="4" borderId="71" xfId="0" applyFont="1" applyFill="1" applyBorder="1" applyAlignment="1">
      <alignment vertical="center"/>
    </xf>
    <xf numFmtId="0" fontId="4" fillId="4" borderId="71" xfId="0" applyFont="1" applyFill="1" applyBorder="1" applyAlignment="1">
      <alignment vertical="center" wrapText="1"/>
    </xf>
    <xf numFmtId="0" fontId="4" fillId="4" borderId="71" xfId="0" applyFont="1" applyFill="1" applyBorder="1" applyAlignment="1">
      <alignment horizontal="left" vertical="center"/>
    </xf>
    <xf numFmtId="0" fontId="2" fillId="6" borderId="70" xfId="1" applyFill="1" applyBorder="1" applyAlignment="1">
      <alignment horizontal="center" vertical="center" wrapText="1"/>
    </xf>
    <xf numFmtId="0" fontId="2" fillId="6" borderId="69" xfId="1" applyFill="1" applyBorder="1" applyAlignment="1">
      <alignment horizontal="center" vertical="center" wrapText="1"/>
    </xf>
    <xf numFmtId="0" fontId="2" fillId="0" borderId="65" xfId="1" applyBorder="1" applyAlignment="1">
      <alignment horizontal="center" vertical="center"/>
    </xf>
    <xf numFmtId="0" fontId="2" fillId="4" borderId="71" xfId="1" applyFill="1" applyBorder="1" applyAlignment="1">
      <alignment horizontal="center" vertical="center"/>
    </xf>
    <xf numFmtId="0" fontId="16" fillId="4" borderId="71" xfId="1" applyFont="1" applyFill="1" applyBorder="1" applyAlignment="1">
      <alignment horizontal="center" vertical="center" wrapText="1"/>
    </xf>
    <xf numFmtId="0" fontId="4" fillId="0" borderId="72" xfId="0" applyFont="1" applyBorder="1" applyAlignment="1">
      <alignment horizontal="center" vertical="center"/>
    </xf>
    <xf numFmtId="0" fontId="4" fillId="0" borderId="72" xfId="0" applyFont="1" applyBorder="1" applyAlignment="1">
      <alignment horizontal="left" vertical="center" wrapText="1"/>
    </xf>
    <xf numFmtId="0" fontId="4" fillId="0" borderId="72" xfId="0" applyFont="1" applyBorder="1" applyAlignment="1">
      <alignment vertical="center" wrapText="1"/>
    </xf>
    <xf numFmtId="0" fontId="4" fillId="0" borderId="72" xfId="0" applyFont="1" applyBorder="1" applyAlignment="1">
      <alignment horizontal="left" vertical="center"/>
    </xf>
    <xf numFmtId="0" fontId="4" fillId="0" borderId="72" xfId="0" applyFont="1" applyBorder="1" applyAlignment="1">
      <alignment vertical="center"/>
    </xf>
    <xf numFmtId="0" fontId="4" fillId="0" borderId="71" xfId="0" applyFont="1" applyBorder="1" applyAlignment="1">
      <alignment horizontal="center" vertical="center"/>
    </xf>
    <xf numFmtId="0" fontId="4" fillId="0" borderId="71" xfId="0" applyFont="1" applyBorder="1" applyAlignment="1">
      <alignment horizontal="left" vertical="center" wrapText="1"/>
    </xf>
    <xf numFmtId="164" fontId="4" fillId="0" borderId="71" xfId="0" applyNumberFormat="1" applyFont="1" applyBorder="1" applyAlignment="1">
      <alignment horizontal="center" vertical="center"/>
    </xf>
    <xf numFmtId="0" fontId="4" fillId="0" borderId="71" xfId="0" applyFont="1" applyBorder="1" applyAlignment="1">
      <alignment vertical="center" wrapText="1"/>
    </xf>
    <xf numFmtId="0" fontId="4" fillId="0" borderId="71" xfId="0" applyFont="1" applyBorder="1" applyAlignment="1">
      <alignment horizontal="left" vertical="center"/>
    </xf>
    <xf numFmtId="0" fontId="4" fillId="0" borderId="71" xfId="0" applyFont="1" applyBorder="1" applyAlignment="1">
      <alignment vertical="center"/>
    </xf>
    <xf numFmtId="0" fontId="4" fillId="8" borderId="72" xfId="0" applyFont="1" applyFill="1" applyBorder="1" applyAlignment="1">
      <alignment horizontal="center" vertical="center"/>
    </xf>
    <xf numFmtId="0" fontId="4" fillId="8" borderId="71" xfId="0" applyFont="1" applyFill="1" applyBorder="1" applyAlignment="1">
      <alignment horizontal="center" vertical="center"/>
    </xf>
    <xf numFmtId="0" fontId="16" fillId="8" borderId="69" xfId="1" applyFont="1" applyFill="1" applyBorder="1" applyAlignment="1">
      <alignment wrapText="1"/>
    </xf>
    <xf numFmtId="0" fontId="2" fillId="8" borderId="9" xfId="1" applyFill="1" applyBorder="1" applyAlignment="1">
      <alignment wrapText="1"/>
    </xf>
    <xf numFmtId="0" fontId="4" fillId="4" borderId="73" xfId="0" applyFont="1" applyFill="1" applyBorder="1" applyAlignment="1">
      <alignment vertical="center"/>
    </xf>
    <xf numFmtId="0" fontId="4" fillId="4" borderId="74" xfId="0" applyFont="1" applyFill="1" applyBorder="1" applyAlignment="1">
      <alignment horizontal="center" vertical="center"/>
    </xf>
    <xf numFmtId="0" fontId="4" fillId="4" borderId="74" xfId="0" applyFont="1" applyFill="1" applyBorder="1" applyAlignment="1">
      <alignment horizontal="left" vertical="center" wrapText="1"/>
    </xf>
    <xf numFmtId="164" fontId="4" fillId="4" borderId="74" xfId="0" applyNumberFormat="1" applyFont="1" applyFill="1" applyBorder="1" applyAlignment="1">
      <alignment horizontal="center" vertical="center"/>
    </xf>
    <xf numFmtId="0" fontId="4" fillId="4" borderId="74" xfId="0" applyFont="1" applyFill="1" applyBorder="1" applyAlignment="1">
      <alignment vertical="center"/>
    </xf>
    <xf numFmtId="0" fontId="4" fillId="4" borderId="74" xfId="0" applyFont="1" applyFill="1" applyBorder="1" applyAlignment="1">
      <alignment vertical="center" wrapText="1"/>
    </xf>
    <xf numFmtId="0" fontId="4" fillId="4" borderId="74" xfId="0" applyFont="1" applyFill="1" applyBorder="1" applyAlignment="1">
      <alignment horizontal="left" vertical="center"/>
    </xf>
    <xf numFmtId="0" fontId="2" fillId="6" borderId="71" xfId="1" applyFill="1" applyBorder="1" applyAlignment="1">
      <alignment horizontal="center" vertical="center" wrapText="1"/>
    </xf>
    <xf numFmtId="0" fontId="2" fillId="7" borderId="74" xfId="1" applyFill="1" applyBorder="1" applyAlignment="1">
      <alignment horizontal="center" vertical="center" wrapText="1"/>
    </xf>
    <xf numFmtId="0" fontId="4" fillId="8" borderId="74" xfId="0" applyFont="1" applyFill="1" applyBorder="1" applyAlignment="1">
      <alignment horizontal="center" vertical="center"/>
    </xf>
    <xf numFmtId="0" fontId="4" fillId="8" borderId="73" xfId="0" applyFont="1" applyFill="1" applyBorder="1" applyAlignment="1">
      <alignment horizontal="center" vertical="center"/>
    </xf>
    <xf numFmtId="0" fontId="16" fillId="4" borderId="0" xfId="1" applyFont="1" applyFill="1" applyAlignment="1">
      <alignment horizontal="left" vertical="center" wrapText="1"/>
    </xf>
    <xf numFmtId="0" fontId="4" fillId="4" borderId="75" xfId="0" applyFont="1" applyFill="1" applyBorder="1" applyAlignment="1">
      <alignment horizontal="center" vertical="center"/>
    </xf>
    <xf numFmtId="0" fontId="4" fillId="4" borderId="75" xfId="0" applyFont="1" applyFill="1" applyBorder="1" applyAlignment="1">
      <alignment horizontal="left" vertical="center" wrapText="1"/>
    </xf>
    <xf numFmtId="164" fontId="4" fillId="4" borderId="75" xfId="0" applyNumberFormat="1" applyFont="1" applyFill="1" applyBorder="1" applyAlignment="1">
      <alignment horizontal="center" vertical="center"/>
    </xf>
    <xf numFmtId="0" fontId="4" fillId="4" borderId="75" xfId="0" applyFont="1" applyFill="1" applyBorder="1" applyAlignment="1">
      <alignment vertical="center"/>
    </xf>
    <xf numFmtId="0" fontId="4" fillId="4" borderId="75" xfId="0" applyFont="1" applyFill="1" applyBorder="1" applyAlignment="1">
      <alignment vertical="center" wrapText="1"/>
    </xf>
    <xf numFmtId="0" fontId="4" fillId="4" borderId="75" xfId="0" applyFont="1" applyFill="1" applyBorder="1" applyAlignment="1">
      <alignment horizontal="left" vertical="center"/>
    </xf>
    <xf numFmtId="0" fontId="2" fillId="7" borderId="75" xfId="1" applyFill="1" applyBorder="1" applyAlignment="1">
      <alignment horizontal="center" vertical="center" wrapText="1"/>
    </xf>
    <xf numFmtId="0" fontId="16" fillId="4" borderId="0" xfId="1" applyFont="1" applyFill="1" applyAlignment="1">
      <alignment horizontal="center" vertical="center" wrapText="1"/>
    </xf>
    <xf numFmtId="0" fontId="4" fillId="0" borderId="73" xfId="0" applyFont="1" applyBorder="1" applyAlignment="1">
      <alignment horizontal="center" vertical="center"/>
    </xf>
    <xf numFmtId="0" fontId="4" fillId="0" borderId="73" xfId="0" applyFont="1" applyBorder="1" applyAlignment="1">
      <alignment horizontal="left" vertical="center" wrapText="1"/>
    </xf>
    <xf numFmtId="164" fontId="4" fillId="0" borderId="73" xfId="0" applyNumberFormat="1" applyFont="1" applyBorder="1" applyAlignment="1">
      <alignment horizontal="center" vertical="center"/>
    </xf>
    <xf numFmtId="0" fontId="4" fillId="0" borderId="73" xfId="0" applyFont="1" applyBorder="1" applyAlignment="1">
      <alignment vertical="center"/>
    </xf>
    <xf numFmtId="0" fontId="4" fillId="0" borderId="73" xfId="0" applyFont="1" applyBorder="1" applyAlignment="1">
      <alignment vertical="center" wrapText="1"/>
    </xf>
    <xf numFmtId="0" fontId="4" fillId="0" borderId="73" xfId="0" applyFont="1" applyBorder="1" applyAlignment="1">
      <alignment horizontal="left" vertical="center"/>
    </xf>
    <xf numFmtId="0" fontId="4" fillId="0" borderId="75" xfId="0" applyFont="1" applyBorder="1" applyAlignment="1">
      <alignment horizontal="center" vertical="center"/>
    </xf>
    <xf numFmtId="0" fontId="4" fillId="0" borderId="75" xfId="0" applyFont="1" applyBorder="1" applyAlignment="1">
      <alignment horizontal="left" vertical="center" wrapText="1"/>
    </xf>
    <xf numFmtId="164" fontId="4" fillId="0" borderId="75" xfId="0" applyNumberFormat="1" applyFont="1" applyBorder="1" applyAlignment="1">
      <alignment horizontal="center" vertical="center"/>
    </xf>
    <xf numFmtId="0" fontId="4" fillId="0" borderId="75" xfId="0" applyFont="1" applyBorder="1" applyAlignment="1">
      <alignment vertical="center"/>
    </xf>
    <xf numFmtId="0" fontId="4" fillId="0" borderId="75" xfId="0" applyFont="1" applyBorder="1" applyAlignment="1">
      <alignment vertical="center" wrapText="1"/>
    </xf>
    <xf numFmtId="0" fontId="4" fillId="0" borderId="75" xfId="0" applyFont="1" applyBorder="1" applyAlignment="1">
      <alignment horizontal="left" vertical="center"/>
    </xf>
    <xf numFmtId="0" fontId="4" fillId="8" borderId="75" xfId="0" applyFont="1" applyFill="1" applyBorder="1" applyAlignment="1">
      <alignment horizontal="center" vertical="center"/>
    </xf>
    <xf numFmtId="0" fontId="16" fillId="8" borderId="32" xfId="1" applyFont="1" applyFill="1" applyBorder="1" applyAlignment="1">
      <alignment wrapText="1"/>
    </xf>
    <xf numFmtId="0" fontId="16" fillId="8" borderId="76" xfId="1" applyFont="1" applyFill="1" applyBorder="1" applyAlignment="1">
      <alignment horizontal="left" vertical="center" wrapText="1"/>
    </xf>
    <xf numFmtId="0" fontId="6" fillId="0" borderId="76" xfId="0" applyFont="1" applyBorder="1" applyAlignment="1">
      <alignment horizontal="center" vertical="center"/>
    </xf>
    <xf numFmtId="0" fontId="6" fillId="0" borderId="76" xfId="0" applyFont="1" applyBorder="1" applyAlignment="1">
      <alignment horizontal="center" vertical="center" wrapText="1"/>
    </xf>
    <xf numFmtId="0" fontId="6" fillId="0" borderId="76" xfId="0" applyFont="1" applyBorder="1" applyAlignment="1">
      <alignment vertical="center"/>
    </xf>
    <xf numFmtId="0" fontId="4" fillId="0" borderId="76" xfId="0" applyFont="1" applyBorder="1" applyAlignment="1">
      <alignment horizontal="center" vertical="center"/>
    </xf>
    <xf numFmtId="0" fontId="4" fillId="0" borderId="76" xfId="0" applyFont="1" applyBorder="1" applyAlignment="1">
      <alignment vertical="center"/>
    </xf>
    <xf numFmtId="0" fontId="4" fillId="0" borderId="64"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68" xfId="0" applyFont="1" applyBorder="1" applyAlignment="1">
      <alignment horizontal="center" vertical="center" wrapText="1"/>
    </xf>
    <xf numFmtId="0" fontId="4" fillId="0" borderId="70" xfId="0" applyFont="1" applyBorder="1" applyAlignment="1">
      <alignment horizontal="center" vertical="center" wrapText="1"/>
    </xf>
    <xf numFmtId="0" fontId="4" fillId="0" borderId="73" xfId="0" applyFont="1" applyBorder="1" applyAlignment="1">
      <alignment horizontal="center" vertical="center" wrapText="1"/>
    </xf>
    <xf numFmtId="0" fontId="6" fillId="0" borderId="76" xfId="0" applyFont="1" applyBorder="1" applyAlignment="1">
      <alignment vertical="center" wrapText="1"/>
    </xf>
    <xf numFmtId="0" fontId="4" fillId="0" borderId="77" xfId="0" applyFont="1" applyBorder="1" applyAlignment="1">
      <alignment horizontal="center" vertical="center"/>
    </xf>
    <xf numFmtId="0" fontId="4" fillId="0" borderId="77" xfId="0" applyFont="1" applyBorder="1" applyAlignment="1">
      <alignment horizontal="center" vertical="center" wrapText="1"/>
    </xf>
    <xf numFmtId="0" fontId="4" fillId="0" borderId="77" xfId="0" applyFont="1" applyBorder="1" applyAlignment="1">
      <alignment vertical="center" wrapText="1"/>
    </xf>
    <xf numFmtId="0" fontId="4" fillId="0" borderId="77" xfId="0" applyFont="1" applyBorder="1" applyAlignment="1">
      <alignment vertical="center"/>
    </xf>
    <xf numFmtId="0" fontId="4" fillId="0" borderId="78" xfId="0" applyFont="1" applyBorder="1" applyAlignment="1">
      <alignment horizontal="center" vertical="center"/>
    </xf>
    <xf numFmtId="0" fontId="4" fillId="0" borderId="78" xfId="0" applyFont="1" applyBorder="1" applyAlignment="1">
      <alignment horizontal="center" vertical="center" wrapText="1"/>
    </xf>
    <xf numFmtId="0" fontId="4" fillId="0" borderId="78" xfId="0" applyFont="1" applyBorder="1" applyAlignment="1">
      <alignment vertical="center" wrapText="1"/>
    </xf>
    <xf numFmtId="0" fontId="4" fillId="0" borderId="78" xfId="0" applyFont="1" applyBorder="1" applyAlignment="1">
      <alignment vertical="center"/>
    </xf>
    <xf numFmtId="0" fontId="2" fillId="7" borderId="78" xfId="1" applyFill="1" applyBorder="1" applyAlignment="1">
      <alignment horizontal="center" vertical="center" wrapText="1"/>
    </xf>
    <xf numFmtId="0" fontId="16" fillId="7" borderId="78" xfId="1" applyFont="1" applyFill="1" applyBorder="1" applyAlignment="1">
      <alignment horizontal="center" vertical="center" wrapText="1"/>
    </xf>
    <xf numFmtId="0" fontId="16" fillId="7" borderId="77" xfId="1" applyFont="1" applyFill="1" applyBorder="1" applyAlignment="1">
      <alignment horizontal="center" vertical="center" wrapText="1"/>
    </xf>
    <xf numFmtId="42" fontId="4" fillId="0" borderId="77" xfId="0" applyNumberFormat="1" applyFont="1" applyBorder="1" applyAlignment="1">
      <alignment horizontal="center" vertical="center"/>
    </xf>
    <xf numFmtId="42" fontId="4" fillId="0" borderId="78" xfId="0" applyNumberFormat="1" applyFont="1" applyBorder="1" applyAlignment="1">
      <alignment horizontal="center" vertical="center"/>
    </xf>
    <xf numFmtId="0" fontId="4" fillId="0" borderId="77" xfId="0" applyFont="1" applyBorder="1" applyAlignment="1">
      <alignment horizontal="left" vertical="center"/>
    </xf>
    <xf numFmtId="0" fontId="4" fillId="0" borderId="78" xfId="0" applyFont="1" applyBorder="1" applyAlignment="1">
      <alignment horizontal="left" vertical="center"/>
    </xf>
    <xf numFmtId="0" fontId="4" fillId="8" borderId="76" xfId="0" applyFont="1" applyFill="1" applyBorder="1" applyAlignment="1">
      <alignment horizontal="center" vertical="center"/>
    </xf>
    <xf numFmtId="0" fontId="4" fillId="8" borderId="77" xfId="0" applyFont="1" applyFill="1" applyBorder="1" applyAlignment="1">
      <alignment horizontal="center" vertical="center"/>
    </xf>
    <xf numFmtId="0" fontId="2" fillId="6" borderId="78" xfId="1" applyFill="1" applyBorder="1" applyAlignment="1">
      <alignment horizontal="center" vertical="center" wrapText="1"/>
    </xf>
    <xf numFmtId="0" fontId="16" fillId="6" borderId="78" xfId="1" applyFont="1" applyFill="1" applyBorder="1" applyAlignment="1">
      <alignment horizontal="center" vertical="center" wrapText="1"/>
    </xf>
    <xf numFmtId="0" fontId="4" fillId="0" borderId="80" xfId="0" applyFont="1" applyBorder="1" applyAlignment="1">
      <alignment horizontal="center" vertical="center"/>
    </xf>
    <xf numFmtId="0" fontId="4" fillId="0" borderId="80" xfId="0" applyFont="1" applyBorder="1" applyAlignment="1">
      <alignment horizontal="center" vertical="center" wrapText="1"/>
    </xf>
    <xf numFmtId="0" fontId="4" fillId="0" borderId="80" xfId="0" applyFont="1" applyBorder="1" applyAlignment="1">
      <alignment vertical="center" wrapText="1"/>
    </xf>
    <xf numFmtId="0" fontId="4" fillId="0" borderId="80" xfId="0" applyFont="1" applyBorder="1" applyAlignment="1">
      <alignment horizontal="left" vertical="center"/>
    </xf>
    <xf numFmtId="0" fontId="4" fillId="0" borderId="80" xfId="0" applyFont="1" applyBorder="1" applyAlignment="1">
      <alignment vertical="center"/>
    </xf>
    <xf numFmtId="0" fontId="4" fillId="8" borderId="80" xfId="0" applyFont="1" applyFill="1" applyBorder="1" applyAlignment="1">
      <alignment horizontal="center" vertical="center"/>
    </xf>
    <xf numFmtId="0" fontId="4" fillId="0" borderId="79" xfId="0" applyFont="1" applyBorder="1" applyAlignment="1">
      <alignment horizontal="center" vertical="center"/>
    </xf>
    <xf numFmtId="0" fontId="4" fillId="0" borderId="79" xfId="0" applyFont="1" applyBorder="1" applyAlignment="1">
      <alignment horizontal="center" vertical="center" wrapText="1"/>
    </xf>
    <xf numFmtId="0" fontId="4" fillId="0" borderId="79" xfId="0" applyFont="1" applyBorder="1" applyAlignment="1">
      <alignment vertical="center" wrapText="1"/>
    </xf>
    <xf numFmtId="0" fontId="4" fillId="0" borderId="79" xfId="0" applyFont="1" applyBorder="1" applyAlignment="1">
      <alignment horizontal="left" vertical="center"/>
    </xf>
    <xf numFmtId="0" fontId="4" fillId="0" borderId="79" xfId="0" applyFont="1" applyBorder="1" applyAlignment="1">
      <alignment vertical="center"/>
    </xf>
    <xf numFmtId="0" fontId="4" fillId="8" borderId="79" xfId="0" applyFont="1" applyFill="1" applyBorder="1" applyAlignment="1">
      <alignment horizontal="center" vertical="center"/>
    </xf>
    <xf numFmtId="164" fontId="4" fillId="0" borderId="53" xfId="0" applyNumberFormat="1" applyFont="1" applyBorder="1" applyAlignment="1">
      <alignment horizontal="left" vertical="center"/>
    </xf>
    <xf numFmtId="164" fontId="4" fillId="0" borderId="67" xfId="0" applyNumberFormat="1" applyFont="1" applyBorder="1" applyAlignment="1">
      <alignment horizontal="left" vertical="center"/>
    </xf>
    <xf numFmtId="164" fontId="4" fillId="0" borderId="70" xfId="0" applyNumberFormat="1" applyFont="1" applyBorder="1" applyAlignment="1">
      <alignment horizontal="left" vertical="center"/>
    </xf>
    <xf numFmtId="164" fontId="4" fillId="0" borderId="69" xfId="0" applyNumberFormat="1" applyFont="1" applyBorder="1" applyAlignment="1">
      <alignment horizontal="left" vertical="center"/>
    </xf>
    <xf numFmtId="42" fontId="4" fillId="0" borderId="79" xfId="0" applyNumberFormat="1" applyFont="1" applyBorder="1" applyAlignment="1">
      <alignment horizontal="left" vertical="center"/>
    </xf>
    <xf numFmtId="42" fontId="4" fillId="0" borderId="80" xfId="0" applyNumberFormat="1" applyFont="1" applyBorder="1" applyAlignment="1">
      <alignment horizontal="left" vertical="center"/>
    </xf>
    <xf numFmtId="0" fontId="4" fillId="15" borderId="65" xfId="0" applyFont="1" applyFill="1" applyBorder="1" applyAlignment="1">
      <alignment horizontal="center" vertical="center"/>
    </xf>
    <xf numFmtId="0" fontId="16" fillId="16" borderId="70" xfId="1" applyFont="1" applyFill="1" applyBorder="1" applyAlignment="1">
      <alignment horizontal="left" vertical="center" wrapText="1"/>
    </xf>
    <xf numFmtId="0" fontId="16" fillId="7" borderId="80" xfId="1" applyFont="1" applyFill="1" applyBorder="1" applyAlignment="1">
      <alignment horizontal="center" vertical="center" wrapText="1"/>
    </xf>
    <xf numFmtId="0" fontId="6" fillId="0" borderId="80" xfId="0" applyFont="1" applyBorder="1" applyAlignment="1">
      <alignment horizontal="center" vertical="center"/>
    </xf>
    <xf numFmtId="0" fontId="6" fillId="0" borderId="80" xfId="0" applyFont="1" applyBorder="1" applyAlignment="1">
      <alignment horizontal="center" vertical="center" wrapText="1"/>
    </xf>
    <xf numFmtId="0" fontId="6" fillId="0" borderId="80" xfId="0" applyFont="1" applyBorder="1" applyAlignment="1">
      <alignment vertical="center"/>
    </xf>
    <xf numFmtId="0" fontId="2" fillId="7" borderId="80" xfId="1" applyFill="1" applyBorder="1" applyAlignment="1">
      <alignment horizontal="center" vertical="center" wrapText="1"/>
    </xf>
    <xf numFmtId="0" fontId="6" fillId="0" borderId="76" xfId="0" applyFont="1" applyBorder="1" applyAlignment="1">
      <alignment horizontal="left" vertical="center" wrapText="1"/>
    </xf>
    <xf numFmtId="0" fontId="4" fillId="0" borderId="78" xfId="0" applyFont="1" applyBorder="1" applyAlignment="1">
      <alignment horizontal="left" vertical="center" wrapText="1"/>
    </xf>
    <xf numFmtId="0" fontId="4" fillId="0" borderId="80" xfId="0" applyFont="1" applyBorder="1" applyAlignment="1">
      <alignment horizontal="left" vertical="center" wrapText="1"/>
    </xf>
    <xf numFmtId="0" fontId="4" fillId="0" borderId="79" xfId="0" applyFont="1" applyBorder="1" applyAlignment="1">
      <alignment horizontal="left" vertical="center" wrapText="1"/>
    </xf>
    <xf numFmtId="0" fontId="6" fillId="0" borderId="80" xfId="0" applyFont="1" applyBorder="1" applyAlignment="1">
      <alignment horizontal="left" vertical="center" wrapText="1"/>
    </xf>
    <xf numFmtId="0" fontId="16" fillId="14" borderId="0" xfId="1" applyFont="1" applyFill="1" applyAlignment="1">
      <alignment horizontal="left" vertical="center" wrapText="1"/>
    </xf>
    <xf numFmtId="0" fontId="6" fillId="0" borderId="80" xfId="0" applyFont="1" applyBorder="1" applyAlignment="1">
      <alignment vertical="center" wrapText="1"/>
    </xf>
    <xf numFmtId="0" fontId="16" fillId="6" borderId="77" xfId="1" applyFont="1" applyFill="1" applyBorder="1" applyAlignment="1">
      <alignment horizontal="center" vertical="center" wrapText="1"/>
    </xf>
    <xf numFmtId="0" fontId="16" fillId="7" borderId="79" xfId="1" applyFont="1" applyFill="1" applyBorder="1" applyAlignment="1">
      <alignment horizontal="center" vertical="center" wrapText="1"/>
    </xf>
    <xf numFmtId="164" fontId="4" fillId="0" borderId="69" xfId="0" applyNumberFormat="1" applyFont="1" applyBorder="1" applyAlignment="1">
      <alignment horizontal="center" vertical="center"/>
    </xf>
    <xf numFmtId="0" fontId="16" fillId="8" borderId="70" xfId="1" applyFont="1" applyFill="1" applyBorder="1" applyAlignment="1">
      <alignment horizontal="left" vertical="center" wrapText="1"/>
    </xf>
    <xf numFmtId="0" fontId="16" fillId="8" borderId="69" xfId="1" applyFont="1" applyFill="1" applyBorder="1" applyAlignment="1">
      <alignment horizontal="left" vertical="center" wrapText="1"/>
    </xf>
    <xf numFmtId="0" fontId="16" fillId="21" borderId="0" xfId="1" applyFont="1" applyFill="1" applyAlignment="1">
      <alignment horizontal="center" vertical="center" wrapText="1"/>
    </xf>
    <xf numFmtId="0" fontId="4" fillId="0" borderId="81" xfId="0" applyFont="1" applyBorder="1" applyAlignment="1">
      <alignment horizontal="center" vertical="center"/>
    </xf>
    <xf numFmtId="0" fontId="4" fillId="0" borderId="81" xfId="0" applyFont="1" applyBorder="1" applyAlignment="1">
      <alignment horizontal="left" vertical="center" wrapText="1"/>
    </xf>
    <xf numFmtId="0" fontId="4" fillId="0" borderId="81" xfId="0" applyFont="1" applyBorder="1" applyAlignment="1">
      <alignment vertical="center" wrapText="1"/>
    </xf>
    <xf numFmtId="0" fontId="4" fillId="0" borderId="81" xfId="0" applyFont="1" applyBorder="1" applyAlignment="1">
      <alignment vertical="center"/>
    </xf>
    <xf numFmtId="42" fontId="6" fillId="0" borderId="76" xfId="0" applyNumberFormat="1" applyFont="1" applyBorder="1" applyAlignment="1">
      <alignment horizontal="center" vertical="center"/>
    </xf>
    <xf numFmtId="42" fontId="4" fillId="0" borderId="80" xfId="0" applyNumberFormat="1" applyFont="1" applyBorder="1" applyAlignment="1">
      <alignment horizontal="center" vertical="center"/>
    </xf>
    <xf numFmtId="164" fontId="4" fillId="0" borderId="70" xfId="0" applyNumberFormat="1" applyFont="1" applyBorder="1" applyAlignment="1">
      <alignment horizontal="center" vertical="center"/>
    </xf>
    <xf numFmtId="0" fontId="4" fillId="8" borderId="81" xfId="0" applyFont="1" applyFill="1" applyBorder="1" applyAlignment="1">
      <alignment horizontal="center" vertical="center"/>
    </xf>
    <xf numFmtId="0" fontId="6" fillId="0" borderId="81" xfId="0" applyFont="1" applyBorder="1" applyAlignment="1">
      <alignment horizontal="center" vertical="center"/>
    </xf>
    <xf numFmtId="0" fontId="6" fillId="0" borderId="81" xfId="0" applyFont="1" applyBorder="1" applyAlignment="1">
      <alignment horizontal="left" vertical="center" wrapText="1"/>
    </xf>
    <xf numFmtId="0" fontId="6" fillId="0" borderId="81" xfId="0" applyFont="1" applyBorder="1" applyAlignment="1">
      <alignment horizontal="center" vertical="center" wrapText="1"/>
    </xf>
    <xf numFmtId="0" fontId="6" fillId="0" borderId="81" xfId="0" applyFont="1" applyBorder="1" applyAlignment="1">
      <alignment vertical="center" wrapText="1"/>
    </xf>
    <xf numFmtId="0" fontId="6" fillId="0" borderId="81" xfId="0" applyFont="1" applyBorder="1" applyAlignment="1">
      <alignment vertical="center"/>
    </xf>
    <xf numFmtId="0" fontId="4" fillId="15" borderId="81" xfId="0" applyFont="1" applyFill="1" applyBorder="1" applyAlignment="1">
      <alignment horizontal="center" vertical="center"/>
    </xf>
    <xf numFmtId="0" fontId="6" fillId="0" borderId="80" xfId="0" applyFont="1" applyBorder="1" applyAlignment="1">
      <alignment horizontal="left" vertical="center"/>
    </xf>
    <xf numFmtId="0" fontId="6" fillId="0" borderId="81" xfId="0" applyFont="1" applyBorder="1" applyAlignment="1">
      <alignment horizontal="left" vertical="center"/>
    </xf>
    <xf numFmtId="0" fontId="4" fillId="0" borderId="81" xfId="0" applyFont="1" applyBorder="1" applyAlignment="1">
      <alignment horizontal="left" vertical="center"/>
    </xf>
    <xf numFmtId="0" fontId="16" fillId="7" borderId="81" xfId="1" applyFont="1" applyFill="1" applyBorder="1" applyAlignment="1">
      <alignment horizontal="center" vertical="center" wrapText="1"/>
    </xf>
    <xf numFmtId="0" fontId="2" fillId="7" borderId="81" xfId="1" applyFill="1" applyBorder="1" applyAlignment="1">
      <alignment horizontal="center" vertical="center" wrapText="1"/>
    </xf>
    <xf numFmtId="0" fontId="2" fillId="8" borderId="80" xfId="1" applyFill="1" applyBorder="1" applyAlignment="1">
      <alignment horizontal="left" vertical="center" wrapText="1"/>
    </xf>
    <xf numFmtId="0" fontId="4" fillId="4" borderId="83" xfId="0" applyFont="1" applyFill="1" applyBorder="1" applyAlignment="1">
      <alignment vertical="center"/>
    </xf>
    <xf numFmtId="0" fontId="4" fillId="0" borderId="82" xfId="0" applyFont="1" applyBorder="1" applyAlignment="1">
      <alignment horizontal="center" vertical="center"/>
    </xf>
    <xf numFmtId="0" fontId="4" fillId="0" borderId="82" xfId="0" applyFont="1" applyBorder="1" applyAlignment="1">
      <alignment horizontal="left" vertical="center" wrapText="1"/>
    </xf>
    <xf numFmtId="0" fontId="4" fillId="0" borderId="82" xfId="0" applyFont="1" applyBorder="1" applyAlignment="1">
      <alignment horizontal="center" vertical="center" wrapText="1"/>
    </xf>
    <xf numFmtId="42" fontId="4" fillId="0" borderId="82" xfId="0" applyNumberFormat="1" applyFont="1" applyBorder="1" applyAlignment="1">
      <alignment horizontal="center" vertical="center"/>
    </xf>
    <xf numFmtId="0" fontId="4" fillId="0" borderId="82" xfId="0" applyFont="1" applyBorder="1" applyAlignment="1">
      <alignment vertical="center" wrapText="1"/>
    </xf>
    <xf numFmtId="0" fontId="4" fillId="0" borderId="82" xfId="0" applyFont="1" applyBorder="1" applyAlignment="1">
      <alignment horizontal="left" vertical="center"/>
    </xf>
    <xf numFmtId="0" fontId="4" fillId="0" borderId="82" xfId="0" applyFont="1" applyBorder="1" applyAlignment="1">
      <alignment vertical="center"/>
    </xf>
    <xf numFmtId="0" fontId="4" fillId="0" borderId="83" xfId="0" applyFont="1" applyBorder="1" applyAlignment="1">
      <alignment horizontal="center" vertical="center"/>
    </xf>
    <xf numFmtId="0" fontId="4" fillId="0" borderId="83" xfId="0" applyFont="1" applyBorder="1" applyAlignment="1">
      <alignment horizontal="left" vertical="center" wrapText="1"/>
    </xf>
    <xf numFmtId="0" fontId="4" fillId="0" borderId="83" xfId="0" applyFont="1" applyBorder="1" applyAlignment="1">
      <alignment horizontal="center" vertical="center" wrapText="1"/>
    </xf>
    <xf numFmtId="42" fontId="4" fillId="0" borderId="83" xfId="0" applyNumberFormat="1" applyFont="1" applyBorder="1" applyAlignment="1">
      <alignment horizontal="center" vertical="center"/>
    </xf>
    <xf numFmtId="0" fontId="4" fillId="0" borderId="83" xfId="0" applyFont="1" applyBorder="1" applyAlignment="1">
      <alignment vertical="center" wrapText="1"/>
    </xf>
    <xf numFmtId="0" fontId="4" fillId="0" borderId="83" xfId="0" applyFont="1" applyBorder="1" applyAlignment="1">
      <alignment horizontal="left" vertical="center"/>
    </xf>
    <xf numFmtId="0" fontId="4" fillId="0" borderId="83" xfId="0" applyFont="1" applyBorder="1" applyAlignment="1">
      <alignment vertical="center"/>
    </xf>
    <xf numFmtId="0" fontId="4" fillId="8" borderId="82" xfId="0" applyFont="1" applyFill="1" applyBorder="1" applyAlignment="1">
      <alignment horizontal="center" vertical="center"/>
    </xf>
    <xf numFmtId="0" fontId="4" fillId="8" borderId="83" xfId="0" applyFont="1" applyFill="1" applyBorder="1" applyAlignment="1">
      <alignment horizontal="center" vertical="center"/>
    </xf>
    <xf numFmtId="0" fontId="16" fillId="7" borderId="83" xfId="1" applyFont="1" applyFill="1" applyBorder="1" applyAlignment="1">
      <alignment horizontal="center" vertical="center" wrapText="1"/>
    </xf>
    <xf numFmtId="0" fontId="16" fillId="6" borderId="80" xfId="1" applyFont="1" applyFill="1" applyBorder="1" applyAlignment="1">
      <alignment horizontal="center" vertical="center" wrapText="1"/>
    </xf>
    <xf numFmtId="0" fontId="16" fillId="6" borderId="82" xfId="1" applyFont="1" applyFill="1" applyBorder="1" applyAlignment="1">
      <alignment horizontal="center" vertical="center" wrapText="1"/>
    </xf>
    <xf numFmtId="0" fontId="4" fillId="0" borderId="84" xfId="0" applyFont="1" applyBorder="1" applyAlignment="1">
      <alignment horizontal="center" vertical="center"/>
    </xf>
    <xf numFmtId="0" fontId="4" fillId="0" borderId="84" xfId="0" applyFont="1" applyBorder="1" applyAlignment="1">
      <alignment horizontal="left" vertical="center" wrapText="1"/>
    </xf>
    <xf numFmtId="0" fontId="4" fillId="0" borderId="84" xfId="0" applyFont="1" applyBorder="1" applyAlignment="1">
      <alignment horizontal="center" vertical="center" wrapText="1"/>
    </xf>
    <xf numFmtId="42" fontId="4" fillId="0" borderId="84" xfId="0" applyNumberFormat="1" applyFont="1" applyBorder="1" applyAlignment="1">
      <alignment horizontal="center" vertical="center"/>
    </xf>
    <xf numFmtId="0" fontId="4" fillId="0" borderId="84" xfId="0" applyFont="1" applyBorder="1" applyAlignment="1">
      <alignment vertical="center" wrapText="1"/>
    </xf>
    <xf numFmtId="0" fontId="4" fillId="0" borderId="84" xfId="0" applyFont="1" applyBorder="1" applyAlignment="1">
      <alignment horizontal="left" vertical="center"/>
    </xf>
    <xf numFmtId="0" fontId="4" fillId="0" borderId="84" xfId="0" applyFont="1" applyBorder="1" applyAlignment="1">
      <alignment vertical="center"/>
    </xf>
    <xf numFmtId="0" fontId="4" fillId="0" borderId="85" xfId="0" applyFont="1" applyBorder="1" applyAlignment="1">
      <alignment horizontal="center" vertical="center"/>
    </xf>
    <xf numFmtId="0" fontId="4" fillId="0" borderId="85" xfId="0" applyFont="1" applyBorder="1" applyAlignment="1">
      <alignment horizontal="left" vertical="center" wrapText="1"/>
    </xf>
    <xf numFmtId="0" fontId="4" fillId="0" borderId="85" xfId="0" applyFont="1" applyBorder="1" applyAlignment="1">
      <alignment horizontal="center" vertical="center" wrapText="1"/>
    </xf>
    <xf numFmtId="42" fontId="4" fillId="0" borderId="85" xfId="0" applyNumberFormat="1" applyFont="1" applyBorder="1" applyAlignment="1">
      <alignment horizontal="center" vertical="center"/>
    </xf>
    <xf numFmtId="0" fontId="4" fillId="0" borderId="85" xfId="0" applyFont="1" applyBorder="1" applyAlignment="1">
      <alignment vertical="center" wrapText="1"/>
    </xf>
    <xf numFmtId="0" fontId="4" fillId="0" borderId="85" xfId="0" applyFont="1" applyBorder="1" applyAlignment="1">
      <alignment horizontal="left" vertical="center"/>
    </xf>
    <xf numFmtId="0" fontId="4" fillId="0" borderId="85" xfId="0" applyFont="1" applyBorder="1" applyAlignment="1">
      <alignment vertical="center"/>
    </xf>
    <xf numFmtId="0" fontId="4" fillId="8" borderId="84" xfId="0" applyFont="1" applyFill="1" applyBorder="1" applyAlignment="1">
      <alignment horizontal="center" vertical="center"/>
    </xf>
    <xf numFmtId="0" fontId="4" fillId="8" borderId="85" xfId="0" applyFont="1" applyFill="1" applyBorder="1" applyAlignment="1">
      <alignment horizontal="center" vertical="center"/>
    </xf>
    <xf numFmtId="0" fontId="2" fillId="8" borderId="9" xfId="1" applyFill="1" applyBorder="1" applyAlignment="1">
      <alignment horizontal="left" vertical="center" wrapText="1"/>
    </xf>
    <xf numFmtId="0" fontId="16" fillId="7" borderId="9" xfId="1" applyFont="1" applyFill="1" applyBorder="1" applyAlignment="1">
      <alignment horizontal="center" vertical="center" wrapText="1"/>
    </xf>
    <xf numFmtId="0" fontId="16" fillId="8" borderId="9" xfId="1" applyFont="1" applyFill="1" applyBorder="1" applyAlignment="1">
      <alignment vertical="center" wrapText="1"/>
    </xf>
    <xf numFmtId="0" fontId="16" fillId="16" borderId="9" xfId="1" applyFont="1" applyFill="1" applyBorder="1" applyAlignment="1">
      <alignment horizontal="center" vertical="center" wrapText="1"/>
    </xf>
    <xf numFmtId="0" fontId="32" fillId="0" borderId="9" xfId="1" applyFont="1" applyFill="1" applyBorder="1" applyAlignment="1">
      <alignment vertical="center" wrapText="1"/>
    </xf>
    <xf numFmtId="0" fontId="16" fillId="16" borderId="85" xfId="1" applyFont="1" applyFill="1" applyBorder="1" applyAlignment="1">
      <alignment horizontal="left" vertical="center" wrapText="1"/>
    </xf>
    <xf numFmtId="0" fontId="2" fillId="8" borderId="85" xfId="1" applyFill="1" applyBorder="1" applyAlignment="1">
      <alignment horizontal="left" vertical="center" wrapText="1"/>
    </xf>
    <xf numFmtId="0" fontId="16" fillId="8" borderId="85" xfId="1" applyFont="1" applyFill="1" applyBorder="1" applyAlignment="1">
      <alignment horizontal="left" wrapText="1"/>
    </xf>
    <xf numFmtId="0" fontId="16" fillId="8" borderId="85" xfId="1" applyFont="1" applyFill="1" applyBorder="1" applyAlignment="1">
      <alignment horizontal="left" vertical="center" wrapText="1"/>
    </xf>
    <xf numFmtId="0" fontId="16" fillId="7" borderId="85" xfId="1" applyFont="1" applyFill="1" applyBorder="1" applyAlignment="1">
      <alignment horizontal="center" vertical="center" wrapText="1"/>
    </xf>
    <xf numFmtId="0" fontId="11" fillId="0" borderId="0" xfId="0" applyFont="1" applyAlignment="1">
      <alignment horizontal="center" vertical="center" wrapText="1"/>
    </xf>
    <xf numFmtId="0" fontId="16" fillId="16" borderId="85" xfId="1" applyFont="1" applyFill="1" applyBorder="1" applyAlignment="1">
      <alignment horizontal="center" vertical="center" wrapText="1"/>
    </xf>
    <xf numFmtId="0" fontId="2" fillId="6" borderId="0" xfId="1" applyFill="1" applyBorder="1" applyAlignment="1">
      <alignment horizontal="center" vertical="center" wrapText="1"/>
    </xf>
    <xf numFmtId="0" fontId="2" fillId="6" borderId="72" xfId="1" applyFill="1" applyBorder="1" applyAlignment="1">
      <alignment horizontal="center" vertical="center" wrapText="1"/>
    </xf>
    <xf numFmtId="0" fontId="16" fillId="6" borderId="79" xfId="1" applyFont="1" applyFill="1" applyBorder="1" applyAlignment="1">
      <alignment horizontal="center" vertical="center" wrapText="1"/>
    </xf>
    <xf numFmtId="0" fontId="16" fillId="6" borderId="84" xfId="1" applyFont="1" applyFill="1" applyBorder="1" applyAlignment="1">
      <alignment horizontal="center" vertical="center" wrapText="1"/>
    </xf>
    <xf numFmtId="0" fontId="4" fillId="19" borderId="86" xfId="0" applyFont="1" applyFill="1" applyBorder="1" applyAlignment="1">
      <alignment horizontal="center" vertical="center"/>
    </xf>
    <xf numFmtId="0" fontId="4" fillId="19" borderId="86" xfId="0" applyFont="1" applyFill="1" applyBorder="1" applyAlignment="1">
      <alignment horizontal="left" vertical="center" wrapText="1"/>
    </xf>
    <xf numFmtId="0" fontId="4" fillId="19" borderId="86" xfId="0" applyFont="1" applyFill="1" applyBorder="1" applyAlignment="1">
      <alignment horizontal="center" vertical="center" wrapText="1"/>
    </xf>
    <xf numFmtId="42" fontId="4" fillId="19" borderId="86" xfId="0" applyNumberFormat="1" applyFont="1" applyFill="1" applyBorder="1" applyAlignment="1">
      <alignment horizontal="center" vertical="center"/>
    </xf>
    <xf numFmtId="0" fontId="32" fillId="19" borderId="86" xfId="1" applyFont="1" applyFill="1" applyBorder="1" applyAlignment="1">
      <alignment horizontal="left" vertical="center" wrapText="1"/>
    </xf>
    <xf numFmtId="0" fontId="4" fillId="19" borderId="86" xfId="0" applyFont="1" applyFill="1" applyBorder="1" applyAlignment="1">
      <alignment vertical="center" wrapText="1"/>
    </xf>
    <xf numFmtId="0" fontId="4" fillId="19" borderId="86" xfId="0" applyFont="1" applyFill="1" applyBorder="1" applyAlignment="1">
      <alignment horizontal="left" vertical="center"/>
    </xf>
    <xf numFmtId="0" fontId="4" fillId="19" borderId="86" xfId="0" applyFont="1" applyFill="1" applyBorder="1" applyAlignment="1">
      <alignment vertical="center"/>
    </xf>
    <xf numFmtId="0" fontId="4" fillId="19" borderId="87" xfId="0" applyFont="1" applyFill="1" applyBorder="1" applyAlignment="1">
      <alignment horizontal="center" vertical="center"/>
    </xf>
    <xf numFmtId="0" fontId="4" fillId="19" borderId="87" xfId="0" applyFont="1" applyFill="1" applyBorder="1" applyAlignment="1">
      <alignment horizontal="left" vertical="center" wrapText="1"/>
    </xf>
    <xf numFmtId="42" fontId="4" fillId="19" borderId="87" xfId="0" applyNumberFormat="1" applyFont="1" applyFill="1" applyBorder="1" applyAlignment="1">
      <alignment horizontal="center" vertical="center"/>
    </xf>
    <xf numFmtId="0" fontId="32" fillId="19" borderId="87" xfId="1" applyFont="1" applyFill="1" applyBorder="1" applyAlignment="1">
      <alignment horizontal="left" vertical="center" wrapText="1"/>
    </xf>
    <xf numFmtId="0" fontId="4" fillId="19" borderId="87" xfId="0" applyFont="1" applyFill="1" applyBorder="1" applyAlignment="1">
      <alignment vertical="center" wrapText="1"/>
    </xf>
    <xf numFmtId="0" fontId="4" fillId="19" borderId="87" xfId="0" applyFont="1" applyFill="1" applyBorder="1" applyAlignment="1">
      <alignment horizontal="left" vertical="center"/>
    </xf>
    <xf numFmtId="0" fontId="4" fillId="19" borderId="87" xfId="0" applyFont="1" applyFill="1" applyBorder="1" applyAlignment="1">
      <alignment vertical="center"/>
    </xf>
    <xf numFmtId="0" fontId="16" fillId="7" borderId="86" xfId="1" applyFont="1" applyFill="1" applyBorder="1" applyAlignment="1">
      <alignment horizontal="left" vertical="center" wrapText="1"/>
    </xf>
    <xf numFmtId="0" fontId="6" fillId="0" borderId="87" xfId="0" applyFont="1" applyBorder="1" applyAlignment="1">
      <alignment horizontal="center" vertical="center"/>
    </xf>
    <xf numFmtId="0" fontId="16" fillId="7" borderId="87" xfId="1" applyFont="1" applyFill="1" applyBorder="1" applyAlignment="1">
      <alignment horizontal="left" vertical="center" wrapText="1"/>
    </xf>
    <xf numFmtId="0" fontId="4" fillId="0" borderId="47" xfId="0" applyFont="1" applyBorder="1" applyAlignment="1">
      <alignment vertical="center" wrapText="1"/>
    </xf>
    <xf numFmtId="0" fontId="4" fillId="0" borderId="59" xfId="1" applyFont="1" applyFill="1" applyBorder="1" applyAlignment="1">
      <alignment vertical="center" wrapText="1"/>
    </xf>
    <xf numFmtId="0" fontId="16" fillId="7" borderId="86" xfId="1" applyFont="1" applyFill="1" applyBorder="1" applyAlignment="1">
      <alignment horizontal="center" vertical="center" wrapText="1"/>
    </xf>
    <xf numFmtId="0" fontId="16" fillId="7" borderId="87" xfId="1" applyFont="1" applyFill="1" applyBorder="1" applyAlignment="1">
      <alignment horizontal="center" vertical="center" wrapText="1"/>
    </xf>
    <xf numFmtId="0" fontId="4" fillId="19" borderId="0" xfId="0" applyFont="1" applyFill="1" applyAlignment="1">
      <alignment horizontal="center" vertical="center"/>
    </xf>
    <xf numFmtId="0" fontId="4" fillId="14" borderId="86" xfId="0" applyFont="1" applyFill="1" applyBorder="1" applyAlignment="1">
      <alignment horizontal="center" vertical="center"/>
    </xf>
    <xf numFmtId="0" fontId="4" fillId="14" borderId="87" xfId="0" applyFont="1" applyFill="1" applyBorder="1" applyAlignment="1">
      <alignment horizontal="center" vertical="center"/>
    </xf>
    <xf numFmtId="0" fontId="2" fillId="6" borderId="34" xfId="1" applyFill="1" applyBorder="1" applyAlignment="1">
      <alignment horizontal="center" vertical="center" wrapText="1"/>
    </xf>
    <xf numFmtId="0" fontId="16" fillId="6" borderId="85" xfId="1" applyFont="1" applyFill="1" applyBorder="1" applyAlignment="1">
      <alignment horizontal="center" vertical="center" wrapText="1"/>
    </xf>
    <xf numFmtId="0" fontId="4" fillId="0" borderId="88" xfId="0" applyFont="1" applyBorder="1" applyAlignment="1">
      <alignment horizontal="center" vertical="center"/>
    </xf>
    <xf numFmtId="0" fontId="4" fillId="0" borderId="88" xfId="0" applyFont="1" applyBorder="1" applyAlignment="1">
      <alignment horizontal="left" vertical="center" wrapText="1"/>
    </xf>
    <xf numFmtId="0" fontId="4" fillId="0" borderId="88" xfId="0" applyFont="1" applyBorder="1" applyAlignment="1">
      <alignment vertical="center" wrapText="1"/>
    </xf>
    <xf numFmtId="0" fontId="4" fillId="0" borderId="88" xfId="0" applyFont="1" applyBorder="1" applyAlignment="1">
      <alignment horizontal="left" vertical="center"/>
    </xf>
    <xf numFmtId="0" fontId="4" fillId="0" borderId="88" xfId="0" applyFont="1" applyBorder="1" applyAlignment="1">
      <alignment vertical="center"/>
    </xf>
    <xf numFmtId="0" fontId="4" fillId="0" borderId="89" xfId="0" applyFont="1" applyBorder="1" applyAlignment="1">
      <alignment horizontal="center" vertical="center"/>
    </xf>
    <xf numFmtId="0" fontId="4" fillId="0" borderId="89" xfId="0" applyFont="1" applyBorder="1" applyAlignment="1">
      <alignment horizontal="left" vertical="center" wrapText="1"/>
    </xf>
    <xf numFmtId="0" fontId="4" fillId="0" borderId="89" xfId="0" applyFont="1" applyBorder="1" applyAlignment="1">
      <alignment vertical="center" wrapText="1"/>
    </xf>
    <xf numFmtId="0" fontId="4" fillId="0" borderId="89" xfId="0" applyFont="1" applyBorder="1" applyAlignment="1">
      <alignment horizontal="left" vertical="center"/>
    </xf>
    <xf numFmtId="0" fontId="4" fillId="0" borderId="89" xfId="0" applyFont="1" applyBorder="1" applyAlignment="1">
      <alignment vertical="center"/>
    </xf>
    <xf numFmtId="164" fontId="4" fillId="0" borderId="72" xfId="0" applyNumberFormat="1" applyFont="1" applyBorder="1" applyAlignment="1">
      <alignment horizontal="left" vertical="center"/>
    </xf>
    <xf numFmtId="42" fontId="4" fillId="0" borderId="82" xfId="0" applyNumberFormat="1" applyFont="1" applyBorder="1" applyAlignment="1">
      <alignment vertical="center"/>
    </xf>
    <xf numFmtId="42" fontId="4" fillId="19" borderId="86" xfId="0" applyNumberFormat="1" applyFont="1" applyFill="1" applyBorder="1" applyAlignment="1">
      <alignment vertical="center"/>
    </xf>
    <xf numFmtId="42" fontId="4" fillId="0" borderId="88" xfId="0" applyNumberFormat="1" applyFont="1" applyBorder="1" applyAlignment="1">
      <alignment vertical="center"/>
    </xf>
    <xf numFmtId="42" fontId="4" fillId="0" borderId="89" xfId="0" applyNumberFormat="1" applyFont="1" applyBorder="1" applyAlignment="1">
      <alignment vertical="center"/>
    </xf>
    <xf numFmtId="0" fontId="4" fillId="8" borderId="89" xfId="0" applyFont="1" applyFill="1" applyBorder="1" applyAlignment="1">
      <alignment horizontal="center" vertical="center"/>
    </xf>
    <xf numFmtId="0" fontId="16" fillId="7" borderId="89" xfId="1" applyFont="1" applyFill="1" applyBorder="1" applyAlignment="1">
      <alignment horizontal="center" vertical="center" wrapText="1"/>
    </xf>
    <xf numFmtId="0" fontId="9" fillId="0" borderId="11" xfId="0" applyFont="1" applyBorder="1" applyAlignment="1">
      <alignment vertical="center" wrapText="1"/>
    </xf>
    <xf numFmtId="0" fontId="9" fillId="0" borderId="47" xfId="0" applyFont="1" applyBorder="1" applyAlignment="1">
      <alignment horizontal="left" vertical="center"/>
    </xf>
    <xf numFmtId="0" fontId="9" fillId="0" borderId="67" xfId="0" applyFont="1" applyBorder="1" applyAlignment="1">
      <alignment vertical="center"/>
    </xf>
    <xf numFmtId="0" fontId="9" fillId="0" borderId="80" xfId="0" applyFont="1" applyBorder="1" applyAlignment="1">
      <alignment horizontal="left" vertical="center"/>
    </xf>
    <xf numFmtId="0" fontId="9" fillId="19" borderId="83" xfId="0" applyFont="1" applyFill="1" applyBorder="1" applyAlignment="1">
      <alignment horizontal="left" vertical="center"/>
    </xf>
    <xf numFmtId="0" fontId="4" fillId="0" borderId="90" xfId="0" applyFont="1" applyBorder="1" applyAlignment="1">
      <alignment horizontal="center" vertical="center"/>
    </xf>
    <xf numFmtId="0" fontId="4" fillId="0" borderId="90" xfId="0" applyFont="1" applyBorder="1" applyAlignment="1">
      <alignment horizontal="left" vertical="center" wrapText="1"/>
    </xf>
    <xf numFmtId="0" fontId="4" fillId="0" borderId="90" xfId="0" applyFont="1" applyBorder="1" applyAlignment="1">
      <alignment vertical="center" wrapText="1"/>
    </xf>
    <xf numFmtId="0" fontId="4" fillId="0" borderId="90" xfId="0" applyFont="1" applyBorder="1" applyAlignment="1">
      <alignment horizontal="left" vertical="center"/>
    </xf>
    <xf numFmtId="0" fontId="4" fillId="0" borderId="90" xfId="0" applyFont="1" applyBorder="1" applyAlignment="1">
      <alignment vertical="center"/>
    </xf>
    <xf numFmtId="0" fontId="4" fillId="0" borderId="91" xfId="0" applyFont="1" applyBorder="1" applyAlignment="1">
      <alignment horizontal="center" vertical="center"/>
    </xf>
    <xf numFmtId="0" fontId="4" fillId="0" borderId="91" xfId="0" applyFont="1" applyBorder="1" applyAlignment="1">
      <alignment horizontal="left" vertical="center" wrapText="1"/>
    </xf>
    <xf numFmtId="42" fontId="4" fillId="0" borderId="91" xfId="0" applyNumberFormat="1" applyFont="1" applyBorder="1" applyAlignment="1">
      <alignment vertical="center"/>
    </xf>
    <xf numFmtId="0" fontId="4" fillId="0" borderId="91" xfId="0" applyFont="1" applyBorder="1" applyAlignment="1">
      <alignment vertical="center" wrapText="1"/>
    </xf>
    <xf numFmtId="0" fontId="4" fillId="0" borderId="91" xfId="0" applyFont="1" applyBorder="1" applyAlignment="1">
      <alignment horizontal="left" vertical="center"/>
    </xf>
    <xf numFmtId="0" fontId="4" fillId="0" borderId="91" xfId="0" applyFont="1" applyBorder="1" applyAlignment="1">
      <alignment vertical="center"/>
    </xf>
    <xf numFmtId="0" fontId="4" fillId="8" borderId="88" xfId="0" applyFont="1" applyFill="1" applyBorder="1" applyAlignment="1">
      <alignment horizontal="center" vertical="center"/>
    </xf>
    <xf numFmtId="0" fontId="4" fillId="8" borderId="90" xfId="0" applyFont="1" applyFill="1" applyBorder="1" applyAlignment="1">
      <alignment horizontal="center" vertical="center"/>
    </xf>
    <xf numFmtId="0" fontId="4" fillId="8" borderId="91" xfId="0" applyFont="1" applyFill="1" applyBorder="1" applyAlignment="1">
      <alignment horizontal="center" vertical="center"/>
    </xf>
    <xf numFmtId="0" fontId="16" fillId="8" borderId="86" xfId="1" applyFont="1" applyFill="1" applyBorder="1" applyAlignment="1">
      <alignment horizontal="left" vertical="center" wrapText="1"/>
    </xf>
    <xf numFmtId="0" fontId="16" fillId="8" borderId="90" xfId="1" applyFont="1" applyFill="1" applyBorder="1" applyAlignment="1">
      <alignment horizontal="left" vertical="center" wrapText="1"/>
    </xf>
    <xf numFmtId="0" fontId="16" fillId="6" borderId="90" xfId="1" applyFont="1" applyFill="1" applyBorder="1" applyAlignment="1">
      <alignment horizontal="center" vertical="center" wrapText="1"/>
    </xf>
    <xf numFmtId="0" fontId="16" fillId="6" borderId="91" xfId="1" applyFont="1" applyFill="1" applyBorder="1" applyAlignment="1">
      <alignment horizontal="center" vertical="center" wrapText="1"/>
    </xf>
    <xf numFmtId="0" fontId="16" fillId="7" borderId="91" xfId="1" applyFont="1" applyFill="1" applyBorder="1" applyAlignment="1">
      <alignment horizontal="center" vertical="center" wrapText="1"/>
    </xf>
    <xf numFmtId="0" fontId="4" fillId="0" borderId="92" xfId="0" applyFont="1" applyBorder="1" applyAlignment="1">
      <alignment horizontal="center" vertical="center"/>
    </xf>
    <xf numFmtId="0" fontId="4" fillId="0" borderId="92" xfId="0" applyFont="1" applyBorder="1" applyAlignment="1">
      <alignment horizontal="left" vertical="center" wrapText="1"/>
    </xf>
    <xf numFmtId="0" fontId="4" fillId="0" borderId="92" xfId="0" applyFont="1" applyBorder="1" applyAlignment="1">
      <alignment vertical="center" wrapText="1"/>
    </xf>
    <xf numFmtId="0" fontId="4" fillId="0" borderId="92" xfId="0" applyFont="1" applyBorder="1" applyAlignment="1">
      <alignment horizontal="left" vertical="center"/>
    </xf>
    <xf numFmtId="0" fontId="4" fillId="0" borderId="92" xfId="0" applyFont="1" applyBorder="1" applyAlignment="1">
      <alignment vertical="center"/>
    </xf>
    <xf numFmtId="0" fontId="4" fillId="0" borderId="93" xfId="0" applyFont="1" applyBorder="1" applyAlignment="1">
      <alignment horizontal="center" vertical="center"/>
    </xf>
    <xf numFmtId="0" fontId="4" fillId="0" borderId="93" xfId="0" applyFont="1" applyBorder="1" applyAlignment="1">
      <alignment horizontal="left" vertical="center" wrapText="1"/>
    </xf>
    <xf numFmtId="42" fontId="4" fillId="0" borderId="93" xfId="0" applyNumberFormat="1" applyFont="1" applyBorder="1" applyAlignment="1">
      <alignment vertical="center"/>
    </xf>
    <xf numFmtId="0" fontId="4" fillId="0" borderId="93" xfId="0" applyFont="1" applyBorder="1" applyAlignment="1">
      <alignment vertical="center" wrapText="1"/>
    </xf>
    <xf numFmtId="0" fontId="4" fillId="0" borderId="93" xfId="0" applyFont="1" applyBorder="1" applyAlignment="1">
      <alignment horizontal="left" vertical="center"/>
    </xf>
    <xf numFmtId="0" fontId="4" fillId="0" borderId="93" xfId="0" applyFont="1" applyBorder="1" applyAlignment="1">
      <alignment vertical="center"/>
    </xf>
    <xf numFmtId="0" fontId="4" fillId="8" borderId="92" xfId="0" applyFont="1" applyFill="1" applyBorder="1" applyAlignment="1">
      <alignment horizontal="center" vertical="center"/>
    </xf>
    <xf numFmtId="0" fontId="4" fillId="8" borderId="93" xfId="0" applyFont="1" applyFill="1" applyBorder="1" applyAlignment="1">
      <alignment horizontal="center" vertical="center"/>
    </xf>
    <xf numFmtId="0" fontId="16" fillId="7" borderId="93" xfId="1" applyFont="1" applyFill="1" applyBorder="1" applyAlignment="1">
      <alignment horizontal="center" vertical="center" wrapText="1"/>
    </xf>
    <xf numFmtId="0" fontId="16" fillId="16" borderId="92" xfId="1" applyFont="1" applyFill="1" applyBorder="1" applyAlignment="1">
      <alignment horizontal="left" vertical="center" wrapText="1"/>
    </xf>
    <xf numFmtId="0" fontId="16" fillId="16" borderId="93" xfId="1" applyFont="1" applyFill="1" applyBorder="1" applyAlignment="1">
      <alignment horizontal="left" vertical="center" wrapText="1"/>
    </xf>
    <xf numFmtId="0" fontId="4" fillId="4" borderId="94" xfId="0" applyFont="1" applyFill="1" applyBorder="1" applyAlignment="1">
      <alignment horizontal="center" vertical="center"/>
    </xf>
    <xf numFmtId="0" fontId="2" fillId="6" borderId="38" xfId="1" applyFill="1" applyBorder="1" applyAlignment="1">
      <alignment horizontal="center" vertical="center" wrapText="1"/>
    </xf>
    <xf numFmtId="0" fontId="16" fillId="6" borderId="92" xfId="1" applyFont="1" applyFill="1" applyBorder="1" applyAlignment="1">
      <alignment horizontal="center" vertical="center" wrapText="1"/>
    </xf>
    <xf numFmtId="0" fontId="4" fillId="0" borderId="94"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vertical="center" wrapText="1"/>
    </xf>
    <xf numFmtId="0" fontId="4" fillId="0" borderId="94" xfId="0" applyFont="1" applyBorder="1" applyAlignment="1">
      <alignment horizontal="left" vertical="center"/>
    </xf>
    <xf numFmtId="0" fontId="4" fillId="0" borderId="94" xfId="0" applyFont="1" applyBorder="1" applyAlignment="1">
      <alignment vertical="center"/>
    </xf>
    <xf numFmtId="0" fontId="4" fillId="0" borderId="95" xfId="0" applyFont="1" applyBorder="1" applyAlignment="1">
      <alignment horizontal="center" vertical="center"/>
    </xf>
    <xf numFmtId="0" fontId="4" fillId="0" borderId="95" xfId="0" applyFont="1" applyBorder="1" applyAlignment="1">
      <alignment horizontal="left" vertical="center" wrapText="1"/>
    </xf>
    <xf numFmtId="42" fontId="4" fillId="0" borderId="95" xfId="0" applyNumberFormat="1" applyFont="1" applyBorder="1" applyAlignment="1">
      <alignment vertical="center"/>
    </xf>
    <xf numFmtId="0" fontId="4" fillId="0" borderId="95" xfId="0" applyFont="1" applyBorder="1" applyAlignment="1">
      <alignment vertical="center" wrapText="1"/>
    </xf>
    <xf numFmtId="0" fontId="4" fillId="0" borderId="95" xfId="0" applyFont="1" applyBorder="1" applyAlignment="1">
      <alignment horizontal="left" vertical="center"/>
    </xf>
    <xf numFmtId="0" fontId="4" fillId="0" borderId="95" xfId="0" applyFont="1" applyBorder="1" applyAlignment="1">
      <alignment vertical="center"/>
    </xf>
    <xf numFmtId="0" fontId="2" fillId="0" borderId="0" xfId="1" applyFill="1" applyAlignment="1">
      <alignment horizontal="center" vertical="center" wrapText="1"/>
    </xf>
    <xf numFmtId="0" fontId="2" fillId="0" borderId="78" xfId="1" applyFill="1" applyBorder="1" applyAlignment="1">
      <alignment horizontal="center" vertical="center"/>
    </xf>
    <xf numFmtId="0" fontId="4" fillId="8" borderId="94" xfId="0" applyFont="1" applyFill="1" applyBorder="1" applyAlignment="1">
      <alignment horizontal="center" vertical="center"/>
    </xf>
    <xf numFmtId="0" fontId="4" fillId="8" borderId="95" xfId="0" applyFont="1" applyFill="1" applyBorder="1" applyAlignment="1">
      <alignment horizontal="center" vertical="center"/>
    </xf>
    <xf numFmtId="0" fontId="16" fillId="7" borderId="95" xfId="1" applyFont="1" applyFill="1" applyBorder="1" applyAlignment="1">
      <alignment horizontal="center" vertical="center" wrapText="1"/>
    </xf>
    <xf numFmtId="0" fontId="16" fillId="7" borderId="94" xfId="1" applyFont="1" applyFill="1" applyBorder="1" applyAlignment="1">
      <alignment horizontal="center" vertical="center" wrapText="1"/>
    </xf>
    <xf numFmtId="0" fontId="4" fillId="0" borderId="96" xfId="0" applyFont="1" applyBorder="1" applyAlignment="1">
      <alignment horizontal="center" vertical="center"/>
    </xf>
    <xf numFmtId="0" fontId="4" fillId="0" borderId="96" xfId="0" applyFont="1" applyBorder="1" applyAlignment="1">
      <alignment horizontal="left" vertical="center" wrapText="1"/>
    </xf>
    <xf numFmtId="0" fontId="4" fillId="0" borderId="96" xfId="0" applyFont="1" applyBorder="1" applyAlignment="1">
      <alignment vertical="center" wrapText="1"/>
    </xf>
    <xf numFmtId="0" fontId="4" fillId="0" borderId="96" xfId="0" applyFont="1" applyBorder="1" applyAlignment="1">
      <alignment horizontal="left" vertical="center"/>
    </xf>
    <xf numFmtId="0" fontId="4" fillId="0" borderId="96" xfId="0" applyFont="1" applyBorder="1" applyAlignment="1">
      <alignment vertical="center"/>
    </xf>
    <xf numFmtId="0" fontId="4" fillId="0" borderId="97" xfId="0" applyFont="1" applyBorder="1" applyAlignment="1">
      <alignment horizontal="center" vertical="center"/>
    </xf>
    <xf numFmtId="0" fontId="4" fillId="0" borderId="97" xfId="0" applyFont="1" applyBorder="1" applyAlignment="1">
      <alignment horizontal="left" vertical="center" wrapText="1"/>
    </xf>
    <xf numFmtId="0" fontId="4" fillId="0" borderId="97" xfId="0" applyFont="1" applyBorder="1" applyAlignment="1">
      <alignment vertical="center" wrapText="1"/>
    </xf>
    <xf numFmtId="0" fontId="4" fillId="0" borderId="97" xfId="0" applyFont="1" applyBorder="1" applyAlignment="1">
      <alignment horizontal="left" vertical="center"/>
    </xf>
    <xf numFmtId="0" fontId="4" fillId="0" borderId="97" xfId="0" applyFont="1" applyBorder="1" applyAlignment="1">
      <alignment vertical="center"/>
    </xf>
    <xf numFmtId="0" fontId="16" fillId="16" borderId="42" xfId="1" applyFont="1" applyFill="1" applyBorder="1" applyAlignment="1">
      <alignment vertical="center" wrapText="1"/>
    </xf>
    <xf numFmtId="0" fontId="36" fillId="16" borderId="53" xfId="1" applyFont="1" applyFill="1" applyBorder="1" applyAlignment="1">
      <alignment vertical="center" wrapText="1"/>
    </xf>
    <xf numFmtId="0" fontId="16" fillId="16" borderId="65" xfId="1" applyFont="1" applyFill="1" applyBorder="1" applyAlignment="1">
      <alignment vertical="center" wrapText="1"/>
    </xf>
    <xf numFmtId="0" fontId="2" fillId="8" borderId="85" xfId="1" applyFill="1" applyBorder="1" applyAlignment="1">
      <alignment vertical="center" wrapText="1"/>
    </xf>
    <xf numFmtId="0" fontId="16" fillId="8" borderId="85" xfId="1" applyFont="1" applyFill="1" applyBorder="1" applyAlignment="1">
      <alignment vertical="center" wrapText="1"/>
    </xf>
    <xf numFmtId="0" fontId="16" fillId="16" borderId="85" xfId="1" applyFont="1" applyFill="1" applyBorder="1" applyAlignment="1">
      <alignment vertical="center" wrapText="1"/>
    </xf>
    <xf numFmtId="0" fontId="4" fillId="8" borderId="96" xfId="0" applyFont="1" applyFill="1" applyBorder="1" applyAlignment="1">
      <alignment horizontal="center" vertical="center"/>
    </xf>
    <xf numFmtId="0" fontId="4" fillId="8" borderId="97" xfId="0" applyFont="1" applyFill="1" applyBorder="1" applyAlignment="1">
      <alignment horizontal="center" vertical="center"/>
    </xf>
    <xf numFmtId="0" fontId="16" fillId="8" borderId="94" xfId="1" applyFont="1" applyFill="1" applyBorder="1" applyAlignment="1">
      <alignment horizontal="left" vertical="center" wrapText="1"/>
    </xf>
    <xf numFmtId="0" fontId="16" fillId="8" borderId="95" xfId="1" applyFont="1" applyFill="1" applyBorder="1" applyAlignment="1">
      <alignment horizontal="left" vertical="center" wrapText="1"/>
    </xf>
    <xf numFmtId="0" fontId="16" fillId="8" borderId="96" xfId="1" applyFont="1" applyFill="1" applyBorder="1" applyAlignment="1">
      <alignment horizontal="left" vertical="center" wrapText="1"/>
    </xf>
    <xf numFmtId="0" fontId="16" fillId="8" borderId="97" xfId="1" applyFont="1" applyFill="1" applyBorder="1" applyAlignment="1">
      <alignment horizontal="left" vertical="center" wrapText="1"/>
    </xf>
    <xf numFmtId="42" fontId="4" fillId="0" borderId="94" xfId="0" applyNumberFormat="1" applyFont="1" applyBorder="1" applyAlignment="1">
      <alignment vertical="top"/>
    </xf>
    <xf numFmtId="42" fontId="4" fillId="0" borderId="96" xfId="0" applyNumberFormat="1" applyFont="1" applyBorder="1" applyAlignment="1">
      <alignment vertical="top"/>
    </xf>
    <xf numFmtId="0" fontId="16" fillId="16" borderId="87" xfId="1" applyFont="1" applyFill="1" applyBorder="1" applyAlignment="1">
      <alignment horizontal="left" vertical="center" wrapText="1"/>
    </xf>
    <xf numFmtId="0" fontId="4" fillId="4" borderId="98" xfId="0" applyFont="1" applyFill="1" applyBorder="1" applyAlignment="1">
      <alignment horizontal="center" vertical="center"/>
    </xf>
    <xf numFmtId="0" fontId="4" fillId="4" borderId="98" xfId="0" applyFont="1" applyFill="1" applyBorder="1" applyAlignment="1">
      <alignment horizontal="left" vertical="center" wrapText="1"/>
    </xf>
    <xf numFmtId="42" fontId="4" fillId="4" borderId="98" xfId="0" applyNumberFormat="1" applyFont="1" applyFill="1" applyBorder="1" applyAlignment="1">
      <alignment vertical="top"/>
    </xf>
    <xf numFmtId="0" fontId="4" fillId="4" borderId="98" xfId="0" applyFont="1" applyFill="1" applyBorder="1" applyAlignment="1">
      <alignment vertical="center" wrapText="1"/>
    </xf>
    <xf numFmtId="0" fontId="4" fillId="4" borderId="98" xfId="0" applyFont="1" applyFill="1" applyBorder="1" applyAlignment="1">
      <alignment horizontal="left" vertical="center"/>
    </xf>
    <xf numFmtId="0" fontId="4" fillId="4" borderId="98" xfId="0" applyFont="1" applyFill="1" applyBorder="1" applyAlignment="1">
      <alignment vertical="center"/>
    </xf>
    <xf numFmtId="0" fontId="32" fillId="4" borderId="98" xfId="1" applyFont="1" applyFill="1" applyBorder="1" applyAlignment="1">
      <alignment horizontal="left" vertical="center" wrapText="1"/>
    </xf>
    <xf numFmtId="0" fontId="16" fillId="6" borderId="96" xfId="1" applyFont="1" applyFill="1" applyBorder="1" applyAlignment="1">
      <alignment horizontal="center" vertical="center" wrapText="1"/>
    </xf>
    <xf numFmtId="0" fontId="16" fillId="16" borderId="94" xfId="1" applyFont="1" applyFill="1" applyBorder="1" applyAlignment="1">
      <alignment horizontal="left" vertical="center" wrapText="1"/>
    </xf>
    <xf numFmtId="0" fontId="16" fillId="7" borderId="98" xfId="1" applyFont="1" applyFill="1" applyBorder="1" applyAlignment="1">
      <alignment horizontal="center" vertical="center" wrapText="1"/>
    </xf>
    <xf numFmtId="42" fontId="4" fillId="0" borderId="90" xfId="0" applyNumberFormat="1" applyFont="1" applyBorder="1" applyAlignment="1">
      <alignment horizontal="left" vertical="top"/>
    </xf>
    <xf numFmtId="42" fontId="4" fillId="0" borderId="94" xfId="0" applyNumberFormat="1" applyFont="1" applyBorder="1" applyAlignment="1">
      <alignment horizontal="left" vertical="top"/>
    </xf>
    <xf numFmtId="42" fontId="4" fillId="0" borderId="95" xfId="0" applyNumberFormat="1" applyFont="1" applyBorder="1" applyAlignment="1">
      <alignment horizontal="left" vertical="top"/>
    </xf>
    <xf numFmtId="42" fontId="4" fillId="0" borderId="97" xfId="0" applyNumberFormat="1" applyFont="1" applyBorder="1" applyAlignment="1">
      <alignment horizontal="left" vertical="top"/>
    </xf>
    <xf numFmtId="42" fontId="4" fillId="0" borderId="96" xfId="0" applyNumberFormat="1" applyFont="1" applyBorder="1" applyAlignment="1">
      <alignment horizontal="left" vertical="top"/>
    </xf>
    <xf numFmtId="0" fontId="4" fillId="0" borderId="98" xfId="0" applyFont="1" applyBorder="1" applyAlignment="1">
      <alignment horizontal="center" vertical="center"/>
    </xf>
    <xf numFmtId="0" fontId="4" fillId="0" borderId="98" xfId="0" applyFont="1" applyBorder="1" applyAlignment="1">
      <alignment horizontal="left" vertical="center" wrapText="1"/>
    </xf>
    <xf numFmtId="0" fontId="4" fillId="0" borderId="98" xfId="0" applyFont="1" applyBorder="1" applyAlignment="1">
      <alignment vertical="center" wrapText="1"/>
    </xf>
    <xf numFmtId="0" fontId="4" fillId="0" borderId="98" xfId="0" applyFont="1" applyBorder="1" applyAlignment="1">
      <alignment horizontal="left" vertical="center"/>
    </xf>
    <xf numFmtId="0" fontId="4" fillId="0" borderId="98" xfId="0" applyFont="1" applyBorder="1" applyAlignment="1">
      <alignment vertical="center"/>
    </xf>
    <xf numFmtId="0" fontId="4" fillId="0" borderId="99" xfId="0" applyFont="1" applyBorder="1" applyAlignment="1">
      <alignment horizontal="center" vertical="center"/>
    </xf>
    <xf numFmtId="0" fontId="4" fillId="0" borderId="99" xfId="0" applyFont="1" applyBorder="1" applyAlignment="1">
      <alignment horizontal="left" vertical="center" wrapText="1"/>
    </xf>
    <xf numFmtId="0" fontId="4" fillId="0" borderId="99" xfId="0" applyFont="1" applyBorder="1" applyAlignment="1">
      <alignment vertical="center" wrapText="1"/>
    </xf>
    <xf numFmtId="0" fontId="4" fillId="0" borderId="99" xfId="0" applyFont="1" applyBorder="1" applyAlignment="1">
      <alignment horizontal="left" vertical="center"/>
    </xf>
    <xf numFmtId="0" fontId="4" fillId="0" borderId="99" xfId="0" applyFont="1" applyBorder="1" applyAlignment="1">
      <alignment vertical="center"/>
    </xf>
    <xf numFmtId="0" fontId="4" fillId="0" borderId="100" xfId="0" applyFont="1" applyBorder="1" applyAlignment="1">
      <alignment horizontal="center" vertical="center"/>
    </xf>
    <xf numFmtId="0" fontId="4" fillId="0" borderId="100" xfId="0" applyFont="1" applyBorder="1" applyAlignment="1">
      <alignment horizontal="left" vertical="center" wrapText="1"/>
    </xf>
    <xf numFmtId="0" fontId="4" fillId="0" borderId="100" xfId="0" applyFont="1" applyBorder="1" applyAlignment="1">
      <alignment vertical="center" wrapText="1"/>
    </xf>
    <xf numFmtId="0" fontId="4" fillId="0" borderId="100" xfId="0" applyFont="1" applyBorder="1" applyAlignment="1">
      <alignment horizontal="left" vertical="center"/>
    </xf>
    <xf numFmtId="0" fontId="4" fillId="0" borderId="100" xfId="0" applyFont="1" applyBorder="1" applyAlignment="1">
      <alignment vertical="center"/>
    </xf>
    <xf numFmtId="0" fontId="16" fillId="7" borderId="0" xfId="1" applyFont="1" applyFill="1" applyBorder="1" applyAlignment="1">
      <alignment vertical="center" wrapText="1"/>
    </xf>
    <xf numFmtId="0" fontId="2" fillId="2" borderId="0" xfId="1" applyFill="1" applyBorder="1" applyAlignment="1">
      <alignment vertical="center" wrapText="1"/>
    </xf>
    <xf numFmtId="0" fontId="2" fillId="0" borderId="17" xfId="1" applyFill="1" applyBorder="1" applyAlignment="1">
      <alignment vertical="center"/>
    </xf>
    <xf numFmtId="0" fontId="11" fillId="8" borderId="16" xfId="0" applyFont="1" applyFill="1" applyBorder="1" applyAlignment="1">
      <alignment vertical="center" wrapText="1"/>
    </xf>
    <xf numFmtId="164" fontId="4" fillId="0" borderId="50" xfId="0" applyNumberFormat="1" applyFont="1" applyBorder="1" applyAlignment="1">
      <alignment vertical="center"/>
    </xf>
    <xf numFmtId="42" fontId="4" fillId="0" borderId="100" xfId="0" applyNumberFormat="1" applyFont="1" applyBorder="1" applyAlignment="1">
      <alignment vertical="center"/>
    </xf>
    <xf numFmtId="42" fontId="4" fillId="0" borderId="99" xfId="0" applyNumberFormat="1" applyFont="1" applyBorder="1" applyAlignment="1">
      <alignment vertical="center"/>
    </xf>
    <xf numFmtId="0" fontId="16" fillId="8" borderId="99" xfId="1" applyFont="1" applyFill="1" applyBorder="1" applyAlignment="1">
      <alignment horizontal="left" vertical="center" wrapText="1"/>
    </xf>
    <xf numFmtId="0" fontId="4" fillId="8" borderId="98" xfId="0" applyFont="1" applyFill="1" applyBorder="1" applyAlignment="1">
      <alignment horizontal="center" vertical="center"/>
    </xf>
    <xf numFmtId="0" fontId="4" fillId="8" borderId="99" xfId="0" applyFont="1" applyFill="1" applyBorder="1" applyAlignment="1">
      <alignment horizontal="center" vertical="center"/>
    </xf>
    <xf numFmtId="0" fontId="16" fillId="8" borderId="91" xfId="1" applyFont="1" applyFill="1" applyBorder="1" applyAlignment="1">
      <alignment horizontal="center" vertical="center" wrapText="1"/>
    </xf>
    <xf numFmtId="164" fontId="4" fillId="0" borderId="47" xfId="0" applyNumberFormat="1" applyFont="1" applyBorder="1" applyAlignment="1">
      <alignment horizontal="center" vertical="center"/>
    </xf>
    <xf numFmtId="42" fontId="4" fillId="0" borderId="94" xfId="0" applyNumberFormat="1" applyFont="1" applyBorder="1" applyAlignment="1">
      <alignment horizontal="center" vertical="center"/>
    </xf>
    <xf numFmtId="0" fontId="16" fillId="16" borderId="98" xfId="1" applyFont="1" applyFill="1" applyBorder="1" applyAlignment="1">
      <alignment horizontal="left" vertical="center" wrapText="1"/>
    </xf>
    <xf numFmtId="0" fontId="16" fillId="8" borderId="100" xfId="1" applyFont="1" applyFill="1" applyBorder="1" applyAlignment="1">
      <alignment horizontal="left" vertical="center" wrapText="1"/>
    </xf>
    <xf numFmtId="0" fontId="16" fillId="6" borderId="88" xfId="1" applyFont="1" applyFill="1" applyBorder="1" applyAlignment="1">
      <alignment horizontal="center" vertical="center" wrapText="1"/>
    </xf>
    <xf numFmtId="0" fontId="16" fillId="7" borderId="99" xfId="1" applyFont="1" applyFill="1" applyBorder="1" applyAlignment="1">
      <alignment horizontal="center" vertical="center" wrapText="1"/>
    </xf>
    <xf numFmtId="0" fontId="4" fillId="0" borderId="101" xfId="0" applyFont="1" applyBorder="1" applyAlignment="1">
      <alignment horizontal="center" vertical="center"/>
    </xf>
    <xf numFmtId="0" fontId="4" fillId="0" borderId="101" xfId="0" applyFont="1" applyBorder="1" applyAlignment="1">
      <alignment horizontal="left" vertical="center" wrapText="1"/>
    </xf>
    <xf numFmtId="42" fontId="4" fillId="0" borderId="101" xfId="0" applyNumberFormat="1" applyFont="1" applyBorder="1" applyAlignment="1">
      <alignment horizontal="center" vertical="center"/>
    </xf>
    <xf numFmtId="0" fontId="4" fillId="0" borderId="101" xfId="0" applyFont="1" applyBorder="1" applyAlignment="1">
      <alignment vertical="center" wrapText="1"/>
    </xf>
    <xf numFmtId="0" fontId="4" fillId="0" borderId="101" xfId="0" applyFont="1" applyBorder="1" applyAlignment="1">
      <alignment horizontal="left" vertical="center"/>
    </xf>
    <xf numFmtId="0" fontId="4" fillId="0" borderId="101" xfId="0" applyFont="1" applyBorder="1" applyAlignment="1">
      <alignment vertical="center"/>
    </xf>
    <xf numFmtId="0" fontId="4" fillId="0" borderId="102" xfId="0" applyFont="1" applyBorder="1" applyAlignment="1">
      <alignment horizontal="center" vertical="center"/>
    </xf>
    <xf numFmtId="0" fontId="4" fillId="0" borderId="102" xfId="0" applyFont="1" applyBorder="1" applyAlignment="1">
      <alignment horizontal="left" vertical="center" wrapText="1"/>
    </xf>
    <xf numFmtId="42" fontId="4" fillId="0" borderId="102" xfId="0" applyNumberFormat="1" applyFont="1" applyBorder="1" applyAlignment="1">
      <alignment horizontal="center" vertical="center"/>
    </xf>
    <xf numFmtId="0" fontId="4" fillId="0" borderId="102" xfId="0" applyFont="1" applyBorder="1" applyAlignment="1">
      <alignment vertical="center" wrapText="1"/>
    </xf>
    <xf numFmtId="0" fontId="4" fillId="0" borderId="102" xfId="0" applyFont="1" applyBorder="1" applyAlignment="1">
      <alignment horizontal="left" vertical="center"/>
    </xf>
    <xf numFmtId="0" fontId="4" fillId="0" borderId="102" xfId="0" applyFont="1" applyBorder="1" applyAlignment="1">
      <alignment vertical="center"/>
    </xf>
    <xf numFmtId="0" fontId="4" fillId="8" borderId="102" xfId="0" applyFont="1" applyFill="1" applyBorder="1" applyAlignment="1">
      <alignment horizontal="center" vertical="center"/>
    </xf>
    <xf numFmtId="0" fontId="4" fillId="8" borderId="101" xfId="0" applyFont="1" applyFill="1" applyBorder="1" applyAlignment="1">
      <alignment horizontal="center" vertical="center"/>
    </xf>
    <xf numFmtId="0" fontId="4" fillId="8" borderId="100" xfId="0" applyFont="1" applyFill="1" applyBorder="1" applyAlignment="1">
      <alignment horizontal="center" vertical="center"/>
    </xf>
    <xf numFmtId="0" fontId="16" fillId="8" borderId="88" xfId="1" applyFont="1" applyFill="1" applyBorder="1" applyAlignment="1">
      <alignment horizontal="left" vertical="center" wrapText="1"/>
    </xf>
    <xf numFmtId="0" fontId="16" fillId="8" borderId="102" xfId="1" applyFont="1" applyFill="1" applyBorder="1" applyAlignment="1">
      <alignment horizontal="left" vertical="center" wrapText="1"/>
    </xf>
    <xf numFmtId="0" fontId="16" fillId="6" borderId="32" xfId="1" applyFont="1" applyFill="1" applyBorder="1" applyAlignment="1">
      <alignment horizontal="center" vertical="center" wrapText="1"/>
    </xf>
    <xf numFmtId="0" fontId="2" fillId="7" borderId="102" xfId="1" applyFill="1" applyBorder="1" applyAlignment="1">
      <alignment horizontal="center" vertical="center" wrapText="1"/>
    </xf>
    <xf numFmtId="0" fontId="16" fillId="6" borderId="86" xfId="1" applyFont="1" applyFill="1" applyBorder="1" applyAlignment="1">
      <alignment horizontal="center" vertical="center" wrapText="1"/>
    </xf>
    <xf numFmtId="0" fontId="2" fillId="6" borderId="102" xfId="1" applyFill="1" applyBorder="1" applyAlignment="1">
      <alignment horizontal="center" vertical="center" wrapText="1"/>
    </xf>
    <xf numFmtId="0" fontId="16" fillId="6" borderId="100" xfId="1" applyFont="1" applyFill="1" applyBorder="1" applyAlignment="1">
      <alignment horizontal="center" vertical="center" wrapText="1"/>
    </xf>
    <xf numFmtId="0" fontId="16" fillId="7" borderId="101" xfId="1" applyFont="1" applyFill="1" applyBorder="1" applyAlignment="1">
      <alignment horizontal="center" vertical="center" wrapText="1"/>
    </xf>
    <xf numFmtId="0" fontId="16" fillId="7" borderId="102" xfId="1" applyFont="1" applyFill="1" applyBorder="1" applyAlignment="1">
      <alignment horizontal="center" vertical="center" wrapText="1"/>
    </xf>
    <xf numFmtId="0" fontId="4" fillId="0" borderId="103" xfId="0" applyFont="1" applyBorder="1" applyAlignment="1">
      <alignment horizontal="center" vertical="center"/>
    </xf>
    <xf numFmtId="0" fontId="4" fillId="0" borderId="103" xfId="0" applyFont="1" applyBorder="1" applyAlignment="1">
      <alignment horizontal="left" vertical="center" wrapText="1"/>
    </xf>
    <xf numFmtId="0" fontId="4" fillId="0" borderId="103" xfId="0" applyFont="1" applyBorder="1" applyAlignment="1">
      <alignment vertical="center" wrapText="1"/>
    </xf>
    <xf numFmtId="0" fontId="4" fillId="0" borderId="103" xfId="0" applyFont="1" applyBorder="1" applyAlignment="1">
      <alignment horizontal="left" vertical="center"/>
    </xf>
    <xf numFmtId="0" fontId="4" fillId="0" borderId="103" xfId="0" applyFont="1" applyBorder="1" applyAlignment="1">
      <alignment vertical="center"/>
    </xf>
    <xf numFmtId="0" fontId="4" fillId="0" borderId="104" xfId="0" applyFont="1" applyBorder="1" applyAlignment="1">
      <alignment horizontal="center" vertical="center"/>
    </xf>
    <xf numFmtId="0" fontId="4" fillId="0" borderId="104" xfId="0" applyFont="1" applyBorder="1" applyAlignment="1">
      <alignment horizontal="left" vertical="center" wrapText="1"/>
    </xf>
    <xf numFmtId="0" fontId="4" fillId="0" borderId="104" xfId="0" applyFont="1" applyBorder="1" applyAlignment="1">
      <alignment vertical="center" wrapText="1"/>
    </xf>
    <xf numFmtId="0" fontId="4" fillId="0" borderId="104" xfId="0" applyFont="1" applyBorder="1" applyAlignment="1">
      <alignment horizontal="left" vertical="center"/>
    </xf>
    <xf numFmtId="0" fontId="4" fillId="0" borderId="104" xfId="0" applyFont="1" applyBorder="1" applyAlignment="1">
      <alignment vertical="center"/>
    </xf>
    <xf numFmtId="0" fontId="16" fillId="16" borderId="99" xfId="1" applyFont="1" applyFill="1" applyBorder="1" applyAlignment="1">
      <alignment horizontal="left" vertical="center" wrapText="1"/>
    </xf>
    <xf numFmtId="164" fontId="4" fillId="19" borderId="53" xfId="0" applyNumberFormat="1" applyFont="1" applyFill="1" applyBorder="1" applyAlignment="1">
      <alignment horizontal="left" vertical="center"/>
    </xf>
    <xf numFmtId="164" fontId="4" fillId="0" borderId="65" xfId="0" applyNumberFormat="1" applyFont="1" applyBorder="1" applyAlignment="1">
      <alignment horizontal="left" vertical="center"/>
    </xf>
    <xf numFmtId="42" fontId="4" fillId="0" borderId="78" xfId="0" applyNumberFormat="1" applyFont="1" applyBorder="1" applyAlignment="1">
      <alignment horizontal="left" vertical="center"/>
    </xf>
    <xf numFmtId="42" fontId="4" fillId="0" borderId="85" xfId="0" applyNumberFormat="1" applyFont="1" applyBorder="1" applyAlignment="1">
      <alignment horizontal="left" vertical="center"/>
    </xf>
    <xf numFmtId="42" fontId="4" fillId="0" borderId="82" xfId="0" applyNumberFormat="1" applyFont="1" applyBorder="1" applyAlignment="1">
      <alignment horizontal="left" vertical="center"/>
    </xf>
    <xf numFmtId="42" fontId="4" fillId="19" borderId="86" xfId="0" applyNumberFormat="1" applyFont="1" applyFill="1" applyBorder="1" applyAlignment="1">
      <alignment horizontal="left" vertical="center"/>
    </xf>
    <xf numFmtId="42" fontId="4" fillId="19" borderId="87" xfId="0" applyNumberFormat="1" applyFont="1" applyFill="1" applyBorder="1" applyAlignment="1">
      <alignment horizontal="left" vertical="center"/>
    </xf>
    <xf numFmtId="42" fontId="4" fillId="0" borderId="92" xfId="0" applyNumberFormat="1" applyFont="1" applyBorder="1" applyAlignment="1">
      <alignment horizontal="left" vertical="center"/>
    </xf>
    <xf numFmtId="42" fontId="4" fillId="0" borderId="93" xfId="0" applyNumberFormat="1" applyFont="1" applyBorder="1" applyAlignment="1">
      <alignment horizontal="left" vertical="center"/>
    </xf>
    <xf numFmtId="42" fontId="4" fillId="0" borderId="98" xfId="0" applyNumberFormat="1" applyFont="1" applyBorder="1" applyAlignment="1">
      <alignment horizontal="left" vertical="center"/>
    </xf>
    <xf numFmtId="42" fontId="4" fillId="0" borderId="103" xfId="0" applyNumberFormat="1" applyFont="1" applyBorder="1" applyAlignment="1">
      <alignment horizontal="left" vertical="center"/>
    </xf>
    <xf numFmtId="0" fontId="16" fillId="16" borderId="104" xfId="1" applyFont="1" applyFill="1" applyBorder="1" applyAlignment="1">
      <alignment horizontal="left" vertical="center" wrapText="1"/>
    </xf>
    <xf numFmtId="0" fontId="9" fillId="0" borderId="53" xfId="0" applyFont="1" applyBorder="1" applyAlignment="1">
      <alignment vertical="center" wrapText="1"/>
    </xf>
    <xf numFmtId="0" fontId="9" fillId="0" borderId="53" xfId="0" applyFont="1" applyBorder="1" applyAlignment="1">
      <alignment vertical="center"/>
    </xf>
    <xf numFmtId="0" fontId="9" fillId="0" borderId="59" xfId="0" applyFont="1" applyBorder="1" applyAlignment="1">
      <alignment horizontal="left" vertical="center"/>
    </xf>
    <xf numFmtId="0" fontId="9" fillId="0" borderId="68" xfId="0" applyFont="1" applyBorder="1" applyAlignment="1">
      <alignment vertical="center"/>
    </xf>
    <xf numFmtId="0" fontId="9" fillId="0" borderId="71" xfId="0" applyFont="1" applyBorder="1" applyAlignment="1">
      <alignment horizontal="left" vertical="center"/>
    </xf>
    <xf numFmtId="0" fontId="16" fillId="7" borderId="103" xfId="1" applyFont="1" applyFill="1" applyBorder="1" applyAlignment="1">
      <alignment horizontal="center" vertical="center" wrapText="1"/>
    </xf>
    <xf numFmtId="0" fontId="16" fillId="7" borderId="104" xfId="1" applyFont="1" applyFill="1" applyBorder="1" applyAlignment="1">
      <alignment horizontal="center" vertical="center" wrapText="1"/>
    </xf>
    <xf numFmtId="0" fontId="16" fillId="6" borderId="103" xfId="1" applyFont="1" applyFill="1" applyBorder="1" applyAlignment="1">
      <alignment horizontal="center" vertical="center" wrapText="1"/>
    </xf>
    <xf numFmtId="0" fontId="4" fillId="0" borderId="105" xfId="0" applyFont="1" applyBorder="1" applyAlignment="1">
      <alignment horizontal="center" vertical="center"/>
    </xf>
    <xf numFmtId="0" fontId="4" fillId="0" borderId="105" xfId="0" applyFont="1" applyBorder="1" applyAlignment="1">
      <alignment vertical="center"/>
    </xf>
    <xf numFmtId="0" fontId="4" fillId="0" borderId="105" xfId="0" applyFont="1" applyBorder="1" applyAlignment="1">
      <alignment horizontal="left" vertical="center" wrapText="1"/>
    </xf>
    <xf numFmtId="0" fontId="4" fillId="0" borderId="105" xfId="0" applyFont="1" applyBorder="1" applyAlignment="1">
      <alignment vertical="center" wrapText="1"/>
    </xf>
    <xf numFmtId="0" fontId="4" fillId="0" borderId="105" xfId="0" applyFont="1" applyBorder="1" applyAlignment="1">
      <alignment horizontal="left" vertical="center"/>
    </xf>
    <xf numFmtId="0" fontId="16" fillId="7" borderId="105" xfId="1" applyFont="1" applyFill="1" applyBorder="1" applyAlignment="1">
      <alignment horizontal="center" vertical="center" wrapText="1"/>
    </xf>
    <xf numFmtId="0" fontId="4" fillId="8" borderId="105" xfId="0" applyFont="1" applyFill="1" applyBorder="1" applyAlignment="1">
      <alignment horizontal="center" vertical="center"/>
    </xf>
    <xf numFmtId="0" fontId="6" fillId="0" borderId="105" xfId="0" applyFont="1" applyBorder="1" applyAlignment="1">
      <alignment vertical="center"/>
    </xf>
    <xf numFmtId="0" fontId="4" fillId="0" borderId="105" xfId="0" applyFont="1" applyBorder="1" applyAlignment="1">
      <alignment horizontal="center" vertical="center" wrapText="1"/>
    </xf>
    <xf numFmtId="0" fontId="4" fillId="0" borderId="106" xfId="0" applyFont="1" applyBorder="1" applyAlignment="1">
      <alignment horizontal="center" vertical="center"/>
    </xf>
    <xf numFmtId="0" fontId="16" fillId="0" borderId="106" xfId="1" applyFont="1" applyFill="1" applyBorder="1" applyAlignment="1">
      <alignment horizontal="center" vertical="center" wrapText="1"/>
    </xf>
    <xf numFmtId="0" fontId="4" fillId="0" borderId="106" xfId="0" applyFont="1" applyBorder="1" applyAlignment="1">
      <alignment vertical="center"/>
    </xf>
    <xf numFmtId="0" fontId="4" fillId="0" borderId="106" xfId="0" applyFont="1" applyBorder="1" applyAlignment="1">
      <alignment vertical="center" wrapText="1"/>
    </xf>
    <xf numFmtId="42" fontId="4" fillId="0" borderId="106" xfId="0" applyNumberFormat="1" applyFont="1" applyBorder="1" applyAlignment="1">
      <alignment horizontal="left" vertical="center"/>
    </xf>
    <xf numFmtId="0" fontId="4" fillId="8" borderId="106" xfId="0" applyFont="1" applyFill="1" applyBorder="1" applyAlignment="1">
      <alignment horizontal="center" vertical="center"/>
    </xf>
    <xf numFmtId="0" fontId="16" fillId="16" borderId="105" xfId="1" applyFont="1" applyFill="1" applyBorder="1" applyAlignment="1">
      <alignment horizontal="left" vertical="center" wrapText="1"/>
    </xf>
    <xf numFmtId="0" fontId="44" fillId="2" borderId="0" xfId="0" applyFont="1" applyFill="1" applyAlignment="1">
      <alignment horizontal="left" vertical="center"/>
    </xf>
    <xf numFmtId="0" fontId="5" fillId="2" borderId="0" xfId="0" applyFont="1" applyFill="1" applyAlignment="1">
      <alignment horizontal="center" vertical="center"/>
    </xf>
    <xf numFmtId="0" fontId="10" fillId="0" borderId="106" xfId="0" applyFont="1" applyBorder="1" applyAlignment="1">
      <alignment horizontal="left" vertical="center"/>
    </xf>
    <xf numFmtId="0" fontId="11" fillId="0" borderId="106" xfId="0" applyFont="1" applyBorder="1" applyAlignment="1">
      <alignment horizontal="center" vertical="center"/>
    </xf>
    <xf numFmtId="0" fontId="10" fillId="0" borderId="106" xfId="0" applyFont="1" applyBorder="1" applyAlignment="1">
      <alignment horizontal="center" vertical="center"/>
    </xf>
    <xf numFmtId="0" fontId="10" fillId="4" borderId="106" xfId="0" applyFont="1" applyFill="1" applyBorder="1" applyAlignment="1">
      <alignment horizontal="left" vertical="center"/>
    </xf>
    <xf numFmtId="0" fontId="10" fillId="0" borderId="106" xfId="0" applyFont="1" applyBorder="1" applyAlignment="1">
      <alignment horizontal="left" vertical="center" wrapText="1"/>
    </xf>
    <xf numFmtId="0" fontId="4" fillId="0" borderId="106" xfId="0" applyFont="1" applyBorder="1" applyAlignment="1">
      <alignment horizontal="center" vertical="center" wrapText="1"/>
    </xf>
    <xf numFmtId="0" fontId="16" fillId="8" borderId="105" xfId="1" applyFont="1" applyFill="1" applyBorder="1" applyAlignment="1">
      <alignment horizontal="left" vertical="center" wrapText="1"/>
    </xf>
    <xf numFmtId="0" fontId="16" fillId="8" borderId="106" xfId="1" applyFont="1" applyFill="1" applyBorder="1" applyAlignment="1">
      <alignment horizontal="left" vertical="center" wrapText="1"/>
    </xf>
    <xf numFmtId="0" fontId="6" fillId="8" borderId="106" xfId="0" applyFont="1" applyFill="1" applyBorder="1" applyAlignment="1">
      <alignment horizontal="center" vertical="center"/>
    </xf>
    <xf numFmtId="0" fontId="4" fillId="22" borderId="106" xfId="0" applyFont="1" applyFill="1" applyBorder="1" applyAlignment="1">
      <alignment horizontal="center" vertical="center"/>
    </xf>
    <xf numFmtId="0" fontId="16" fillId="16" borderId="106" xfId="1" applyFont="1" applyFill="1" applyBorder="1" applyAlignment="1">
      <alignment horizontal="left" vertical="center" wrapText="1"/>
    </xf>
    <xf numFmtId="42" fontId="4" fillId="0" borderId="105" xfId="0" applyNumberFormat="1" applyFont="1" applyBorder="1" applyAlignment="1">
      <alignment vertical="center"/>
    </xf>
    <xf numFmtId="0" fontId="4" fillId="0" borderId="32" xfId="0" applyFont="1" applyBorder="1" applyAlignment="1">
      <alignment vertical="center" wrapText="1"/>
    </xf>
    <xf numFmtId="0" fontId="16" fillId="8" borderId="32" xfId="1" applyFont="1" applyFill="1" applyBorder="1" applyAlignment="1">
      <alignment horizontal="left" vertical="center" wrapText="1"/>
    </xf>
    <xf numFmtId="0" fontId="4" fillId="0" borderId="9" xfId="0" applyFont="1" applyBorder="1" applyAlignment="1">
      <alignment horizontal="left" vertical="center"/>
    </xf>
    <xf numFmtId="0" fontId="6" fillId="0" borderId="9" xfId="0" applyFont="1" applyBorder="1" applyAlignment="1">
      <alignment horizontal="left" vertical="center"/>
    </xf>
    <xf numFmtId="0" fontId="16" fillId="7" borderId="96" xfId="1" applyFont="1" applyFill="1" applyBorder="1" applyAlignment="1">
      <alignment horizontal="center" vertical="center" wrapText="1"/>
    </xf>
    <xf numFmtId="0" fontId="4" fillId="0" borderId="107" xfId="0" applyFont="1" applyBorder="1" applyAlignment="1">
      <alignment horizontal="center" vertical="center"/>
    </xf>
    <xf numFmtId="0" fontId="4" fillId="0" borderId="107" xfId="0" applyFont="1" applyBorder="1" applyAlignment="1">
      <alignment vertical="center"/>
    </xf>
    <xf numFmtId="0" fontId="4" fillId="0" borderId="107" xfId="0" applyFont="1" applyBorder="1" applyAlignment="1">
      <alignment vertical="center" wrapText="1"/>
    </xf>
    <xf numFmtId="42" fontId="4" fillId="0" borderId="107" xfId="0" applyNumberFormat="1" applyFont="1" applyBorder="1" applyAlignment="1">
      <alignment vertical="center"/>
    </xf>
    <xf numFmtId="0" fontId="4" fillId="0" borderId="107" xfId="0" applyFont="1" applyBorder="1" applyAlignment="1">
      <alignment horizontal="center" vertical="center" wrapText="1"/>
    </xf>
    <xf numFmtId="0" fontId="4" fillId="0" borderId="107" xfId="0" applyFont="1" applyBorder="1" applyAlignment="1">
      <alignment horizontal="left" vertical="center"/>
    </xf>
    <xf numFmtId="0" fontId="4" fillId="0" borderId="108" xfId="0" applyFont="1" applyBorder="1" applyAlignment="1">
      <alignment horizontal="center" vertical="center"/>
    </xf>
    <xf numFmtId="0" fontId="4" fillId="0" borderId="108" xfId="0" applyFont="1" applyBorder="1" applyAlignment="1">
      <alignment vertical="center"/>
    </xf>
    <xf numFmtId="0" fontId="4" fillId="0" borderId="108" xfId="0" applyFont="1" applyBorder="1" applyAlignment="1">
      <alignment vertical="center" wrapText="1"/>
    </xf>
    <xf numFmtId="42" fontId="4" fillId="0" borderId="108" xfId="0" applyNumberFormat="1" applyFont="1" applyBorder="1" applyAlignment="1">
      <alignment vertical="center"/>
    </xf>
    <xf numFmtId="0" fontId="4" fillId="0" borderId="108" xfId="0" applyFont="1" applyBorder="1" applyAlignment="1">
      <alignment horizontal="center" vertical="center" wrapText="1"/>
    </xf>
    <xf numFmtId="0" fontId="4" fillId="0" borderId="108" xfId="0" applyFont="1" applyBorder="1" applyAlignment="1">
      <alignment horizontal="left" vertical="center"/>
    </xf>
    <xf numFmtId="0" fontId="2" fillId="7" borderId="107" xfId="1" applyFill="1" applyBorder="1" applyAlignment="1">
      <alignment horizontal="center" vertical="center" wrapText="1"/>
    </xf>
    <xf numFmtId="0" fontId="2" fillId="7" borderId="108" xfId="1" applyFill="1" applyBorder="1" applyAlignment="1">
      <alignment horizontal="center" vertical="center" wrapText="1"/>
    </xf>
    <xf numFmtId="0" fontId="4" fillId="22" borderId="0" xfId="0" applyFont="1" applyFill="1" applyAlignment="1">
      <alignment horizontal="center" vertical="center"/>
    </xf>
    <xf numFmtId="0" fontId="4" fillId="8" borderId="108" xfId="0" applyFont="1" applyFill="1" applyBorder="1" applyAlignment="1">
      <alignment horizontal="center" vertical="center"/>
    </xf>
    <xf numFmtId="0" fontId="16" fillId="8" borderId="101" xfId="1" applyFont="1" applyFill="1" applyBorder="1" applyAlignment="1">
      <alignment horizontal="left" vertical="center" wrapText="1"/>
    </xf>
    <xf numFmtId="0" fontId="16" fillId="8" borderId="108" xfId="1" applyFont="1" applyFill="1" applyBorder="1" applyAlignment="1">
      <alignment horizontal="left" vertical="center" wrapText="1"/>
    </xf>
    <xf numFmtId="0" fontId="16" fillId="8" borderId="107" xfId="1" applyFont="1" applyFill="1" applyBorder="1" applyAlignment="1">
      <alignment horizontal="center" vertical="center" wrapText="1"/>
    </xf>
    <xf numFmtId="0" fontId="16" fillId="8" borderId="108" xfId="1" applyFont="1" applyFill="1" applyBorder="1" applyAlignment="1">
      <alignment horizontal="center" vertical="center" wrapText="1"/>
    </xf>
    <xf numFmtId="0" fontId="4" fillId="0" borderId="110" xfId="0" applyFont="1" applyBorder="1" applyAlignment="1">
      <alignment vertical="center"/>
    </xf>
    <xf numFmtId="0" fontId="16" fillId="6" borderId="104" xfId="1" applyFont="1" applyFill="1" applyBorder="1" applyAlignment="1">
      <alignment horizontal="center" vertical="center" wrapText="1"/>
    </xf>
    <xf numFmtId="0" fontId="2" fillId="7" borderId="109" xfId="1" applyFill="1" applyBorder="1" applyAlignment="1">
      <alignment horizontal="center" vertical="center" wrapText="1"/>
    </xf>
    <xf numFmtId="0" fontId="2" fillId="7" borderId="110" xfId="1" applyFill="1" applyBorder="1" applyAlignment="1">
      <alignment horizontal="center" vertical="center" wrapText="1"/>
    </xf>
    <xf numFmtId="0" fontId="4" fillId="0" borderId="111" xfId="0" applyFont="1" applyBorder="1" applyAlignment="1">
      <alignment horizontal="center" vertical="center"/>
    </xf>
    <xf numFmtId="0" fontId="4" fillId="0" borderId="111" xfId="0" applyFont="1" applyBorder="1" applyAlignment="1">
      <alignment vertical="center"/>
    </xf>
    <xf numFmtId="0" fontId="4" fillId="0" borderId="111" xfId="0" applyFont="1" applyBorder="1" applyAlignment="1">
      <alignment vertical="center" wrapText="1"/>
    </xf>
    <xf numFmtId="0" fontId="4" fillId="0" borderId="111" xfId="0" applyFont="1" applyBorder="1" applyAlignment="1">
      <alignment horizontal="center" vertical="center" wrapText="1"/>
    </xf>
    <xf numFmtId="0" fontId="4" fillId="0" borderId="111" xfId="0" applyFont="1" applyBorder="1" applyAlignment="1">
      <alignment horizontal="left" vertical="center"/>
    </xf>
    <xf numFmtId="0" fontId="4" fillId="0" borderId="112" xfId="0" applyFont="1" applyBorder="1" applyAlignment="1">
      <alignment horizontal="center" vertical="center"/>
    </xf>
    <xf numFmtId="0" fontId="4" fillId="0" borderId="112" xfId="0" applyFont="1" applyBorder="1" applyAlignment="1">
      <alignment vertical="center"/>
    </xf>
    <xf numFmtId="0" fontId="4" fillId="0" borderId="112" xfId="0" applyFont="1" applyBorder="1" applyAlignment="1">
      <alignment vertical="center" wrapText="1"/>
    </xf>
    <xf numFmtId="42" fontId="4" fillId="0" borderId="112" xfId="0" applyNumberFormat="1" applyFont="1" applyBorder="1" applyAlignment="1">
      <alignment vertical="center"/>
    </xf>
    <xf numFmtId="0" fontId="4" fillId="0" borderId="112" xfId="0" applyFont="1" applyBorder="1" applyAlignment="1">
      <alignment horizontal="center" vertical="center" wrapText="1"/>
    </xf>
    <xf numFmtId="0" fontId="4" fillId="0" borderId="112" xfId="0" applyFont="1" applyBorder="1" applyAlignment="1">
      <alignment horizontal="left" vertical="center"/>
    </xf>
    <xf numFmtId="0" fontId="15" fillId="0" borderId="112" xfId="1" applyFont="1" applyFill="1" applyBorder="1" applyAlignment="1">
      <alignment horizontal="center" vertical="center" wrapText="1"/>
    </xf>
    <xf numFmtId="0" fontId="16" fillId="8" borderId="111" xfId="1" applyFont="1" applyFill="1" applyBorder="1" applyAlignment="1">
      <alignment horizontal="left" vertical="center" wrapText="1"/>
    </xf>
    <xf numFmtId="0" fontId="16" fillId="8" borderId="112" xfId="1" applyFont="1" applyFill="1" applyBorder="1" applyAlignment="1">
      <alignment horizontal="left" vertical="center" wrapText="1"/>
    </xf>
    <xf numFmtId="0" fontId="32" fillId="8" borderId="112" xfId="1" applyFont="1" applyFill="1" applyBorder="1" applyAlignment="1">
      <alignment horizontal="left" vertical="center" wrapText="1"/>
    </xf>
    <xf numFmtId="0" fontId="2" fillId="7" borderId="112" xfId="1" applyFill="1" applyBorder="1" applyAlignment="1">
      <alignment horizontal="center" vertical="center" wrapText="1"/>
    </xf>
    <xf numFmtId="0" fontId="16" fillId="16" borderId="112" xfId="1" applyFont="1" applyFill="1" applyBorder="1" applyAlignment="1">
      <alignment horizontal="left" vertical="center" wrapText="1"/>
    </xf>
    <xf numFmtId="42" fontId="4" fillId="0" borderId="100" xfId="0" applyNumberFormat="1" applyFont="1" applyBorder="1" applyAlignment="1">
      <alignment horizontal="center" vertical="center"/>
    </xf>
    <xf numFmtId="42" fontId="4" fillId="0" borderId="99" xfId="0" applyNumberFormat="1" applyFont="1" applyBorder="1" applyAlignment="1">
      <alignment horizontal="center" vertical="center"/>
    </xf>
    <xf numFmtId="42" fontId="4" fillId="0" borderId="104" xfId="0" applyNumberFormat="1" applyFont="1" applyBorder="1" applyAlignment="1">
      <alignment horizontal="center" vertical="center"/>
    </xf>
    <xf numFmtId="42" fontId="4" fillId="0" borderId="105" xfId="0" applyNumberFormat="1" applyFont="1" applyBorder="1" applyAlignment="1">
      <alignment horizontal="center" vertical="center"/>
    </xf>
    <xf numFmtId="42" fontId="4" fillId="0" borderId="106" xfId="0" applyNumberFormat="1" applyFont="1" applyBorder="1" applyAlignment="1">
      <alignment horizontal="center" vertical="center"/>
    </xf>
    <xf numFmtId="42" fontId="4" fillId="0" borderId="111" xfId="0" applyNumberFormat="1" applyFont="1" applyBorder="1" applyAlignment="1">
      <alignment horizontal="center" vertical="center"/>
    </xf>
    <xf numFmtId="42" fontId="4" fillId="0" borderId="112" xfId="0" applyNumberFormat="1" applyFont="1" applyBorder="1" applyAlignment="1">
      <alignment horizontal="center" vertical="center"/>
    </xf>
    <xf numFmtId="0" fontId="4" fillId="8" borderId="111" xfId="0" applyFont="1" applyFill="1" applyBorder="1" applyAlignment="1">
      <alignment horizontal="center" vertical="center"/>
    </xf>
    <xf numFmtId="0" fontId="2" fillId="7" borderId="111" xfId="1" applyFill="1" applyBorder="1" applyAlignment="1">
      <alignment horizontal="center" vertical="center" wrapText="1"/>
    </xf>
    <xf numFmtId="0" fontId="2" fillId="6" borderId="112" xfId="1" applyFill="1" applyBorder="1" applyAlignment="1">
      <alignment horizontal="center" vertical="center" wrapText="1"/>
    </xf>
    <xf numFmtId="0" fontId="4" fillId="8" borderId="112" xfId="0" applyFont="1" applyFill="1" applyBorder="1" applyAlignment="1">
      <alignment horizontal="center" vertical="center"/>
    </xf>
    <xf numFmtId="0" fontId="4" fillId="0" borderId="99" xfId="0" applyFont="1" applyBorder="1" applyAlignment="1">
      <alignment horizontal="center" vertical="center" wrapText="1"/>
    </xf>
    <xf numFmtId="0" fontId="16" fillId="16" borderId="111" xfId="1" applyFont="1" applyFill="1" applyBorder="1" applyAlignment="1">
      <alignment horizontal="left" vertical="center" wrapText="1"/>
    </xf>
    <xf numFmtId="0" fontId="2" fillId="7" borderId="114" xfId="1" applyFill="1" applyBorder="1" applyAlignment="1">
      <alignment horizontal="center" vertical="center" wrapText="1"/>
    </xf>
    <xf numFmtId="0" fontId="4" fillId="0" borderId="114" xfId="0" applyFont="1" applyBorder="1" applyAlignment="1">
      <alignment horizontal="center" vertical="center"/>
    </xf>
    <xf numFmtId="0" fontId="4" fillId="0" borderId="114" xfId="0" applyFont="1" applyBorder="1" applyAlignment="1">
      <alignment vertical="center"/>
    </xf>
    <xf numFmtId="0" fontId="4" fillId="0" borderId="114" xfId="0" applyFont="1" applyBorder="1" applyAlignment="1">
      <alignment vertical="center" wrapText="1"/>
    </xf>
    <xf numFmtId="42" fontId="4" fillId="0" borderId="114" xfId="0" applyNumberFormat="1" applyFont="1" applyBorder="1" applyAlignment="1">
      <alignment vertical="center"/>
    </xf>
    <xf numFmtId="0" fontId="4" fillId="0" borderId="114" xfId="0" applyFont="1" applyBorder="1" applyAlignment="1">
      <alignment horizontal="center" vertical="center" wrapText="1"/>
    </xf>
    <xf numFmtId="0" fontId="4" fillId="0" borderId="114" xfId="0" applyFont="1" applyBorder="1" applyAlignment="1">
      <alignment horizontal="left" vertical="center"/>
    </xf>
    <xf numFmtId="0" fontId="4" fillId="8" borderId="114" xfId="0" applyFont="1" applyFill="1" applyBorder="1" applyAlignment="1">
      <alignment horizontal="center" vertical="center"/>
    </xf>
    <xf numFmtId="0" fontId="36" fillId="16" borderId="85" xfId="1" applyFont="1" applyFill="1" applyBorder="1" applyAlignment="1">
      <alignment horizontal="left" vertical="center" wrapText="1"/>
    </xf>
    <xf numFmtId="0" fontId="16" fillId="8" borderId="114" xfId="1" applyFont="1" applyFill="1" applyBorder="1" applyAlignment="1">
      <alignment horizontal="left" vertical="center" wrapText="1"/>
    </xf>
    <xf numFmtId="0" fontId="16" fillId="6" borderId="99" xfId="1" applyFont="1" applyFill="1" applyBorder="1" applyAlignment="1">
      <alignment horizontal="center" vertical="center" wrapText="1"/>
    </xf>
    <xf numFmtId="0" fontId="4" fillId="0" borderId="115" xfId="0" applyFont="1" applyBorder="1" applyAlignment="1">
      <alignment horizontal="center" vertical="center"/>
    </xf>
    <xf numFmtId="0" fontId="2" fillId="0" borderId="115" xfId="1" applyFill="1" applyBorder="1" applyAlignment="1">
      <alignment horizontal="center" vertical="center" wrapText="1"/>
    </xf>
    <xf numFmtId="0" fontId="4" fillId="0" borderId="115" xfId="0" applyFont="1" applyBorder="1" applyAlignment="1">
      <alignment vertical="center"/>
    </xf>
    <xf numFmtId="0" fontId="4" fillId="0" borderId="115" xfId="0" applyFont="1" applyBorder="1" applyAlignment="1">
      <alignment vertical="center" wrapText="1"/>
    </xf>
    <xf numFmtId="42" fontId="4" fillId="0" borderId="115" xfId="0" applyNumberFormat="1" applyFont="1" applyBorder="1" applyAlignment="1">
      <alignment vertical="center"/>
    </xf>
    <xf numFmtId="0" fontId="4" fillId="0" borderId="115" xfId="0" applyFont="1" applyBorder="1" applyAlignment="1">
      <alignment horizontal="center" vertical="center" wrapText="1"/>
    </xf>
    <xf numFmtId="0" fontId="4" fillId="0" borderId="115" xfId="0" applyFont="1" applyBorder="1" applyAlignment="1">
      <alignment horizontal="left" vertical="center"/>
    </xf>
    <xf numFmtId="0" fontId="16" fillId="8" borderId="115" xfId="1" applyFont="1" applyFill="1" applyBorder="1" applyAlignment="1">
      <alignment horizontal="left" vertical="center" wrapText="1"/>
    </xf>
    <xf numFmtId="0" fontId="2" fillId="7" borderId="115" xfId="1" applyFill="1" applyBorder="1" applyAlignment="1">
      <alignment horizontal="center" vertical="center" wrapText="1"/>
    </xf>
    <xf numFmtId="0" fontId="16" fillId="16" borderId="106" xfId="1" applyFont="1" applyFill="1" applyBorder="1" applyAlignment="1">
      <alignment horizontal="center" vertical="center" wrapText="1"/>
    </xf>
    <xf numFmtId="0" fontId="2" fillId="8" borderId="0" xfId="1" applyFill="1" applyAlignment="1">
      <alignment horizontal="left" vertical="center" wrapText="1"/>
    </xf>
    <xf numFmtId="0" fontId="2" fillId="6" borderId="114" xfId="1" applyFill="1" applyBorder="1" applyAlignment="1">
      <alignment horizontal="center" vertical="center" wrapText="1"/>
    </xf>
    <xf numFmtId="0" fontId="2" fillId="7" borderId="116" xfId="1" applyFill="1" applyBorder="1" applyAlignment="1">
      <alignment horizontal="center" vertical="center" wrapText="1"/>
    </xf>
    <xf numFmtId="0" fontId="16" fillId="4" borderId="109" xfId="1" applyFont="1" applyFill="1" applyBorder="1" applyAlignment="1">
      <alignment horizontal="center" vertical="center" wrapText="1"/>
    </xf>
    <xf numFmtId="0" fontId="16" fillId="4" borderId="110" xfId="1" applyFont="1" applyFill="1" applyBorder="1" applyAlignment="1">
      <alignment horizontal="center" vertical="center" wrapText="1"/>
    </xf>
    <xf numFmtId="0" fontId="4" fillId="0" borderId="116" xfId="0" applyFont="1" applyBorder="1" applyAlignment="1">
      <alignment vertical="center"/>
    </xf>
    <xf numFmtId="0" fontId="4" fillId="8" borderId="116" xfId="0" applyFont="1" applyFill="1" applyBorder="1" applyAlignment="1">
      <alignment horizontal="center" vertical="center"/>
    </xf>
    <xf numFmtId="0" fontId="16" fillId="16" borderId="112" xfId="1" applyFont="1" applyFill="1" applyBorder="1" applyAlignment="1">
      <alignment vertical="center" wrapText="1"/>
    </xf>
    <xf numFmtId="0" fontId="4" fillId="20" borderId="114" xfId="0" applyFont="1" applyFill="1" applyBorder="1" applyAlignment="1">
      <alignment vertical="center" wrapText="1"/>
    </xf>
    <xf numFmtId="42" fontId="4" fillId="0" borderId="114" xfId="0" applyNumberFormat="1" applyFont="1" applyBorder="1" applyAlignment="1">
      <alignment horizontal="center" vertical="center"/>
    </xf>
    <xf numFmtId="0" fontId="36" fillId="8" borderId="50" xfId="1" applyFont="1" applyFill="1" applyBorder="1" applyAlignment="1">
      <alignment vertical="center" wrapText="1"/>
    </xf>
    <xf numFmtId="0" fontId="2" fillId="8" borderId="9" xfId="1" applyFill="1" applyBorder="1" applyAlignment="1">
      <alignment vertical="center" wrapText="1"/>
    </xf>
    <xf numFmtId="0" fontId="16" fillId="8" borderId="28" xfId="1" applyFont="1" applyFill="1" applyBorder="1" applyAlignment="1">
      <alignment vertical="center" wrapText="1"/>
    </xf>
    <xf numFmtId="0" fontId="16" fillId="7" borderId="64" xfId="1" applyFont="1" applyFill="1" applyBorder="1" applyAlignment="1">
      <alignment vertical="center" wrapText="1"/>
    </xf>
    <xf numFmtId="0" fontId="16" fillId="8" borderId="85" xfId="1" applyFont="1" applyFill="1" applyBorder="1" applyAlignment="1">
      <alignment wrapText="1"/>
    </xf>
    <xf numFmtId="0" fontId="16" fillId="16" borderId="114" xfId="1" applyFont="1" applyFill="1" applyBorder="1" applyAlignment="1">
      <alignment horizontal="left" vertical="center" wrapText="1"/>
    </xf>
    <xf numFmtId="0" fontId="16" fillId="7" borderId="114" xfId="1" applyFont="1" applyFill="1" applyBorder="1" applyAlignment="1">
      <alignment horizontal="left" vertical="center" wrapText="1"/>
    </xf>
    <xf numFmtId="0" fontId="4" fillId="0" borderId="116" xfId="0" applyFont="1" applyBorder="1" applyAlignment="1">
      <alignment horizontal="center" vertical="center"/>
    </xf>
    <xf numFmtId="0" fontId="4" fillId="0" borderId="116" xfId="0" applyFont="1" applyBorder="1" applyAlignment="1">
      <alignment vertical="center" wrapText="1"/>
    </xf>
    <xf numFmtId="0" fontId="4" fillId="0" borderId="116" xfId="0" applyFont="1" applyBorder="1" applyAlignment="1">
      <alignment horizontal="center" vertical="center" wrapText="1"/>
    </xf>
    <xf numFmtId="0" fontId="4" fillId="0" borderId="116" xfId="0" applyFont="1" applyBorder="1" applyAlignment="1">
      <alignment horizontal="left" vertical="center"/>
    </xf>
    <xf numFmtId="0" fontId="4" fillId="0" borderId="113" xfId="0" applyFont="1" applyBorder="1" applyAlignment="1">
      <alignment horizontal="center" vertical="center"/>
    </xf>
    <xf numFmtId="0" fontId="4" fillId="0" borderId="113" xfId="0" applyFont="1" applyBorder="1" applyAlignment="1">
      <alignment vertical="center"/>
    </xf>
    <xf numFmtId="0" fontId="4" fillId="0" borderId="113" xfId="0" applyFont="1" applyBorder="1" applyAlignment="1">
      <alignment vertical="center" wrapText="1"/>
    </xf>
    <xf numFmtId="0" fontId="4" fillId="0" borderId="113" xfId="0" applyFont="1" applyBorder="1" applyAlignment="1">
      <alignment horizontal="left" vertical="center"/>
    </xf>
    <xf numFmtId="0" fontId="4" fillId="8" borderId="113" xfId="0" applyFont="1" applyFill="1" applyBorder="1" applyAlignment="1">
      <alignment horizontal="center" vertical="center"/>
    </xf>
    <xf numFmtId="0" fontId="16" fillId="16" borderId="113" xfId="1" applyFont="1" applyFill="1" applyBorder="1" applyAlignment="1">
      <alignment horizontal="left" vertical="center" wrapText="1"/>
    </xf>
    <xf numFmtId="0" fontId="16" fillId="16" borderId="116" xfId="1" applyFont="1" applyFill="1" applyBorder="1" applyAlignment="1">
      <alignment horizontal="left" vertical="center" wrapText="1"/>
    </xf>
    <xf numFmtId="0" fontId="4" fillId="8" borderId="115" xfId="0" applyFont="1" applyFill="1" applyBorder="1" applyAlignment="1">
      <alignment horizontal="center" vertical="center"/>
    </xf>
    <xf numFmtId="0" fontId="4" fillId="8" borderId="9" xfId="0" applyFont="1" applyFill="1" applyBorder="1" applyAlignment="1">
      <alignment horizontal="center" vertical="center"/>
    </xf>
    <xf numFmtId="0" fontId="4" fillId="8" borderId="0" xfId="0" applyFont="1" applyFill="1" applyAlignment="1">
      <alignment horizontal="center" vertical="center"/>
    </xf>
    <xf numFmtId="42" fontId="4" fillId="0" borderId="113" xfId="0" applyNumberFormat="1" applyFont="1" applyBorder="1" applyAlignment="1">
      <alignment horizontal="center" vertical="center"/>
    </xf>
    <xf numFmtId="42" fontId="4" fillId="0" borderId="115" xfId="0" applyNumberFormat="1" applyFont="1" applyBorder="1" applyAlignment="1">
      <alignment horizontal="center" vertical="center"/>
    </xf>
    <xf numFmtId="42" fontId="4" fillId="0" borderId="116" xfId="0" applyNumberFormat="1" applyFont="1" applyBorder="1" applyAlignment="1">
      <alignment horizontal="center" vertical="center"/>
    </xf>
    <xf numFmtId="42" fontId="4" fillId="0" borderId="116" xfId="0" applyNumberFormat="1" applyFont="1" applyBorder="1" applyAlignment="1">
      <alignment vertical="center"/>
    </xf>
    <xf numFmtId="0" fontId="9" fillId="4" borderId="0" xfId="0" applyFont="1" applyFill="1" applyAlignment="1">
      <alignment horizontal="center" vertical="center"/>
    </xf>
    <xf numFmtId="0" fontId="2" fillId="6" borderId="106" xfId="1" applyFill="1" applyBorder="1" applyAlignment="1">
      <alignment horizontal="center" vertical="center" wrapText="1"/>
    </xf>
    <xf numFmtId="0" fontId="2" fillId="6" borderId="115" xfId="1" applyFill="1" applyBorder="1" applyAlignment="1">
      <alignment horizontal="center" vertical="center" wrapText="1"/>
    </xf>
    <xf numFmtId="0" fontId="4" fillId="0" borderId="117" xfId="0" applyFont="1" applyBorder="1" applyAlignment="1">
      <alignment horizontal="center" vertical="center"/>
    </xf>
    <xf numFmtId="0" fontId="4" fillId="0" borderId="117" xfId="0" applyFont="1" applyBorder="1" applyAlignment="1">
      <alignment vertical="center"/>
    </xf>
    <xf numFmtId="0" fontId="4" fillId="0" borderId="117" xfId="0" applyFont="1" applyBorder="1" applyAlignment="1">
      <alignment vertical="center" wrapText="1"/>
    </xf>
    <xf numFmtId="42" fontId="4" fillId="0" borderId="117" xfId="0" applyNumberFormat="1" applyFont="1" applyBorder="1" applyAlignment="1">
      <alignment horizontal="center" vertical="center"/>
    </xf>
    <xf numFmtId="0" fontId="4" fillId="0" borderId="117" xfId="0" applyFont="1" applyBorder="1" applyAlignment="1">
      <alignment horizontal="center" vertical="center" wrapText="1"/>
    </xf>
    <xf numFmtId="0" fontId="4" fillId="0" borderId="117" xfId="0" applyFont="1" applyBorder="1" applyAlignment="1">
      <alignment horizontal="left" vertical="center"/>
    </xf>
    <xf numFmtId="0" fontId="4" fillId="0" borderId="118" xfId="0" applyFont="1" applyBorder="1" applyAlignment="1">
      <alignment horizontal="center" vertical="center"/>
    </xf>
    <xf numFmtId="0" fontId="4" fillId="0" borderId="118" xfId="0" applyFont="1" applyBorder="1" applyAlignment="1">
      <alignment vertical="center"/>
    </xf>
    <xf numFmtId="0" fontId="4" fillId="0" borderId="118" xfId="0" applyFont="1" applyBorder="1" applyAlignment="1">
      <alignment vertical="center" wrapText="1"/>
    </xf>
    <xf numFmtId="42" fontId="4" fillId="0" borderId="118" xfId="0" applyNumberFormat="1" applyFont="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left" vertical="center"/>
    </xf>
    <xf numFmtId="0" fontId="4" fillId="8" borderId="117" xfId="0" applyFont="1" applyFill="1" applyBorder="1" applyAlignment="1">
      <alignment horizontal="center" vertical="center"/>
    </xf>
    <xf numFmtId="0" fontId="4" fillId="8" borderId="118" xfId="0" applyFont="1" applyFill="1" applyBorder="1" applyAlignment="1">
      <alignment horizontal="center" vertical="center"/>
    </xf>
    <xf numFmtId="0" fontId="16" fillId="8" borderId="117" xfId="1" applyFont="1" applyFill="1" applyBorder="1" applyAlignment="1">
      <alignment horizontal="left" vertical="center" wrapText="1"/>
    </xf>
    <xf numFmtId="0" fontId="16" fillId="16" borderId="117" xfId="1" applyFont="1" applyFill="1" applyBorder="1" applyAlignment="1">
      <alignment horizontal="left" vertical="center" wrapText="1"/>
    </xf>
    <xf numFmtId="0" fontId="4" fillId="5" borderId="42" xfId="0" applyFont="1" applyFill="1" applyBorder="1" applyAlignment="1">
      <alignment horizontal="center" vertical="center"/>
    </xf>
    <xf numFmtId="0" fontId="4" fillId="5" borderId="42" xfId="0" applyFont="1" applyFill="1" applyBorder="1" applyAlignment="1">
      <alignment horizontal="left" vertical="center" wrapText="1"/>
    </xf>
    <xf numFmtId="164" fontId="4" fillId="5" borderId="42" xfId="0" applyNumberFormat="1" applyFont="1" applyFill="1" applyBorder="1" applyAlignment="1">
      <alignment horizontal="center" vertical="center"/>
    </xf>
    <xf numFmtId="0" fontId="4" fillId="5" borderId="42" xfId="0" applyFont="1" applyFill="1" applyBorder="1" applyAlignment="1">
      <alignment horizontal="left" vertical="center"/>
    </xf>
    <xf numFmtId="0" fontId="16" fillId="5" borderId="42" xfId="1" applyFont="1" applyFill="1" applyBorder="1" applyAlignment="1">
      <alignment vertical="center" wrapText="1"/>
    </xf>
    <xf numFmtId="14" fontId="4" fillId="5" borderId="42" xfId="0" applyNumberFormat="1" applyFont="1" applyFill="1" applyBorder="1" applyAlignment="1">
      <alignment horizontal="center" vertical="center"/>
    </xf>
    <xf numFmtId="1" fontId="4" fillId="5" borderId="42" xfId="0" applyNumberFormat="1" applyFont="1" applyFill="1" applyBorder="1" applyAlignment="1">
      <alignment horizontal="center" vertical="center"/>
    </xf>
    <xf numFmtId="1" fontId="4" fillId="5" borderId="44" xfId="0" applyNumberFormat="1" applyFont="1" applyFill="1" applyBorder="1" applyAlignment="1">
      <alignment horizontal="center" vertical="center"/>
    </xf>
    <xf numFmtId="0" fontId="4" fillId="5" borderId="44" xfId="0" applyFont="1" applyFill="1" applyBorder="1" applyAlignment="1">
      <alignment vertical="center"/>
    </xf>
    <xf numFmtId="0" fontId="4" fillId="5" borderId="50" xfId="0" applyFont="1" applyFill="1" applyBorder="1" applyAlignment="1">
      <alignment horizontal="center" vertical="center"/>
    </xf>
    <xf numFmtId="0" fontId="4" fillId="5" borderId="50" xfId="0" applyFont="1" applyFill="1" applyBorder="1" applyAlignment="1">
      <alignment horizontal="center" vertical="center" wrapText="1"/>
    </xf>
    <xf numFmtId="0" fontId="4" fillId="5" borderId="50" xfId="0" applyFont="1" applyFill="1" applyBorder="1" applyAlignment="1">
      <alignment horizontal="left" vertical="center" wrapText="1"/>
    </xf>
    <xf numFmtId="164" fontId="4" fillId="5" borderId="50" xfId="0" applyNumberFormat="1" applyFont="1" applyFill="1" applyBorder="1" applyAlignment="1">
      <alignment horizontal="center" vertical="center"/>
    </xf>
    <xf numFmtId="0" fontId="16" fillId="5" borderId="51" xfId="1" applyFont="1" applyFill="1" applyBorder="1" applyAlignment="1">
      <alignment horizontal="left" vertical="center" wrapText="1"/>
    </xf>
    <xf numFmtId="0" fontId="4" fillId="5" borderId="50" xfId="0" applyFont="1" applyFill="1" applyBorder="1" applyAlignment="1">
      <alignment horizontal="left" vertical="center"/>
    </xf>
    <xf numFmtId="14" fontId="4" fillId="5" borderId="50" xfId="0" applyNumberFormat="1" applyFont="1" applyFill="1" applyBorder="1" applyAlignment="1">
      <alignment horizontal="center" vertical="center"/>
    </xf>
    <xf numFmtId="1" fontId="4" fillId="5" borderId="50" xfId="0" applyNumberFormat="1" applyFont="1" applyFill="1" applyBorder="1" applyAlignment="1">
      <alignment horizontal="center" vertical="center"/>
    </xf>
    <xf numFmtId="0" fontId="4" fillId="5" borderId="51" xfId="0" applyFont="1" applyFill="1" applyBorder="1" applyAlignment="1">
      <alignment vertical="center"/>
    </xf>
    <xf numFmtId="0" fontId="4" fillId="5" borderId="50" xfId="0" applyFont="1" applyFill="1" applyBorder="1" applyAlignment="1">
      <alignment vertical="center" wrapText="1"/>
    </xf>
    <xf numFmtId="0" fontId="4" fillId="5" borderId="53" xfId="0" applyFont="1" applyFill="1" applyBorder="1" applyAlignment="1">
      <alignment horizontal="left" vertical="center"/>
    </xf>
    <xf numFmtId="0" fontId="37" fillId="5" borderId="51" xfId="1" applyFont="1" applyFill="1" applyBorder="1" applyAlignment="1">
      <alignment vertical="center" wrapText="1"/>
    </xf>
    <xf numFmtId="0" fontId="4" fillId="5" borderId="50" xfId="0" applyFont="1" applyFill="1" applyBorder="1" applyAlignment="1">
      <alignment vertical="center"/>
    </xf>
    <xf numFmtId="0" fontId="4" fillId="5" borderId="53" xfId="0" applyFont="1" applyFill="1" applyBorder="1" applyAlignment="1">
      <alignment horizontal="center" vertical="center"/>
    </xf>
    <xf numFmtId="0" fontId="2" fillId="5" borderId="53" xfId="1" applyFill="1" applyBorder="1" applyAlignment="1">
      <alignment horizontal="center" vertical="center"/>
    </xf>
    <xf numFmtId="0" fontId="6" fillId="5" borderId="53" xfId="0" applyFont="1" applyFill="1" applyBorder="1" applyAlignment="1">
      <alignment horizontal="left" vertical="center" wrapText="1"/>
    </xf>
    <xf numFmtId="0" fontId="6" fillId="5" borderId="53" xfId="0" applyFont="1" applyFill="1" applyBorder="1" applyAlignment="1">
      <alignment horizontal="center" vertical="center"/>
    </xf>
    <xf numFmtId="164" fontId="4" fillId="5" borderId="53" xfId="0" applyNumberFormat="1" applyFont="1" applyFill="1" applyBorder="1" applyAlignment="1">
      <alignment horizontal="center" vertical="center"/>
    </xf>
    <xf numFmtId="0" fontId="16" fillId="5" borderId="53" xfId="1" applyFont="1" applyFill="1" applyBorder="1" applyAlignment="1">
      <alignment horizontal="left" vertical="center" wrapText="1"/>
    </xf>
    <xf numFmtId="0" fontId="6" fillId="5" borderId="53" xfId="0" applyFont="1" applyFill="1" applyBorder="1" applyAlignment="1">
      <alignment horizontal="left" vertical="center"/>
    </xf>
    <xf numFmtId="0" fontId="6" fillId="5" borderId="53" xfId="0" applyFont="1" applyFill="1" applyBorder="1" applyAlignment="1">
      <alignment vertical="center"/>
    </xf>
    <xf numFmtId="0" fontId="4" fillId="5" borderId="53" xfId="0" applyFont="1" applyFill="1" applyBorder="1" applyAlignment="1">
      <alignment vertical="center"/>
    </xf>
    <xf numFmtId="164" fontId="4" fillId="5" borderId="53" xfId="0" applyNumberFormat="1" applyFont="1" applyFill="1" applyBorder="1" applyAlignment="1">
      <alignment horizontal="left" vertical="center"/>
    </xf>
    <xf numFmtId="0" fontId="16" fillId="5" borderId="0" xfId="1" applyFont="1" applyFill="1" applyAlignment="1">
      <alignment vertical="center" wrapText="1"/>
    </xf>
    <xf numFmtId="0" fontId="4" fillId="5" borderId="53" xfId="0" applyFont="1" applyFill="1" applyBorder="1" applyAlignment="1">
      <alignment vertical="center" wrapText="1"/>
    </xf>
    <xf numFmtId="0" fontId="2" fillId="7" borderId="117" xfId="1" applyFill="1" applyBorder="1" applyAlignment="1">
      <alignment horizontal="center" vertical="center" wrapText="1"/>
    </xf>
    <xf numFmtId="0" fontId="2" fillId="6" borderId="118" xfId="1" applyFill="1" applyBorder="1" applyAlignment="1">
      <alignment horizontal="center" vertical="center" wrapText="1"/>
    </xf>
    <xf numFmtId="0" fontId="4" fillId="0" borderId="119" xfId="0" applyFont="1" applyBorder="1" applyAlignment="1">
      <alignment horizontal="center" vertical="center"/>
    </xf>
    <xf numFmtId="0" fontId="4" fillId="0" borderId="119" xfId="0" applyFont="1" applyBorder="1" applyAlignment="1">
      <alignment vertical="center"/>
    </xf>
    <xf numFmtId="0" fontId="4" fillId="0" borderId="119" xfId="0" applyFont="1" applyBorder="1" applyAlignment="1">
      <alignment vertical="center" wrapText="1"/>
    </xf>
    <xf numFmtId="42" fontId="4" fillId="0" borderId="119" xfId="0" applyNumberFormat="1" applyFont="1" applyBorder="1" applyAlignment="1">
      <alignment horizontal="center" vertical="center"/>
    </xf>
    <xf numFmtId="0" fontId="4" fillId="0" borderId="119" xfId="0" applyFont="1" applyBorder="1" applyAlignment="1">
      <alignment horizontal="left" vertical="center"/>
    </xf>
    <xf numFmtId="0" fontId="16" fillId="8" borderId="119" xfId="1" applyFont="1" applyFill="1" applyBorder="1" applyAlignment="1">
      <alignment horizontal="left" vertical="center" wrapText="1"/>
    </xf>
    <xf numFmtId="0" fontId="4" fillId="5" borderId="67" xfId="0" applyFont="1" applyFill="1" applyBorder="1" applyAlignment="1">
      <alignment horizontal="center" vertical="center"/>
    </xf>
    <xf numFmtId="0" fontId="4" fillId="5" borderId="67" xfId="0" applyFont="1" applyFill="1" applyBorder="1" applyAlignment="1">
      <alignment vertical="center"/>
    </xf>
    <xf numFmtId="164" fontId="4" fillId="5" borderId="67" xfId="0" applyNumberFormat="1" applyFont="1" applyFill="1" applyBorder="1" applyAlignment="1">
      <alignment vertical="center"/>
    </xf>
    <xf numFmtId="0" fontId="4" fillId="5" borderId="68" xfId="0" applyFont="1" applyFill="1" applyBorder="1" applyAlignment="1">
      <alignment vertical="center"/>
    </xf>
    <xf numFmtId="0" fontId="2" fillId="5" borderId="85" xfId="1" applyFill="1" applyBorder="1" applyAlignment="1">
      <alignment wrapText="1"/>
    </xf>
    <xf numFmtId="0" fontId="4" fillId="5" borderId="67" xfId="0" applyFont="1" applyFill="1" applyBorder="1" applyAlignment="1">
      <alignment vertical="center" wrapText="1"/>
    </xf>
    <xf numFmtId="0" fontId="4" fillId="5" borderId="67" xfId="0" applyFont="1" applyFill="1" applyBorder="1" applyAlignment="1">
      <alignment horizontal="left" vertical="center"/>
    </xf>
    <xf numFmtId="0" fontId="4" fillId="5" borderId="77" xfId="0" applyFont="1" applyFill="1" applyBorder="1" applyAlignment="1">
      <alignment horizontal="center" vertical="center"/>
    </xf>
    <xf numFmtId="0" fontId="16" fillId="5" borderId="78" xfId="1" applyFont="1" applyFill="1" applyBorder="1" applyAlignment="1">
      <alignment horizontal="center" vertical="center" wrapText="1"/>
    </xf>
    <xf numFmtId="0" fontId="4" fillId="5" borderId="77" xfId="0" applyFont="1" applyFill="1" applyBorder="1" applyAlignment="1">
      <alignment horizontal="center" vertical="center" wrapText="1"/>
    </xf>
    <xf numFmtId="42" fontId="4" fillId="5" borderId="77" xfId="0" applyNumberFormat="1" applyFont="1" applyFill="1" applyBorder="1" applyAlignment="1">
      <alignment horizontal="center" vertical="center"/>
    </xf>
    <xf numFmtId="0" fontId="16" fillId="5" borderId="9" xfId="1" applyFont="1" applyFill="1" applyBorder="1" applyAlignment="1">
      <alignment horizontal="center" vertical="center" wrapText="1"/>
    </xf>
    <xf numFmtId="0" fontId="4" fillId="5" borderId="77" xfId="0" applyFont="1" applyFill="1" applyBorder="1" applyAlignment="1">
      <alignment vertical="center" wrapText="1"/>
    </xf>
    <xf numFmtId="0" fontId="4" fillId="5" borderId="77" xfId="0" applyFont="1" applyFill="1" applyBorder="1" applyAlignment="1">
      <alignment vertical="center"/>
    </xf>
    <xf numFmtId="0" fontId="4" fillId="5" borderId="78" xfId="0" applyFont="1" applyFill="1" applyBorder="1" applyAlignment="1">
      <alignment horizontal="center" vertical="center"/>
    </xf>
    <xf numFmtId="0" fontId="4" fillId="5" borderId="78" xfId="0" applyFont="1" applyFill="1" applyBorder="1" applyAlignment="1">
      <alignment horizontal="center" vertical="center" wrapText="1"/>
    </xf>
    <xf numFmtId="42" fontId="4" fillId="5" borderId="78" xfId="0" applyNumberFormat="1" applyFont="1" applyFill="1" applyBorder="1" applyAlignment="1">
      <alignment horizontal="center" vertical="center"/>
    </xf>
    <xf numFmtId="0" fontId="4" fillId="5" borderId="78" xfId="0" applyFont="1" applyFill="1" applyBorder="1" applyAlignment="1">
      <alignment vertical="center" wrapText="1"/>
    </xf>
    <xf numFmtId="0" fontId="4" fillId="5" borderId="78" xfId="0" applyFont="1" applyFill="1" applyBorder="1" applyAlignment="1">
      <alignment vertical="center"/>
    </xf>
    <xf numFmtId="0" fontId="16" fillId="5" borderId="0" xfId="1" applyFont="1" applyFill="1" applyAlignment="1">
      <alignment horizontal="center" vertical="center" wrapText="1"/>
    </xf>
    <xf numFmtId="0" fontId="4" fillId="5" borderId="77" xfId="0" applyFont="1" applyFill="1" applyBorder="1" applyAlignment="1">
      <alignment horizontal="left" vertical="center"/>
    </xf>
    <xf numFmtId="0" fontId="4" fillId="5" borderId="87" xfId="0" applyFont="1" applyFill="1" applyBorder="1" applyAlignment="1">
      <alignment horizontal="center" vertical="center"/>
    </xf>
    <xf numFmtId="0" fontId="4" fillId="5" borderId="87" xfId="0" applyFont="1" applyFill="1" applyBorder="1" applyAlignment="1">
      <alignment horizontal="left" vertical="center" wrapText="1"/>
    </xf>
    <xf numFmtId="0" fontId="4" fillId="5" borderId="87" xfId="0" applyFont="1" applyFill="1" applyBorder="1" applyAlignment="1">
      <alignment horizontal="center" vertical="center" wrapText="1"/>
    </xf>
    <xf numFmtId="42" fontId="4" fillId="5" borderId="87" xfId="0" applyNumberFormat="1" applyFont="1" applyFill="1" applyBorder="1" applyAlignment="1">
      <alignment horizontal="center" vertical="center"/>
    </xf>
    <xf numFmtId="0" fontId="16" fillId="5" borderId="87" xfId="1" applyFont="1" applyFill="1" applyBorder="1" applyAlignment="1">
      <alignment horizontal="left" vertical="center" wrapText="1"/>
    </xf>
    <xf numFmtId="0" fontId="4" fillId="5" borderId="87" xfId="0" applyFont="1" applyFill="1" applyBorder="1" applyAlignment="1">
      <alignment vertical="center" wrapText="1"/>
    </xf>
    <xf numFmtId="0" fontId="4" fillId="5" borderId="87" xfId="0" applyFont="1" applyFill="1" applyBorder="1" applyAlignment="1">
      <alignment horizontal="left" vertical="center"/>
    </xf>
    <xf numFmtId="0" fontId="4" fillId="5" borderId="87" xfId="0" applyFont="1" applyFill="1" applyBorder="1" applyAlignment="1">
      <alignment vertical="center"/>
    </xf>
    <xf numFmtId="0" fontId="4" fillId="5" borderId="99" xfId="0" applyFont="1" applyFill="1" applyBorder="1" applyAlignment="1">
      <alignment horizontal="center" vertical="center"/>
    </xf>
    <xf numFmtId="0" fontId="4" fillId="5" borderId="99" xfId="0" applyFont="1" applyFill="1" applyBorder="1" applyAlignment="1">
      <alignment horizontal="left" vertical="center" wrapText="1"/>
    </xf>
    <xf numFmtId="42" fontId="4" fillId="5" borderId="99" xfId="0" applyNumberFormat="1" applyFont="1" applyFill="1" applyBorder="1" applyAlignment="1">
      <alignment vertical="top"/>
    </xf>
    <xf numFmtId="0" fontId="16" fillId="5" borderId="99" xfId="1" applyFont="1" applyFill="1" applyBorder="1" applyAlignment="1">
      <alignment horizontal="left" vertical="center" wrapText="1"/>
    </xf>
    <xf numFmtId="0" fontId="4" fillId="5" borderId="99" xfId="0" applyFont="1" applyFill="1" applyBorder="1" applyAlignment="1">
      <alignment vertical="center" wrapText="1"/>
    </xf>
    <xf numFmtId="0" fontId="4" fillId="5" borderId="99" xfId="0" applyFont="1" applyFill="1" applyBorder="1" applyAlignment="1">
      <alignment horizontal="left" vertical="center"/>
    </xf>
    <xf numFmtId="0" fontId="4" fillId="5" borderId="99" xfId="0" applyFont="1" applyFill="1" applyBorder="1" applyAlignment="1">
      <alignment vertical="center"/>
    </xf>
    <xf numFmtId="0" fontId="4" fillId="5" borderId="104" xfId="0" applyFont="1" applyFill="1" applyBorder="1" applyAlignment="1">
      <alignment horizontal="center" vertical="center"/>
    </xf>
    <xf numFmtId="0" fontId="4" fillId="5" borderId="104" xfId="0" applyFont="1" applyFill="1" applyBorder="1" applyAlignment="1">
      <alignment horizontal="left" vertical="center" wrapText="1"/>
    </xf>
    <xf numFmtId="42" fontId="4" fillId="5" borderId="104" xfId="0" applyNumberFormat="1" applyFont="1" applyFill="1" applyBorder="1" applyAlignment="1">
      <alignment horizontal="left" vertical="center"/>
    </xf>
    <xf numFmtId="0" fontId="16" fillId="5" borderId="104" xfId="1" applyFont="1" applyFill="1" applyBorder="1" applyAlignment="1">
      <alignment horizontal="left" vertical="center" wrapText="1"/>
    </xf>
    <xf numFmtId="0" fontId="4" fillId="5" borderId="104" xfId="0" applyFont="1" applyFill="1" applyBorder="1" applyAlignment="1">
      <alignment vertical="center" wrapText="1"/>
    </xf>
    <xf numFmtId="0" fontId="4" fillId="5" borderId="104" xfId="0" applyFont="1" applyFill="1" applyBorder="1" applyAlignment="1">
      <alignment horizontal="left" vertical="center"/>
    </xf>
    <xf numFmtId="0" fontId="4" fillId="5" borderId="104" xfId="0" applyFont="1" applyFill="1" applyBorder="1" applyAlignment="1">
      <alignment vertical="center"/>
    </xf>
    <xf numFmtId="0" fontId="2" fillId="6" borderId="50" xfId="1" applyFill="1" applyBorder="1" applyAlignment="1">
      <alignment horizontal="center" vertical="center" wrapText="1"/>
    </xf>
    <xf numFmtId="0" fontId="12" fillId="0" borderId="0" xfId="0" applyFont="1" applyAlignment="1">
      <alignment vertical="center" wrapText="1"/>
    </xf>
    <xf numFmtId="0" fontId="6" fillId="0" borderId="0" xfId="0" applyFont="1" applyAlignment="1">
      <alignment vertical="center" wrapText="1"/>
    </xf>
    <xf numFmtId="0" fontId="8" fillId="8" borderId="119" xfId="0" applyFont="1" applyFill="1" applyBorder="1" applyAlignment="1">
      <alignment horizontal="center" vertical="center"/>
    </xf>
    <xf numFmtId="0" fontId="4" fillId="0" borderId="120" xfId="0" applyFont="1" applyBorder="1" applyAlignment="1">
      <alignment horizontal="center" vertical="center"/>
    </xf>
    <xf numFmtId="0" fontId="4" fillId="0" borderId="120" xfId="0" applyFont="1" applyBorder="1" applyAlignment="1">
      <alignment vertical="center"/>
    </xf>
    <xf numFmtId="0" fontId="4" fillId="0" borderId="120" xfId="0" applyFont="1" applyBorder="1" applyAlignment="1">
      <alignment vertical="center" wrapText="1"/>
    </xf>
    <xf numFmtId="42" fontId="4" fillId="0" borderId="120" xfId="0" applyNumberFormat="1" applyFont="1" applyBorder="1" applyAlignment="1">
      <alignment horizontal="center" vertical="center"/>
    </xf>
    <xf numFmtId="0" fontId="4" fillId="0" borderId="120" xfId="0" applyFont="1" applyBorder="1" applyAlignment="1">
      <alignment horizontal="center" vertical="center" wrapText="1"/>
    </xf>
    <xf numFmtId="0" fontId="16" fillId="8" borderId="120" xfId="1" applyFont="1" applyFill="1" applyBorder="1" applyAlignment="1">
      <alignment horizontal="left" vertical="center" wrapText="1"/>
    </xf>
    <xf numFmtId="0" fontId="4" fillId="0" borderId="120" xfId="0" applyFont="1" applyBorder="1" applyAlignment="1">
      <alignment horizontal="left" vertical="center"/>
    </xf>
    <xf numFmtId="0" fontId="2" fillId="6" borderId="117" xfId="1" applyFill="1" applyBorder="1" applyAlignment="1">
      <alignment horizontal="center" vertical="center" wrapText="1"/>
    </xf>
    <xf numFmtId="0" fontId="4" fillId="0" borderId="121" xfId="0" applyFont="1" applyBorder="1" applyAlignment="1">
      <alignment horizontal="center" vertical="center"/>
    </xf>
    <xf numFmtId="0" fontId="4" fillId="0" borderId="121" xfId="0" applyFont="1" applyBorder="1" applyAlignment="1">
      <alignment vertical="center"/>
    </xf>
    <xf numFmtId="0" fontId="4" fillId="0" borderId="121" xfId="0" applyFont="1" applyBorder="1" applyAlignment="1">
      <alignment vertical="center" wrapText="1"/>
    </xf>
    <xf numFmtId="42" fontId="4" fillId="0" borderId="121" xfId="0" applyNumberFormat="1" applyFont="1" applyBorder="1" applyAlignment="1">
      <alignment horizontal="center" vertical="center"/>
    </xf>
    <xf numFmtId="0" fontId="4" fillId="0" borderId="121" xfId="0" applyFont="1" applyBorder="1" applyAlignment="1">
      <alignment horizontal="center" vertical="center" wrapText="1"/>
    </xf>
    <xf numFmtId="0" fontId="4" fillId="0" borderId="121" xfId="0" applyFont="1" applyBorder="1" applyAlignment="1">
      <alignment horizontal="left" vertical="center"/>
    </xf>
    <xf numFmtId="0" fontId="16" fillId="8" borderId="121" xfId="1" applyFont="1" applyFill="1" applyBorder="1" applyAlignment="1">
      <alignment horizontal="left" vertical="center" wrapText="1"/>
    </xf>
    <xf numFmtId="0" fontId="4" fillId="8" borderId="120" xfId="0" applyFont="1" applyFill="1" applyBorder="1" applyAlignment="1">
      <alignment horizontal="center" vertical="center"/>
    </xf>
    <xf numFmtId="0" fontId="4" fillId="8" borderId="121" xfId="0" applyFont="1" applyFill="1" applyBorder="1" applyAlignment="1">
      <alignment horizontal="center" vertical="center"/>
    </xf>
    <xf numFmtId="0" fontId="16" fillId="7" borderId="121" xfId="1" applyFont="1" applyFill="1" applyBorder="1" applyAlignment="1">
      <alignment horizontal="center" vertical="center" wrapText="1"/>
    </xf>
    <xf numFmtId="0" fontId="4" fillId="0" borderId="122" xfId="0" applyFont="1" applyBorder="1" applyAlignment="1">
      <alignment horizontal="center" vertical="center"/>
    </xf>
    <xf numFmtId="0" fontId="4" fillId="0" borderId="122" xfId="0" applyFont="1" applyBorder="1" applyAlignment="1">
      <alignment vertical="center"/>
    </xf>
    <xf numFmtId="0" fontId="4" fillId="0" borderId="122" xfId="0" applyFont="1" applyBorder="1" applyAlignment="1">
      <alignment vertical="center" wrapText="1"/>
    </xf>
    <xf numFmtId="42" fontId="4" fillId="0" borderId="122" xfId="0" applyNumberFormat="1" applyFont="1" applyBorder="1" applyAlignment="1">
      <alignment horizontal="center" vertical="center"/>
    </xf>
    <xf numFmtId="0" fontId="4" fillId="0" borderId="122" xfId="0" applyFont="1" applyBorder="1" applyAlignment="1">
      <alignment horizontal="center" vertical="center" wrapText="1"/>
    </xf>
    <xf numFmtId="0" fontId="4" fillId="0" borderId="122" xfId="0" applyFont="1" applyBorder="1" applyAlignment="1">
      <alignment horizontal="left" vertical="center"/>
    </xf>
    <xf numFmtId="0" fontId="2" fillId="6" borderId="121" xfId="1" applyFill="1" applyBorder="1" applyAlignment="1">
      <alignment horizontal="center" vertical="center" wrapText="1"/>
    </xf>
    <xf numFmtId="0" fontId="16" fillId="16" borderId="121" xfId="1" applyFont="1" applyFill="1" applyBorder="1" applyAlignment="1">
      <alignment horizontal="left" vertical="center" wrapText="1"/>
    </xf>
    <xf numFmtId="0" fontId="2" fillId="7" borderId="122" xfId="1" applyFill="1" applyBorder="1" applyAlignment="1">
      <alignment horizontal="center" vertical="center" wrapText="1"/>
    </xf>
    <xf numFmtId="0" fontId="4" fillId="0" borderId="123" xfId="0" applyFont="1" applyBorder="1" applyAlignment="1">
      <alignment horizontal="center" vertical="center"/>
    </xf>
    <xf numFmtId="0" fontId="4" fillId="0" borderId="123" xfId="0" applyFont="1" applyBorder="1" applyAlignment="1">
      <alignment vertical="center"/>
    </xf>
    <xf numFmtId="0" fontId="4" fillId="0" borderId="123" xfId="0" applyFont="1" applyBorder="1" applyAlignment="1">
      <alignment vertical="center" wrapText="1"/>
    </xf>
    <xf numFmtId="42" fontId="4" fillId="0" borderId="123" xfId="0" applyNumberFormat="1" applyFont="1" applyBorder="1" applyAlignment="1">
      <alignment horizontal="center" vertical="center"/>
    </xf>
    <xf numFmtId="0" fontId="4" fillId="0" borderId="123" xfId="0" applyFont="1" applyBorder="1" applyAlignment="1">
      <alignment horizontal="center" vertical="center" wrapText="1"/>
    </xf>
    <xf numFmtId="0" fontId="4" fillId="0" borderId="123" xfId="0" applyFont="1" applyBorder="1" applyAlignment="1">
      <alignment horizontal="left" vertical="center"/>
    </xf>
    <xf numFmtId="0" fontId="4" fillId="8" borderId="123" xfId="0" applyFont="1" applyFill="1" applyBorder="1" applyAlignment="1">
      <alignment horizontal="center" vertical="center"/>
    </xf>
    <xf numFmtId="0" fontId="2" fillId="6" borderId="120" xfId="1" applyFill="1" applyBorder="1" applyAlignment="1">
      <alignment horizontal="center" vertical="center" wrapText="1"/>
    </xf>
    <xf numFmtId="0" fontId="2" fillId="7" borderId="123" xfId="1" applyFill="1" applyBorder="1" applyAlignment="1">
      <alignment horizontal="center" vertical="center" wrapText="1"/>
    </xf>
    <xf numFmtId="0" fontId="4" fillId="0" borderId="124" xfId="0" applyFont="1" applyBorder="1" applyAlignment="1">
      <alignment horizontal="center" vertical="center"/>
    </xf>
    <xf numFmtId="0" fontId="4" fillId="0" borderId="124" xfId="0" applyFont="1" applyBorder="1" applyAlignment="1">
      <alignment vertical="center"/>
    </xf>
    <xf numFmtId="0" fontId="4" fillId="0" borderId="124" xfId="0" applyFont="1" applyBorder="1" applyAlignment="1">
      <alignment vertical="center" wrapText="1"/>
    </xf>
    <xf numFmtId="42" fontId="4" fillId="0" borderId="124" xfId="0" applyNumberFormat="1" applyFont="1" applyBorder="1" applyAlignment="1">
      <alignment horizontal="center" vertical="center"/>
    </xf>
    <xf numFmtId="0" fontId="4" fillId="0" borderId="124" xfId="0" applyFont="1" applyBorder="1" applyAlignment="1">
      <alignment horizontal="center" vertical="center" wrapText="1"/>
    </xf>
    <xf numFmtId="0" fontId="4" fillId="0" borderId="124" xfId="0" applyFont="1" applyBorder="1" applyAlignment="1">
      <alignment horizontal="left" vertical="center"/>
    </xf>
    <xf numFmtId="0" fontId="2" fillId="16" borderId="123" xfId="1" applyFill="1" applyBorder="1" applyAlignment="1">
      <alignment horizontal="left" vertical="center" wrapText="1"/>
    </xf>
    <xf numFmtId="0" fontId="16" fillId="16" borderId="115" xfId="1" applyFont="1" applyFill="1" applyBorder="1" applyAlignment="1">
      <alignment horizontal="center" vertical="center" wrapText="1"/>
    </xf>
    <xf numFmtId="0" fontId="16" fillId="16" borderId="114" xfId="1" applyFont="1" applyFill="1" applyBorder="1" applyAlignment="1">
      <alignment horizontal="center" vertical="center" wrapText="1"/>
    </xf>
    <xf numFmtId="0" fontId="16" fillId="16" borderId="120" xfId="1" applyFont="1" applyFill="1" applyBorder="1" applyAlignment="1">
      <alignment horizontal="left" vertical="center" wrapText="1"/>
    </xf>
    <xf numFmtId="0" fontId="4" fillId="0" borderId="125" xfId="0" applyFont="1" applyBorder="1" applyAlignment="1">
      <alignment horizontal="center" vertical="center"/>
    </xf>
    <xf numFmtId="0" fontId="4" fillId="0" borderId="125" xfId="0" applyFont="1" applyBorder="1" applyAlignment="1">
      <alignment vertical="center"/>
    </xf>
    <xf numFmtId="0" fontId="4" fillId="0" borderId="125" xfId="0" applyFont="1" applyBorder="1" applyAlignment="1">
      <alignment vertical="center" wrapText="1"/>
    </xf>
    <xf numFmtId="0" fontId="4" fillId="0" borderId="125" xfId="0" applyFont="1" applyBorder="1" applyAlignment="1">
      <alignment horizontal="center" vertical="center" wrapText="1"/>
    </xf>
    <xf numFmtId="0" fontId="4" fillId="0" borderId="125" xfId="0" applyFont="1" applyBorder="1" applyAlignment="1">
      <alignment horizontal="left" vertical="center"/>
    </xf>
    <xf numFmtId="0" fontId="4" fillId="8" borderId="125" xfId="0" applyFont="1" applyFill="1" applyBorder="1" applyAlignment="1">
      <alignment horizontal="center" vertical="center"/>
    </xf>
    <xf numFmtId="0" fontId="4" fillId="8" borderId="126" xfId="0" applyFont="1" applyFill="1" applyBorder="1" applyAlignment="1">
      <alignment horizontal="center" vertical="center"/>
    </xf>
    <xf numFmtId="0" fontId="4" fillId="0" borderId="126" xfId="0" applyFont="1" applyBorder="1" applyAlignment="1">
      <alignment horizontal="center" vertical="center"/>
    </xf>
    <xf numFmtId="0" fontId="4" fillId="0" borderId="126" xfId="0" applyFont="1" applyBorder="1" applyAlignment="1">
      <alignment vertical="center"/>
    </xf>
    <xf numFmtId="0" fontId="4" fillId="0" borderId="126" xfId="0" applyFont="1" applyBorder="1" applyAlignment="1">
      <alignment vertical="center" wrapText="1"/>
    </xf>
    <xf numFmtId="42" fontId="4" fillId="0" borderId="126" xfId="0" applyNumberFormat="1" applyFont="1" applyBorder="1" applyAlignment="1">
      <alignment horizontal="center" vertical="center"/>
    </xf>
    <xf numFmtId="0" fontId="4" fillId="0" borderId="126" xfId="0" applyFont="1" applyBorder="1" applyAlignment="1">
      <alignment horizontal="center" vertical="center" wrapText="1"/>
    </xf>
    <xf numFmtId="0" fontId="4" fillId="0" borderId="126" xfId="0" applyFont="1" applyBorder="1" applyAlignment="1">
      <alignment horizontal="left" vertical="center"/>
    </xf>
    <xf numFmtId="164" fontId="4" fillId="0" borderId="11" xfId="0" applyNumberFormat="1" applyFont="1" applyBorder="1" applyAlignment="1">
      <alignment horizontal="left" vertical="center"/>
    </xf>
    <xf numFmtId="164" fontId="4" fillId="0" borderId="29" xfId="0" applyNumberFormat="1" applyFont="1" applyBorder="1" applyAlignment="1">
      <alignment horizontal="left" vertical="center"/>
    </xf>
    <xf numFmtId="164" fontId="4" fillId="0" borderId="28" xfId="0" applyNumberFormat="1" applyFont="1" applyBorder="1" applyAlignment="1">
      <alignment horizontal="left" vertical="center"/>
    </xf>
    <xf numFmtId="0" fontId="4" fillId="4" borderId="127" xfId="0" applyFont="1" applyFill="1" applyBorder="1" applyAlignment="1">
      <alignment vertical="center"/>
    </xf>
    <xf numFmtId="0" fontId="4" fillId="4" borderId="128" xfId="0" applyFont="1" applyFill="1" applyBorder="1" applyAlignment="1">
      <alignment vertical="center"/>
    </xf>
    <xf numFmtId="0" fontId="6" fillId="0" borderId="32" xfId="0" applyFont="1" applyBorder="1" applyAlignment="1">
      <alignment vertical="center" wrapText="1"/>
    </xf>
    <xf numFmtId="0" fontId="2" fillId="7" borderId="128" xfId="1" applyFill="1" applyBorder="1" applyAlignment="1">
      <alignment horizontal="center" vertical="center" wrapText="1"/>
    </xf>
    <xf numFmtId="0" fontId="16" fillId="16" borderId="118" xfId="1" applyFont="1" applyFill="1" applyBorder="1" applyAlignment="1">
      <alignment horizontal="center" vertical="center" wrapText="1"/>
    </xf>
    <xf numFmtId="0" fontId="2" fillId="6" borderId="124" xfId="1" applyFill="1" applyBorder="1" applyAlignment="1">
      <alignment horizontal="center" vertical="center" wrapText="1"/>
    </xf>
    <xf numFmtId="0" fontId="2" fillId="8" borderId="126" xfId="1" applyFill="1" applyBorder="1" applyAlignment="1">
      <alignment horizontal="left" vertical="center" wrapText="1"/>
    </xf>
    <xf numFmtId="0" fontId="2" fillId="8" borderId="127" xfId="1" applyFill="1" applyBorder="1" applyAlignment="1">
      <alignment horizontal="left" vertical="center" wrapText="1"/>
    </xf>
    <xf numFmtId="0" fontId="4" fillId="0" borderId="127" xfId="0" applyFont="1" applyBorder="1" applyAlignment="1">
      <alignment horizontal="center" vertical="center"/>
    </xf>
    <xf numFmtId="0" fontId="4" fillId="0" borderId="127" xfId="0" applyFont="1" applyBorder="1" applyAlignment="1">
      <alignment vertical="center"/>
    </xf>
    <xf numFmtId="0" fontId="4" fillId="0" borderId="127" xfId="0" applyFont="1" applyBorder="1" applyAlignment="1">
      <alignment vertical="center" wrapText="1"/>
    </xf>
    <xf numFmtId="42" fontId="4" fillId="0" borderId="127" xfId="0" applyNumberFormat="1" applyFont="1" applyBorder="1" applyAlignment="1">
      <alignment horizontal="center" vertical="center"/>
    </xf>
    <xf numFmtId="0" fontId="4" fillId="0" borderId="128" xfId="0" applyFont="1" applyBorder="1" applyAlignment="1">
      <alignment horizontal="center" vertical="center" wrapText="1"/>
    </xf>
    <xf numFmtId="0" fontId="4" fillId="0" borderId="127" xfId="0" applyFont="1" applyBorder="1" applyAlignment="1">
      <alignment horizontal="left" vertical="center"/>
    </xf>
    <xf numFmtId="0" fontId="4" fillId="0" borderId="128" xfId="0" applyFont="1" applyBorder="1" applyAlignment="1">
      <alignment horizontal="center" vertical="center"/>
    </xf>
    <xf numFmtId="0" fontId="4" fillId="0" borderId="128" xfId="0" applyFont="1" applyBorder="1" applyAlignment="1">
      <alignment vertical="center"/>
    </xf>
    <xf numFmtId="0" fontId="4" fillId="0" borderId="128" xfId="0" applyFont="1" applyBorder="1" applyAlignment="1">
      <alignment vertical="center" wrapText="1"/>
    </xf>
    <xf numFmtId="42" fontId="4" fillId="0" borderId="128" xfId="0" applyNumberFormat="1" applyFont="1" applyBorder="1" applyAlignment="1">
      <alignment horizontal="center" vertical="center"/>
    </xf>
    <xf numFmtId="0" fontId="4" fillId="0" borderId="128" xfId="0" applyFont="1" applyBorder="1" applyAlignment="1">
      <alignment horizontal="left" vertical="center"/>
    </xf>
    <xf numFmtId="0" fontId="4" fillId="8" borderId="128" xfId="0" applyFont="1" applyFill="1" applyBorder="1" applyAlignment="1">
      <alignment horizontal="center" vertical="center"/>
    </xf>
    <xf numFmtId="0" fontId="2" fillId="16" borderId="128" xfId="1" applyFill="1" applyBorder="1" applyAlignment="1">
      <alignment horizontal="left" vertical="center" wrapText="1"/>
    </xf>
    <xf numFmtId="0" fontId="16" fillId="16" borderId="112" xfId="1" applyFont="1" applyFill="1" applyBorder="1" applyAlignment="1">
      <alignment horizontal="center" vertical="center" wrapText="1"/>
    </xf>
    <xf numFmtId="0" fontId="2" fillId="7" borderId="127" xfId="1" applyFill="1" applyBorder="1" applyAlignment="1">
      <alignment horizontal="center" vertical="center" wrapText="1"/>
    </xf>
    <xf numFmtId="0" fontId="2" fillId="4" borderId="0" xfId="1" applyFill="1"/>
    <xf numFmtId="0" fontId="29" fillId="4" borderId="0" xfId="0" applyFont="1" applyFill="1"/>
    <xf numFmtId="0" fontId="4" fillId="0" borderId="129" xfId="0" applyFont="1" applyBorder="1" applyAlignment="1">
      <alignment horizontal="center" vertical="center"/>
    </xf>
    <xf numFmtId="0" fontId="4" fillId="0" borderId="129" xfId="0" applyFont="1" applyBorder="1" applyAlignment="1">
      <alignment vertical="center"/>
    </xf>
    <xf numFmtId="0" fontId="4" fillId="0" borderId="129" xfId="0" applyFont="1" applyBorder="1" applyAlignment="1">
      <alignment vertical="center" wrapText="1"/>
    </xf>
    <xf numFmtId="42" fontId="4" fillId="0" borderId="129" xfId="0" applyNumberFormat="1" applyFont="1" applyBorder="1" applyAlignment="1">
      <alignment horizontal="center" vertical="center"/>
    </xf>
    <xf numFmtId="0" fontId="4" fillId="0" borderId="129" xfId="0" applyFont="1" applyBorder="1" applyAlignment="1">
      <alignment horizontal="center" vertical="center" wrapText="1"/>
    </xf>
    <xf numFmtId="0" fontId="4" fillId="0" borderId="129" xfId="0" applyFont="1" applyBorder="1" applyAlignment="1">
      <alignment horizontal="left" vertical="center"/>
    </xf>
    <xf numFmtId="0" fontId="4" fillId="8" borderId="129" xfId="0" applyFont="1" applyFill="1" applyBorder="1" applyAlignment="1">
      <alignment horizontal="center" vertical="center"/>
    </xf>
    <xf numFmtId="0" fontId="4" fillId="5" borderId="30" xfId="0" applyFont="1" applyFill="1" applyBorder="1" applyAlignment="1">
      <alignment horizontal="center" vertical="center"/>
    </xf>
    <xf numFmtId="0" fontId="4" fillId="5" borderId="53" xfId="0" applyFont="1" applyFill="1" applyBorder="1" applyAlignment="1">
      <alignment horizontal="left" vertical="center" wrapText="1"/>
    </xf>
    <xf numFmtId="0" fontId="4" fillId="5" borderId="53" xfId="0" applyFont="1" applyFill="1" applyBorder="1" applyAlignment="1">
      <alignment horizontal="center" vertical="center" wrapText="1"/>
    </xf>
    <xf numFmtId="0" fontId="16" fillId="5" borderId="9" xfId="1" applyFont="1" applyFill="1" applyBorder="1" applyAlignment="1">
      <alignment horizontal="left" vertical="center" wrapText="1"/>
    </xf>
    <xf numFmtId="0" fontId="2" fillId="6" borderId="126" xfId="1" applyFill="1" applyBorder="1" applyAlignment="1">
      <alignment horizontal="center" vertical="center" wrapText="1"/>
    </xf>
    <xf numFmtId="0" fontId="2" fillId="0" borderId="129" xfId="1" applyFill="1" applyBorder="1" applyAlignment="1">
      <alignment horizontal="center" vertical="center" wrapText="1"/>
    </xf>
    <xf numFmtId="0" fontId="4" fillId="0" borderId="130" xfId="0" applyFont="1" applyBorder="1" applyAlignment="1">
      <alignment horizontal="center" vertical="center"/>
    </xf>
    <xf numFmtId="0" fontId="4" fillId="0" borderId="130" xfId="0" applyFont="1" applyBorder="1" applyAlignment="1">
      <alignment vertical="center"/>
    </xf>
    <xf numFmtId="0" fontId="4" fillId="0" borderId="130" xfId="0" applyFont="1" applyBorder="1" applyAlignment="1">
      <alignment vertical="center" wrapText="1"/>
    </xf>
    <xf numFmtId="42" fontId="4" fillId="0" borderId="130" xfId="0" applyNumberFormat="1" applyFont="1" applyBorder="1" applyAlignment="1">
      <alignment horizontal="center" vertical="center"/>
    </xf>
    <xf numFmtId="0" fontId="4" fillId="0" borderId="130" xfId="0" applyFont="1" applyBorder="1" applyAlignment="1">
      <alignment horizontal="center" vertical="center" wrapText="1"/>
    </xf>
    <xf numFmtId="0" fontId="4" fillId="0" borderId="130" xfId="0" applyFont="1" applyBorder="1" applyAlignment="1">
      <alignment horizontal="left" vertical="center"/>
    </xf>
    <xf numFmtId="0" fontId="2" fillId="7" borderId="129" xfId="1" applyFill="1" applyBorder="1" applyAlignment="1">
      <alignment horizontal="left" vertical="center" wrapText="1"/>
    </xf>
    <xf numFmtId="0" fontId="4" fillId="8" borderId="130" xfId="0" applyFont="1" applyFill="1" applyBorder="1" applyAlignment="1">
      <alignment horizontal="center" vertical="center"/>
    </xf>
    <xf numFmtId="0" fontId="2" fillId="16" borderId="125" xfId="1" applyFill="1" applyBorder="1" applyAlignment="1">
      <alignment horizontal="left" vertical="center" wrapText="1"/>
    </xf>
    <xf numFmtId="0" fontId="11" fillId="8" borderId="131" xfId="0" applyFont="1" applyFill="1" applyBorder="1" applyAlignment="1">
      <alignment horizontal="center" vertical="center" wrapText="1"/>
    </xf>
    <xf numFmtId="0" fontId="4" fillId="5" borderId="130" xfId="0" applyFont="1" applyFill="1" applyBorder="1" applyAlignment="1">
      <alignment horizontal="center" vertical="center"/>
    </xf>
    <xf numFmtId="0" fontId="4" fillId="4" borderId="130" xfId="0" applyFont="1" applyFill="1" applyBorder="1" applyAlignment="1">
      <alignment horizontal="center" vertical="center"/>
    </xf>
    <xf numFmtId="0" fontId="2" fillId="2" borderId="130" xfId="1" applyFill="1" applyBorder="1" applyAlignment="1">
      <alignment horizontal="center" vertical="center"/>
    </xf>
    <xf numFmtId="0" fontId="4" fillId="5" borderId="0" xfId="0" applyFont="1" applyFill="1" applyAlignment="1">
      <alignment horizontal="center" vertical="center"/>
    </xf>
    <xf numFmtId="0" fontId="4" fillId="19" borderId="130" xfId="0" applyFont="1" applyFill="1" applyBorder="1" applyAlignment="1">
      <alignment horizontal="center" vertical="center"/>
    </xf>
    <xf numFmtId="0" fontId="4" fillId="0" borderId="132" xfId="0" applyFont="1" applyBorder="1" applyAlignment="1">
      <alignment horizontal="center" vertical="center"/>
    </xf>
    <xf numFmtId="0" fontId="4" fillId="0" borderId="132" xfId="0" applyFont="1" applyBorder="1" applyAlignment="1">
      <alignment vertical="center"/>
    </xf>
    <xf numFmtId="0" fontId="4" fillId="0" borderId="132" xfId="0" applyFont="1" applyBorder="1" applyAlignment="1">
      <alignment vertical="center" wrapText="1"/>
    </xf>
    <xf numFmtId="42" fontId="4" fillId="0" borderId="132" xfId="0" applyNumberFormat="1" applyFont="1" applyBorder="1" applyAlignment="1">
      <alignment horizontal="center" vertical="center"/>
    </xf>
    <xf numFmtId="0" fontId="4" fillId="0" borderId="132" xfId="0" applyFont="1" applyBorder="1" applyAlignment="1">
      <alignment horizontal="left" vertical="center"/>
    </xf>
    <xf numFmtId="0" fontId="4" fillId="8" borderId="132" xfId="0" applyFont="1" applyFill="1" applyBorder="1" applyAlignment="1">
      <alignment horizontal="center" vertical="center"/>
    </xf>
    <xf numFmtId="0" fontId="2" fillId="6" borderId="130" xfId="1" applyFill="1" applyBorder="1" applyAlignment="1">
      <alignment horizontal="center" vertical="center" wrapText="1"/>
    </xf>
    <xf numFmtId="0" fontId="2" fillId="7" borderId="129" xfId="1" applyFill="1" applyBorder="1" applyAlignment="1">
      <alignment horizontal="center" vertical="center" wrapText="1"/>
    </xf>
    <xf numFmtId="0" fontId="4" fillId="0" borderId="133" xfId="0" applyFont="1" applyBorder="1" applyAlignment="1">
      <alignment horizontal="center" vertical="center"/>
    </xf>
    <xf numFmtId="0" fontId="4" fillId="0" borderId="133" xfId="0" applyFont="1" applyBorder="1" applyAlignment="1">
      <alignment vertical="center"/>
    </xf>
    <xf numFmtId="0" fontId="4" fillId="0" borderId="133" xfId="0" applyFont="1" applyBorder="1" applyAlignment="1">
      <alignment vertical="center" wrapText="1"/>
    </xf>
    <xf numFmtId="42" fontId="4" fillId="0" borderId="133" xfId="0" applyNumberFormat="1" applyFont="1" applyBorder="1" applyAlignment="1">
      <alignment horizontal="center" vertical="center"/>
    </xf>
    <xf numFmtId="0" fontId="4" fillId="0" borderId="133" xfId="0" applyFont="1" applyBorder="1" applyAlignment="1">
      <alignment horizontal="left" vertical="center"/>
    </xf>
    <xf numFmtId="0" fontId="4" fillId="8" borderId="133" xfId="0" applyFont="1" applyFill="1" applyBorder="1" applyAlignment="1">
      <alignment horizontal="center" vertical="center"/>
    </xf>
    <xf numFmtId="0" fontId="4" fillId="0" borderId="134" xfId="0" applyFont="1" applyBorder="1" applyAlignment="1">
      <alignment horizontal="center" vertical="center" wrapText="1"/>
    </xf>
    <xf numFmtId="0" fontId="4" fillId="0" borderId="135" xfId="0" applyFont="1" applyBorder="1" applyAlignment="1">
      <alignment vertical="center" wrapText="1"/>
    </xf>
    <xf numFmtId="0" fontId="4" fillId="0" borderId="136" xfId="0" applyFont="1" applyBorder="1" applyAlignment="1">
      <alignment vertical="center" wrapText="1"/>
    </xf>
    <xf numFmtId="0" fontId="2" fillId="7" borderId="130" xfId="1" applyFill="1" applyBorder="1" applyAlignment="1">
      <alignment horizontal="center" vertical="center" wrapText="1"/>
    </xf>
    <xf numFmtId="0" fontId="4" fillId="0" borderId="137" xfId="0" applyFont="1" applyBorder="1" applyAlignment="1">
      <alignment horizontal="center" vertical="center"/>
    </xf>
    <xf numFmtId="0" fontId="4" fillId="0" borderId="137" xfId="0" applyFont="1" applyBorder="1" applyAlignment="1">
      <alignment vertical="center"/>
    </xf>
    <xf numFmtId="0" fontId="4" fillId="0" borderId="137" xfId="0" applyFont="1" applyBorder="1" applyAlignment="1">
      <alignment vertical="center" wrapText="1"/>
    </xf>
    <xf numFmtId="42" fontId="4" fillId="0" borderId="137" xfId="0" applyNumberFormat="1" applyFont="1" applyBorder="1" applyAlignment="1">
      <alignment horizontal="center" vertical="center"/>
    </xf>
    <xf numFmtId="0" fontId="4" fillId="0" borderId="137" xfId="0" applyFont="1" applyBorder="1" applyAlignment="1">
      <alignment horizontal="center" vertical="center" wrapText="1"/>
    </xf>
    <xf numFmtId="0" fontId="4" fillId="0" borderId="137" xfId="0" applyFont="1" applyBorder="1" applyAlignment="1">
      <alignment horizontal="left" vertical="center"/>
    </xf>
    <xf numFmtId="0" fontId="4" fillId="8" borderId="137" xfId="0" applyFont="1" applyFill="1" applyBorder="1" applyAlignment="1">
      <alignment horizontal="center" vertical="center"/>
    </xf>
    <xf numFmtId="0" fontId="4" fillId="4" borderId="137" xfId="0" applyFont="1" applyFill="1" applyBorder="1" applyAlignment="1">
      <alignment horizontal="center" vertical="center"/>
    </xf>
    <xf numFmtId="0" fontId="2" fillId="4" borderId="137" xfId="1" applyFill="1" applyBorder="1" applyAlignment="1">
      <alignment horizontal="center" vertical="center" wrapText="1"/>
    </xf>
    <xf numFmtId="0" fontId="4" fillId="4" borderId="137" xfId="0" applyFont="1" applyFill="1" applyBorder="1" applyAlignment="1">
      <alignment vertical="center"/>
    </xf>
    <xf numFmtId="0" fontId="4" fillId="4" borderId="137" xfId="0" applyFont="1" applyFill="1" applyBorder="1" applyAlignment="1">
      <alignment vertical="center" wrapText="1"/>
    </xf>
    <xf numFmtId="42" fontId="4" fillId="4" borderId="137" xfId="0" applyNumberFormat="1" applyFont="1" applyFill="1" applyBorder="1" applyAlignment="1">
      <alignment horizontal="center" vertical="center"/>
    </xf>
    <xf numFmtId="0" fontId="4" fillId="4" borderId="137" xfId="0" applyFont="1" applyFill="1" applyBorder="1" applyAlignment="1">
      <alignment horizontal="center" vertical="center" wrapText="1"/>
    </xf>
    <xf numFmtId="0" fontId="4" fillId="4" borderId="137" xfId="0" applyFont="1" applyFill="1" applyBorder="1" applyAlignment="1">
      <alignment horizontal="left" vertical="center"/>
    </xf>
    <xf numFmtId="0" fontId="2" fillId="7" borderId="132" xfId="1" applyFill="1" applyBorder="1" applyAlignment="1">
      <alignment horizontal="center" vertical="center" wrapText="1"/>
    </xf>
    <xf numFmtId="0" fontId="2" fillId="6" borderId="137" xfId="1" applyFill="1" applyBorder="1" applyAlignment="1">
      <alignment horizontal="center" vertical="center" wrapText="1"/>
    </xf>
    <xf numFmtId="0" fontId="4" fillId="0" borderId="138" xfId="0" applyFont="1" applyBorder="1" applyAlignment="1">
      <alignment horizontal="center" vertical="center"/>
    </xf>
    <xf numFmtId="0" fontId="4" fillId="0" borderId="138" xfId="0" applyFont="1" applyBorder="1" applyAlignment="1">
      <alignment vertical="center"/>
    </xf>
    <xf numFmtId="0" fontId="4" fillId="0" borderId="138" xfId="0" applyFont="1" applyBorder="1" applyAlignment="1">
      <alignment vertical="center" wrapText="1"/>
    </xf>
    <xf numFmtId="42" fontId="4" fillId="0" borderId="138" xfId="0" applyNumberFormat="1" applyFont="1" applyBorder="1" applyAlignment="1">
      <alignment horizontal="center" vertical="center"/>
    </xf>
    <xf numFmtId="0" fontId="4" fillId="0" borderId="138" xfId="0" applyFont="1" applyBorder="1" applyAlignment="1">
      <alignment horizontal="center" vertical="center" wrapText="1"/>
    </xf>
    <xf numFmtId="0" fontId="4" fillId="0" borderId="138" xfId="0" applyFont="1" applyBorder="1" applyAlignment="1">
      <alignment horizontal="left" vertical="center"/>
    </xf>
    <xf numFmtId="0" fontId="2" fillId="8" borderId="129" xfId="1" applyFill="1" applyBorder="1" applyAlignment="1">
      <alignment horizontal="left" vertical="center" wrapText="1"/>
    </xf>
    <xf numFmtId="0" fontId="2" fillId="8" borderId="130" xfId="1" applyFill="1" applyBorder="1" applyAlignment="1">
      <alignment horizontal="left" vertical="center" wrapText="1"/>
    </xf>
    <xf numFmtId="0" fontId="2" fillId="8" borderId="137" xfId="1" applyFill="1" applyBorder="1" applyAlignment="1">
      <alignment horizontal="left" vertical="center" wrapText="1"/>
    </xf>
    <xf numFmtId="0" fontId="4" fillId="8" borderId="138" xfId="0" applyFont="1" applyFill="1" applyBorder="1" applyAlignment="1">
      <alignment horizontal="center" vertical="center"/>
    </xf>
    <xf numFmtId="0" fontId="4" fillId="4" borderId="119" xfId="0" applyFont="1" applyFill="1" applyBorder="1" applyAlignment="1">
      <alignment vertical="center" wrapText="1"/>
    </xf>
    <xf numFmtId="0" fontId="4" fillId="4" borderId="119" xfId="0" applyFont="1" applyFill="1" applyBorder="1" applyAlignment="1">
      <alignment vertical="center"/>
    </xf>
    <xf numFmtId="42" fontId="4" fillId="4" borderId="119" xfId="0" applyNumberFormat="1" applyFont="1" applyFill="1" applyBorder="1" applyAlignment="1">
      <alignment horizontal="center" vertical="center"/>
    </xf>
    <xf numFmtId="0" fontId="4" fillId="4" borderId="117" xfId="0" applyFont="1" applyFill="1" applyBorder="1" applyAlignment="1">
      <alignment horizontal="center" vertical="center" wrapText="1"/>
    </xf>
    <xf numFmtId="0" fontId="4" fillId="0" borderId="139" xfId="0" applyFont="1" applyBorder="1" applyAlignment="1">
      <alignment horizontal="center" vertical="center"/>
    </xf>
    <xf numFmtId="0" fontId="4" fillId="0" borderId="139" xfId="0" applyFont="1" applyBorder="1" applyAlignment="1">
      <alignment vertical="center"/>
    </xf>
    <xf numFmtId="0" fontId="4" fillId="0" borderId="139" xfId="0" applyFont="1" applyBorder="1" applyAlignment="1">
      <alignment vertical="center" wrapText="1"/>
    </xf>
    <xf numFmtId="42" fontId="4" fillId="0" borderId="139" xfId="0" applyNumberFormat="1" applyFont="1" applyBorder="1" applyAlignment="1">
      <alignment horizontal="center" vertical="center"/>
    </xf>
    <xf numFmtId="0" fontId="4" fillId="0" borderId="139" xfId="0" applyFont="1" applyBorder="1" applyAlignment="1">
      <alignment horizontal="center" vertical="center" wrapText="1"/>
    </xf>
    <xf numFmtId="0" fontId="2" fillId="8" borderId="139" xfId="1" applyFill="1" applyBorder="1" applyAlignment="1">
      <alignment horizontal="left" vertical="center" wrapText="1"/>
    </xf>
    <xf numFmtId="0" fontId="4" fillId="0" borderId="139" xfId="0" applyFont="1" applyBorder="1" applyAlignment="1">
      <alignment horizontal="left" vertical="center"/>
    </xf>
    <xf numFmtId="0" fontId="4" fillId="8" borderId="139" xfId="0" applyFont="1" applyFill="1" applyBorder="1" applyAlignment="1">
      <alignment horizontal="center" vertical="center"/>
    </xf>
    <xf numFmtId="0" fontId="4" fillId="5" borderId="60" xfId="0" applyFont="1" applyFill="1" applyBorder="1" applyAlignment="1">
      <alignment horizontal="center" vertical="center"/>
    </xf>
    <xf numFmtId="0" fontId="4" fillId="5" borderId="60" xfId="0" applyFont="1" applyFill="1" applyBorder="1" applyAlignment="1">
      <alignment vertical="center"/>
    </xf>
    <xf numFmtId="0" fontId="4" fillId="5" borderId="59" xfId="0" applyFont="1" applyFill="1" applyBorder="1" applyAlignment="1">
      <alignment vertical="center" wrapText="1"/>
    </xf>
    <xf numFmtId="0" fontId="4" fillId="5" borderId="60" xfId="0" applyFont="1" applyFill="1" applyBorder="1" applyAlignment="1">
      <alignment horizontal="left" vertical="center" wrapText="1"/>
    </xf>
    <xf numFmtId="0" fontId="4" fillId="5" borderId="59" xfId="0" applyFont="1" applyFill="1" applyBorder="1" applyAlignment="1">
      <alignment vertical="center"/>
    </xf>
    <xf numFmtId="0" fontId="16" fillId="5" borderId="60" xfId="1" applyFont="1" applyFill="1" applyBorder="1" applyAlignment="1">
      <alignment horizontal="left" vertical="center" wrapText="1"/>
    </xf>
    <xf numFmtId="0" fontId="4" fillId="5" borderId="62" xfId="0" applyFont="1" applyFill="1" applyBorder="1" applyAlignment="1">
      <alignment horizontal="center" vertical="center"/>
    </xf>
    <xf numFmtId="0" fontId="4" fillId="5" borderId="63" xfId="0" applyFont="1" applyFill="1" applyBorder="1" applyAlignment="1">
      <alignment vertical="center"/>
    </xf>
    <xf numFmtId="0" fontId="4" fillId="5" borderId="63" xfId="0" applyFont="1" applyFill="1" applyBorder="1" applyAlignment="1">
      <alignment vertical="center" wrapText="1"/>
    </xf>
    <xf numFmtId="0" fontId="4" fillId="5" borderId="63" xfId="0" applyFont="1" applyFill="1" applyBorder="1" applyAlignment="1">
      <alignment horizontal="left" vertical="center" wrapText="1"/>
    </xf>
    <xf numFmtId="0" fontId="4" fillId="5" borderId="63" xfId="0" applyFont="1" applyFill="1" applyBorder="1" applyAlignment="1">
      <alignment horizontal="center" vertical="center"/>
    </xf>
    <xf numFmtId="0" fontId="4" fillId="5" borderId="63" xfId="0" applyFont="1" applyFill="1" applyBorder="1" applyAlignment="1">
      <alignment horizontal="left" vertical="center"/>
    </xf>
    <xf numFmtId="0" fontId="4" fillId="5" borderId="115" xfId="0" applyFont="1" applyFill="1" applyBorder="1" applyAlignment="1">
      <alignment horizontal="center" vertical="center"/>
    </xf>
    <xf numFmtId="0" fontId="4" fillId="5" borderId="115" xfId="0" applyFont="1" applyFill="1" applyBorder="1" applyAlignment="1">
      <alignment vertical="center"/>
    </xf>
    <xf numFmtId="0" fontId="4" fillId="5" borderId="115" xfId="0" applyFont="1" applyFill="1" applyBorder="1" applyAlignment="1">
      <alignment vertical="center" wrapText="1"/>
    </xf>
    <xf numFmtId="42" fontId="4" fillId="5" borderId="115" xfId="0" applyNumberFormat="1" applyFont="1" applyFill="1" applyBorder="1" applyAlignment="1">
      <alignment vertical="center"/>
    </xf>
    <xf numFmtId="0" fontId="4" fillId="5" borderId="115" xfId="0" applyFont="1" applyFill="1" applyBorder="1" applyAlignment="1">
      <alignment horizontal="center" vertical="center" wrapText="1"/>
    </xf>
    <xf numFmtId="0" fontId="16" fillId="5" borderId="115" xfId="1" applyFont="1" applyFill="1" applyBorder="1" applyAlignment="1">
      <alignment horizontal="left" vertical="center" wrapText="1"/>
    </xf>
    <xf numFmtId="0" fontId="4" fillId="5" borderId="115" xfId="0" applyFont="1" applyFill="1" applyBorder="1" applyAlignment="1">
      <alignment horizontal="left" vertical="center"/>
    </xf>
    <xf numFmtId="0" fontId="4" fillId="5" borderId="114" xfId="0" applyFont="1" applyFill="1" applyBorder="1" applyAlignment="1">
      <alignment horizontal="center" vertical="center"/>
    </xf>
    <xf numFmtId="0" fontId="2" fillId="7" borderId="119" xfId="1" applyFill="1" applyBorder="1" applyAlignment="1">
      <alignment horizontal="center" vertical="center" wrapText="1"/>
    </xf>
    <xf numFmtId="0" fontId="4" fillId="0" borderId="140" xfId="0" applyFont="1" applyBorder="1" applyAlignment="1">
      <alignment horizontal="center" vertical="center"/>
    </xf>
    <xf numFmtId="0" fontId="4" fillId="0" borderId="140" xfId="0" applyFont="1" applyBorder="1" applyAlignment="1">
      <alignment vertical="center"/>
    </xf>
    <xf numFmtId="0" fontId="4" fillId="0" borderId="140" xfId="0" applyFont="1" applyBorder="1" applyAlignment="1">
      <alignment vertical="center" wrapText="1"/>
    </xf>
    <xf numFmtId="42" fontId="4" fillId="0" borderId="140" xfId="0" applyNumberFormat="1" applyFont="1" applyBorder="1" applyAlignment="1">
      <alignment horizontal="center" vertical="center"/>
    </xf>
    <xf numFmtId="0" fontId="4" fillId="0" borderId="140" xfId="0" applyFont="1" applyBorder="1" applyAlignment="1">
      <alignment horizontal="center" vertical="center" wrapText="1"/>
    </xf>
    <xf numFmtId="0" fontId="4" fillId="0" borderId="140" xfId="0" applyFont="1" applyBorder="1" applyAlignment="1">
      <alignment horizontal="left" vertical="center"/>
    </xf>
    <xf numFmtId="0" fontId="4" fillId="8" borderId="140" xfId="0" applyFont="1" applyFill="1" applyBorder="1" applyAlignment="1">
      <alignment horizontal="center" vertical="center"/>
    </xf>
    <xf numFmtId="0" fontId="2" fillId="8" borderId="140" xfId="1" applyFill="1" applyBorder="1" applyAlignment="1">
      <alignment horizontal="left" vertical="center" wrapText="1"/>
    </xf>
    <xf numFmtId="0" fontId="2" fillId="16" borderId="130" xfId="1" applyFill="1" applyBorder="1" applyAlignment="1">
      <alignment horizontal="left" vertical="center" wrapText="1"/>
    </xf>
    <xf numFmtId="0" fontId="2" fillId="8" borderId="138" xfId="1" applyFill="1" applyBorder="1" applyAlignment="1">
      <alignment horizontal="left" vertical="center" wrapText="1"/>
    </xf>
    <xf numFmtId="0" fontId="2" fillId="6" borderId="139" xfId="1" applyFill="1" applyBorder="1" applyAlignment="1">
      <alignment horizontal="center" vertical="center" wrapText="1"/>
    </xf>
    <xf numFmtId="0" fontId="2" fillId="6" borderId="140" xfId="1" applyFill="1" applyBorder="1" applyAlignment="1">
      <alignment horizontal="center" vertical="center" wrapText="1"/>
    </xf>
    <xf numFmtId="0" fontId="4" fillId="0" borderId="141" xfId="0" applyFont="1" applyBorder="1" applyAlignment="1">
      <alignment horizontal="center" vertical="center"/>
    </xf>
    <xf numFmtId="0" fontId="2" fillId="0" borderId="141" xfId="1" applyFill="1" applyBorder="1" applyAlignment="1">
      <alignment horizontal="center" vertical="center" wrapText="1"/>
    </xf>
    <xf numFmtId="0" fontId="4" fillId="0" borderId="141" xfId="0" applyFont="1" applyBorder="1" applyAlignment="1">
      <alignment vertical="center"/>
    </xf>
    <xf numFmtId="0" fontId="4" fillId="0" borderId="141" xfId="0" applyFont="1" applyBorder="1" applyAlignment="1">
      <alignment vertical="center" wrapText="1"/>
    </xf>
    <xf numFmtId="42" fontId="4" fillId="0" borderId="141" xfId="0" applyNumberFormat="1" applyFont="1" applyBorder="1" applyAlignment="1">
      <alignment horizontal="center" vertical="center"/>
    </xf>
    <xf numFmtId="0" fontId="4" fillId="0" borderId="141" xfId="0" applyFont="1" applyBorder="1" applyAlignment="1">
      <alignment horizontal="center" vertical="center" wrapText="1"/>
    </xf>
    <xf numFmtId="0" fontId="4" fillId="0" borderId="141" xfId="0" applyFont="1" applyBorder="1" applyAlignment="1">
      <alignment horizontal="left" vertical="center"/>
    </xf>
    <xf numFmtId="0" fontId="4" fillId="0" borderId="142" xfId="0" applyFont="1" applyBorder="1" applyAlignment="1">
      <alignment horizontal="center" vertical="center"/>
    </xf>
    <xf numFmtId="0" fontId="4" fillId="0" borderId="142" xfId="0" applyFont="1" applyBorder="1" applyAlignment="1">
      <alignment vertical="center"/>
    </xf>
    <xf numFmtId="0" fontId="4" fillId="0" borderId="142" xfId="0" applyFont="1" applyBorder="1" applyAlignment="1">
      <alignment vertical="center" wrapText="1"/>
    </xf>
    <xf numFmtId="42" fontId="4" fillId="0" borderId="142" xfId="0" applyNumberFormat="1" applyFont="1" applyBorder="1" applyAlignment="1">
      <alignment horizontal="center" vertical="center"/>
    </xf>
    <xf numFmtId="0" fontId="4" fillId="0" borderId="142" xfId="0" applyFont="1" applyBorder="1" applyAlignment="1">
      <alignment horizontal="center" vertical="center" wrapText="1"/>
    </xf>
    <xf numFmtId="0" fontId="4" fillId="0" borderId="142" xfId="0" applyFont="1" applyBorder="1" applyAlignment="1">
      <alignment horizontal="left" vertical="center"/>
    </xf>
    <xf numFmtId="0" fontId="2" fillId="7" borderId="141" xfId="1" applyFill="1" applyBorder="1" applyAlignment="1">
      <alignment horizontal="center" vertical="center" wrapText="1"/>
    </xf>
    <xf numFmtId="0" fontId="2" fillId="7" borderId="142" xfId="1" applyFill="1" applyBorder="1" applyAlignment="1">
      <alignment horizontal="center" vertical="center" wrapText="1"/>
    </xf>
    <xf numFmtId="0" fontId="2" fillId="7" borderId="142" xfId="1" applyFill="1" applyBorder="1" applyAlignment="1">
      <alignment horizontal="left" vertical="center" wrapText="1"/>
    </xf>
    <xf numFmtId="0" fontId="2" fillId="0" borderId="142" xfId="1" applyFill="1" applyBorder="1" applyAlignment="1">
      <alignment horizontal="left" vertical="center" wrapText="1"/>
    </xf>
    <xf numFmtId="0" fontId="4" fillId="4" borderId="143" xfId="0" applyFont="1" applyFill="1" applyBorder="1" applyAlignment="1">
      <alignment horizontal="center" vertical="center"/>
    </xf>
    <xf numFmtId="0" fontId="4" fillId="4" borderId="143" xfId="0" applyFont="1" applyFill="1" applyBorder="1" applyAlignment="1">
      <alignment vertical="center"/>
    </xf>
    <xf numFmtId="0" fontId="4" fillId="4" borderId="143" xfId="0" applyFont="1" applyFill="1" applyBorder="1" applyAlignment="1">
      <alignment vertical="center" wrapText="1"/>
    </xf>
    <xf numFmtId="42" fontId="4" fillId="4" borderId="143" xfId="0" applyNumberFormat="1" applyFont="1" applyFill="1" applyBorder="1" applyAlignment="1">
      <alignment horizontal="center" vertical="center"/>
    </xf>
    <xf numFmtId="0" fontId="4" fillId="4" borderId="143" xfId="0" applyFont="1" applyFill="1" applyBorder="1" applyAlignment="1">
      <alignment horizontal="center" vertical="center" wrapText="1"/>
    </xf>
    <xf numFmtId="0" fontId="4" fillId="4" borderId="143" xfId="0" applyFont="1" applyFill="1" applyBorder="1" applyAlignment="1">
      <alignment horizontal="left" vertical="center"/>
    </xf>
    <xf numFmtId="0" fontId="2" fillId="4" borderId="143" xfId="1" applyFill="1" applyBorder="1" applyAlignment="1">
      <alignment horizontal="center" vertical="center" wrapText="1"/>
    </xf>
    <xf numFmtId="0" fontId="15" fillId="4" borderId="143" xfId="1" applyFont="1" applyFill="1" applyBorder="1" applyAlignment="1">
      <alignment horizontal="left" vertical="center" wrapText="1"/>
    </xf>
    <xf numFmtId="0" fontId="4" fillId="0" borderId="143" xfId="0" applyFont="1" applyBorder="1" applyAlignment="1">
      <alignment horizontal="center" vertical="center"/>
    </xf>
    <xf numFmtId="0" fontId="4" fillId="0" borderId="143" xfId="0" applyFont="1" applyBorder="1" applyAlignment="1">
      <alignment vertical="center"/>
    </xf>
    <xf numFmtId="0" fontId="4" fillId="0" borderId="143" xfId="0" applyFont="1" applyBorder="1" applyAlignment="1">
      <alignment vertical="center" wrapText="1"/>
    </xf>
    <xf numFmtId="42" fontId="4" fillId="0" borderId="143" xfId="0" applyNumberFormat="1" applyFont="1" applyBorder="1" applyAlignment="1">
      <alignment horizontal="center" vertical="center"/>
    </xf>
    <xf numFmtId="0" fontId="4" fillId="0" borderId="143" xfId="0" applyFont="1" applyBorder="1" applyAlignment="1">
      <alignment horizontal="center" vertical="center" wrapText="1"/>
    </xf>
    <xf numFmtId="0" fontId="4" fillId="0" borderId="143" xfId="0" applyFont="1" applyBorder="1" applyAlignment="1">
      <alignment horizontal="left" vertical="center"/>
    </xf>
    <xf numFmtId="0" fontId="4" fillId="4" borderId="144" xfId="0" applyFont="1" applyFill="1" applyBorder="1" applyAlignment="1">
      <alignment horizontal="center" vertical="center"/>
    </xf>
    <xf numFmtId="0" fontId="4" fillId="4" borderId="144" xfId="0" applyFont="1" applyFill="1" applyBorder="1" applyAlignment="1">
      <alignment vertical="center"/>
    </xf>
    <xf numFmtId="0" fontId="4" fillId="4" borderId="144" xfId="0" applyFont="1" applyFill="1" applyBorder="1" applyAlignment="1">
      <alignment vertical="center" wrapText="1"/>
    </xf>
    <xf numFmtId="42" fontId="4" fillId="4" borderId="144" xfId="0" applyNumberFormat="1" applyFont="1" applyFill="1" applyBorder="1" applyAlignment="1">
      <alignment horizontal="center" vertical="center"/>
    </xf>
    <xf numFmtId="0" fontId="4" fillId="4" borderId="144" xfId="0" applyFont="1" applyFill="1" applyBorder="1" applyAlignment="1">
      <alignment horizontal="center" vertical="center" wrapText="1"/>
    </xf>
    <xf numFmtId="0" fontId="15" fillId="4" borderId="144" xfId="1" applyFont="1" applyFill="1" applyBorder="1" applyAlignment="1">
      <alignment horizontal="left" vertical="center" wrapText="1"/>
    </xf>
    <xf numFmtId="0" fontId="4" fillId="4" borderId="144" xfId="0" applyFont="1" applyFill="1" applyBorder="1" applyAlignment="1">
      <alignment horizontal="left" vertical="center"/>
    </xf>
    <xf numFmtId="0" fontId="2" fillId="4" borderId="144" xfId="1" applyFont="1" applyFill="1" applyBorder="1" applyAlignment="1">
      <alignment horizontal="center" vertical="center" wrapText="1"/>
    </xf>
    <xf numFmtId="0" fontId="4" fillId="4" borderId="145" xfId="0" applyFont="1" applyFill="1" applyBorder="1" applyAlignment="1">
      <alignment horizontal="center" vertical="center"/>
    </xf>
    <xf numFmtId="0" fontId="4" fillId="4" borderId="145" xfId="0" applyFont="1" applyFill="1" applyBorder="1" applyAlignment="1">
      <alignment vertical="center"/>
    </xf>
    <xf numFmtId="0" fontId="4" fillId="4" borderId="145" xfId="0" applyFont="1" applyFill="1" applyBorder="1" applyAlignment="1">
      <alignment vertical="center" wrapText="1"/>
    </xf>
    <xf numFmtId="42" fontId="4" fillId="4" borderId="145" xfId="0" applyNumberFormat="1" applyFont="1" applyFill="1" applyBorder="1" applyAlignment="1">
      <alignment horizontal="center" vertical="center"/>
    </xf>
    <xf numFmtId="0" fontId="4" fillId="4" borderId="145" xfId="0" applyFont="1" applyFill="1" applyBorder="1" applyAlignment="1">
      <alignment horizontal="center" vertical="center" wrapText="1"/>
    </xf>
    <xf numFmtId="0" fontId="15" fillId="4" borderId="145" xfId="1" applyFont="1" applyFill="1" applyBorder="1" applyAlignment="1">
      <alignment horizontal="left" vertical="center" wrapText="1"/>
    </xf>
    <xf numFmtId="0" fontId="4" fillId="4" borderId="145" xfId="0" applyFont="1" applyFill="1" applyBorder="1" applyAlignment="1">
      <alignment horizontal="left" vertical="center"/>
    </xf>
    <xf numFmtId="0" fontId="2" fillId="6" borderId="133" xfId="1" applyFill="1" applyBorder="1" applyAlignment="1">
      <alignment horizontal="center" vertical="center" wrapText="1"/>
    </xf>
    <xf numFmtId="0" fontId="2" fillId="6" borderId="142" xfId="1" applyFill="1" applyBorder="1" applyAlignment="1">
      <alignment horizontal="center" vertical="center" wrapText="1"/>
    </xf>
    <xf numFmtId="0" fontId="2" fillId="7" borderId="145" xfId="1" applyFont="1" applyFill="1" applyBorder="1" applyAlignment="1">
      <alignment horizontal="center" vertical="center" wrapText="1"/>
    </xf>
    <xf numFmtId="0" fontId="2" fillId="6" borderId="138" xfId="1" applyFill="1" applyBorder="1" applyAlignment="1">
      <alignment horizontal="center" vertical="center" wrapText="1"/>
    </xf>
    <xf numFmtId="0" fontId="2" fillId="6" borderId="144" xfId="1" applyFont="1" applyFill="1" applyBorder="1" applyAlignment="1">
      <alignment horizontal="center" vertical="center" wrapText="1"/>
    </xf>
    <xf numFmtId="0" fontId="6" fillId="0" borderId="0" xfId="0" applyFont="1" applyFill="1" applyAlignment="1">
      <alignment horizontal="center" vertical="center"/>
    </xf>
    <xf numFmtId="0" fontId="4" fillId="0" borderId="146" xfId="0" applyFont="1" applyFill="1" applyBorder="1" applyAlignment="1">
      <alignment horizontal="center" vertical="center"/>
    </xf>
    <xf numFmtId="0" fontId="2" fillId="0" borderId="146" xfId="1" applyFont="1" applyFill="1" applyBorder="1" applyAlignment="1">
      <alignment horizontal="center" vertical="center" wrapText="1"/>
    </xf>
    <xf numFmtId="0" fontId="4" fillId="0" borderId="146" xfId="0" applyFont="1" applyFill="1" applyBorder="1" applyAlignment="1">
      <alignment vertical="center"/>
    </xf>
    <xf numFmtId="0" fontId="4" fillId="0" borderId="146" xfId="0" applyFont="1" applyFill="1" applyBorder="1" applyAlignment="1">
      <alignment vertical="center" wrapText="1"/>
    </xf>
    <xf numFmtId="42" fontId="4" fillId="0" borderId="146" xfId="0" applyNumberFormat="1" applyFont="1" applyFill="1" applyBorder="1" applyAlignment="1">
      <alignment horizontal="center" vertical="center"/>
    </xf>
    <xf numFmtId="0" fontId="4" fillId="0" borderId="146" xfId="0" applyFont="1" applyFill="1" applyBorder="1" applyAlignment="1">
      <alignment horizontal="center" vertical="center" wrapText="1"/>
    </xf>
    <xf numFmtId="0" fontId="2" fillId="0" borderId="146" xfId="1" applyFont="1" applyFill="1" applyBorder="1" applyAlignment="1">
      <alignment horizontal="left" vertical="center" wrapText="1"/>
    </xf>
    <xf numFmtId="0" fontId="4" fillId="0" borderId="146" xfId="0" applyFont="1" applyFill="1" applyBorder="1" applyAlignment="1">
      <alignment horizontal="left" vertical="center"/>
    </xf>
    <xf numFmtId="0" fontId="4" fillId="0" borderId="147" xfId="0" applyFont="1" applyFill="1" applyBorder="1" applyAlignment="1">
      <alignment horizontal="center" vertical="center"/>
    </xf>
    <xf numFmtId="0" fontId="2" fillId="0" borderId="147" xfId="1" applyFont="1" applyFill="1" applyBorder="1" applyAlignment="1">
      <alignment horizontal="center" vertical="center" wrapText="1"/>
    </xf>
    <xf numFmtId="0" fontId="4" fillId="0" borderId="147" xfId="0" applyFont="1" applyFill="1" applyBorder="1" applyAlignment="1">
      <alignment vertical="center"/>
    </xf>
    <xf numFmtId="0" fontId="4" fillId="0" borderId="147" xfId="0" applyFont="1" applyFill="1" applyBorder="1" applyAlignment="1">
      <alignment vertical="center" wrapText="1"/>
    </xf>
    <xf numFmtId="42" fontId="4" fillId="0" borderId="147" xfId="0" applyNumberFormat="1" applyFont="1" applyFill="1" applyBorder="1" applyAlignment="1">
      <alignment horizontal="center" vertical="center"/>
    </xf>
    <xf numFmtId="0" fontId="4" fillId="0" borderId="147" xfId="0" applyFont="1" applyFill="1" applyBorder="1" applyAlignment="1">
      <alignment horizontal="center" vertical="center" wrapText="1"/>
    </xf>
    <xf numFmtId="0" fontId="2" fillId="0" borderId="147" xfId="1" applyFont="1" applyFill="1" applyBorder="1" applyAlignment="1">
      <alignment horizontal="left" vertical="center" wrapText="1"/>
    </xf>
    <xf numFmtId="0" fontId="4" fillId="0" borderId="147" xfId="0" applyFont="1" applyFill="1" applyBorder="1" applyAlignment="1">
      <alignment horizontal="left" vertical="center"/>
    </xf>
    <xf numFmtId="0" fontId="6" fillId="0" borderId="0" xfId="0" applyFont="1" applyFill="1" applyAlignment="1">
      <alignment vertical="center"/>
    </xf>
    <xf numFmtId="0" fontId="2" fillId="7" borderId="0" xfId="1" applyFont="1" applyFill="1" applyAlignment="1">
      <alignment horizontal="center" vertical="center" wrapText="1"/>
    </xf>
    <xf numFmtId="0" fontId="2" fillId="7" borderId="143" xfId="1" applyFont="1" applyFill="1" applyBorder="1" applyAlignment="1">
      <alignment horizontal="left" vertical="center" wrapText="1"/>
    </xf>
    <xf numFmtId="0" fontId="2" fillId="7" borderId="142" xfId="1" applyFont="1" applyFill="1" applyBorder="1" applyAlignment="1">
      <alignment horizontal="left" vertical="center" wrapText="1"/>
    </xf>
    <xf numFmtId="0" fontId="35" fillId="0" borderId="1" xfId="0" applyFont="1" applyBorder="1" applyAlignment="1">
      <alignment horizontal="center" vertical="center"/>
    </xf>
    <xf numFmtId="0" fontId="35" fillId="0" borderId="1" xfId="0" applyFont="1" applyBorder="1" applyAlignment="1">
      <alignment horizontal="center" vertical="center" wrapText="1"/>
    </xf>
    <xf numFmtId="0" fontId="35" fillId="0" borderId="1" xfId="0" applyFont="1" applyBorder="1" applyAlignment="1">
      <alignment vertical="center"/>
    </xf>
    <xf numFmtId="0" fontId="35" fillId="0" borderId="1" xfId="0" applyFont="1" applyBorder="1" applyAlignment="1">
      <alignment horizontal="left" vertical="center"/>
    </xf>
    <xf numFmtId="0" fontId="35" fillId="0" borderId="1" xfId="0" applyFont="1" applyBorder="1" applyAlignment="1">
      <alignment vertical="center" wrapText="1"/>
    </xf>
    <xf numFmtId="0" fontId="18" fillId="0" borderId="10" xfId="0" applyFont="1" applyBorder="1" applyAlignment="1">
      <alignment horizontal="center" vertical="center" wrapText="1"/>
    </xf>
    <xf numFmtId="0" fontId="18" fillId="0" borderId="10" xfId="0" applyFont="1" applyBorder="1" applyAlignment="1">
      <alignment horizontal="center" vertical="center"/>
    </xf>
    <xf numFmtId="0" fontId="17" fillId="0" borderId="106" xfId="0" applyFont="1" applyBorder="1" applyAlignment="1">
      <alignment horizontal="left" vertical="center" wrapText="1"/>
    </xf>
    <xf numFmtId="0" fontId="2" fillId="2" borderId="20" xfId="1" applyFill="1" applyBorder="1" applyAlignment="1">
      <alignment horizontal="center" vertical="center"/>
    </xf>
    <xf numFmtId="0" fontId="2" fillId="2" borderId="54" xfId="1" applyFill="1" applyBorder="1" applyAlignment="1">
      <alignment horizontal="center" vertical="center"/>
    </xf>
    <xf numFmtId="0" fontId="29" fillId="0" borderId="13" xfId="0" applyFont="1" applyBorder="1" applyAlignment="1">
      <alignment horizontal="left" vertical="center" wrapText="1"/>
    </xf>
  </cellXfs>
  <cellStyles count="7">
    <cellStyle name="Гиперссылка" xfId="1" builtinId="8"/>
    <cellStyle name="Гиперссылка 2" xfId="3"/>
    <cellStyle name="Обычный" xfId="0" builtinId="0"/>
    <cellStyle name="Обычный 2 2" xfId="5"/>
    <cellStyle name="Обычный 3 2" xfId="2"/>
    <cellStyle name="Обычный 3 2 2" xfId="4"/>
    <cellStyle name="Процентный 3" xfId="6"/>
  </cellStyles>
  <dxfs count="14">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s>
  <tableStyles count="0" defaultTableStyle="TableStyleMedium2" defaultPivotStyle="PivotStyleLight16"/>
  <colors>
    <mruColors>
      <color rgb="FFCCFFCC"/>
      <color rgb="FFE6FFDD"/>
      <color rgb="FFE2F9DF"/>
      <color rgb="FFCCFFFF"/>
      <color rgb="FFD8EBCD"/>
      <color rgb="FF9CEEB5"/>
      <color rgb="FFFFCDCD"/>
      <color rgb="FFFFBD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14.xml"/><Relationship Id="rId299" Type="http://schemas.openxmlformats.org/officeDocument/2006/relationships/externalLink" Target="externalLinks/externalLink296.xml"/><Relationship Id="rId303" Type="http://schemas.openxmlformats.org/officeDocument/2006/relationships/externalLink" Target="externalLinks/externalLink300.xml"/><Relationship Id="rId21" Type="http://schemas.openxmlformats.org/officeDocument/2006/relationships/externalLink" Target="externalLinks/externalLink18.xml"/><Relationship Id="rId42" Type="http://schemas.openxmlformats.org/officeDocument/2006/relationships/externalLink" Target="externalLinks/externalLink39.xml"/><Relationship Id="rId63" Type="http://schemas.openxmlformats.org/officeDocument/2006/relationships/externalLink" Target="externalLinks/externalLink60.xml"/><Relationship Id="rId84" Type="http://schemas.openxmlformats.org/officeDocument/2006/relationships/externalLink" Target="externalLinks/externalLink81.xml"/><Relationship Id="rId138" Type="http://schemas.openxmlformats.org/officeDocument/2006/relationships/externalLink" Target="externalLinks/externalLink135.xml"/><Relationship Id="rId159" Type="http://schemas.openxmlformats.org/officeDocument/2006/relationships/externalLink" Target="externalLinks/externalLink156.xml"/><Relationship Id="rId324" Type="http://schemas.openxmlformats.org/officeDocument/2006/relationships/externalLink" Target="externalLinks/externalLink321.xml"/><Relationship Id="rId345" Type="http://schemas.openxmlformats.org/officeDocument/2006/relationships/externalLink" Target="externalLinks/externalLink342.xml"/><Relationship Id="rId366" Type="http://schemas.openxmlformats.org/officeDocument/2006/relationships/theme" Target="theme/theme1.xml"/><Relationship Id="rId170" Type="http://schemas.openxmlformats.org/officeDocument/2006/relationships/externalLink" Target="externalLinks/externalLink167.xml"/><Relationship Id="rId191" Type="http://schemas.openxmlformats.org/officeDocument/2006/relationships/externalLink" Target="externalLinks/externalLink188.xml"/><Relationship Id="rId205" Type="http://schemas.openxmlformats.org/officeDocument/2006/relationships/externalLink" Target="externalLinks/externalLink202.xml"/><Relationship Id="rId226" Type="http://schemas.openxmlformats.org/officeDocument/2006/relationships/externalLink" Target="externalLinks/externalLink223.xml"/><Relationship Id="rId247" Type="http://schemas.openxmlformats.org/officeDocument/2006/relationships/externalLink" Target="externalLinks/externalLink244.xml"/><Relationship Id="rId107" Type="http://schemas.openxmlformats.org/officeDocument/2006/relationships/externalLink" Target="externalLinks/externalLink104.xml"/><Relationship Id="rId268" Type="http://schemas.openxmlformats.org/officeDocument/2006/relationships/externalLink" Target="externalLinks/externalLink265.xml"/><Relationship Id="rId289" Type="http://schemas.openxmlformats.org/officeDocument/2006/relationships/externalLink" Target="externalLinks/externalLink286.xml"/><Relationship Id="rId11" Type="http://schemas.openxmlformats.org/officeDocument/2006/relationships/externalLink" Target="externalLinks/externalLink8.xml"/><Relationship Id="rId32" Type="http://schemas.openxmlformats.org/officeDocument/2006/relationships/externalLink" Target="externalLinks/externalLink29.xml"/><Relationship Id="rId53" Type="http://schemas.openxmlformats.org/officeDocument/2006/relationships/externalLink" Target="externalLinks/externalLink50.xml"/><Relationship Id="rId74" Type="http://schemas.openxmlformats.org/officeDocument/2006/relationships/externalLink" Target="externalLinks/externalLink71.xml"/><Relationship Id="rId128" Type="http://schemas.openxmlformats.org/officeDocument/2006/relationships/externalLink" Target="externalLinks/externalLink125.xml"/><Relationship Id="rId149" Type="http://schemas.openxmlformats.org/officeDocument/2006/relationships/externalLink" Target="externalLinks/externalLink146.xml"/><Relationship Id="rId314" Type="http://schemas.openxmlformats.org/officeDocument/2006/relationships/externalLink" Target="externalLinks/externalLink311.xml"/><Relationship Id="rId335" Type="http://schemas.openxmlformats.org/officeDocument/2006/relationships/externalLink" Target="externalLinks/externalLink332.xml"/><Relationship Id="rId356" Type="http://schemas.openxmlformats.org/officeDocument/2006/relationships/externalLink" Target="externalLinks/externalLink353.xml"/><Relationship Id="rId5" Type="http://schemas.openxmlformats.org/officeDocument/2006/relationships/externalLink" Target="externalLinks/externalLink2.xml"/><Relationship Id="rId95" Type="http://schemas.openxmlformats.org/officeDocument/2006/relationships/externalLink" Target="externalLinks/externalLink92.xml"/><Relationship Id="rId160" Type="http://schemas.openxmlformats.org/officeDocument/2006/relationships/externalLink" Target="externalLinks/externalLink157.xml"/><Relationship Id="rId181" Type="http://schemas.openxmlformats.org/officeDocument/2006/relationships/externalLink" Target="externalLinks/externalLink178.xml"/><Relationship Id="rId216" Type="http://schemas.openxmlformats.org/officeDocument/2006/relationships/externalLink" Target="externalLinks/externalLink213.xml"/><Relationship Id="rId237" Type="http://schemas.openxmlformats.org/officeDocument/2006/relationships/externalLink" Target="externalLinks/externalLink234.xml"/><Relationship Id="rId258" Type="http://schemas.openxmlformats.org/officeDocument/2006/relationships/externalLink" Target="externalLinks/externalLink255.xml"/><Relationship Id="rId279" Type="http://schemas.openxmlformats.org/officeDocument/2006/relationships/externalLink" Target="externalLinks/externalLink276.xml"/><Relationship Id="rId22" Type="http://schemas.openxmlformats.org/officeDocument/2006/relationships/externalLink" Target="externalLinks/externalLink19.xml"/><Relationship Id="rId43" Type="http://schemas.openxmlformats.org/officeDocument/2006/relationships/externalLink" Target="externalLinks/externalLink40.xml"/><Relationship Id="rId64" Type="http://schemas.openxmlformats.org/officeDocument/2006/relationships/externalLink" Target="externalLinks/externalLink61.xml"/><Relationship Id="rId118" Type="http://schemas.openxmlformats.org/officeDocument/2006/relationships/externalLink" Target="externalLinks/externalLink115.xml"/><Relationship Id="rId139" Type="http://schemas.openxmlformats.org/officeDocument/2006/relationships/externalLink" Target="externalLinks/externalLink136.xml"/><Relationship Id="rId290" Type="http://schemas.openxmlformats.org/officeDocument/2006/relationships/externalLink" Target="externalLinks/externalLink287.xml"/><Relationship Id="rId304" Type="http://schemas.openxmlformats.org/officeDocument/2006/relationships/externalLink" Target="externalLinks/externalLink301.xml"/><Relationship Id="rId325" Type="http://schemas.openxmlformats.org/officeDocument/2006/relationships/externalLink" Target="externalLinks/externalLink322.xml"/><Relationship Id="rId346" Type="http://schemas.openxmlformats.org/officeDocument/2006/relationships/externalLink" Target="externalLinks/externalLink343.xml"/><Relationship Id="rId367" Type="http://schemas.openxmlformats.org/officeDocument/2006/relationships/styles" Target="styles.xml"/><Relationship Id="rId85" Type="http://schemas.openxmlformats.org/officeDocument/2006/relationships/externalLink" Target="externalLinks/externalLink82.xml"/><Relationship Id="rId150" Type="http://schemas.openxmlformats.org/officeDocument/2006/relationships/externalLink" Target="externalLinks/externalLink147.xml"/><Relationship Id="rId171" Type="http://schemas.openxmlformats.org/officeDocument/2006/relationships/externalLink" Target="externalLinks/externalLink168.xml"/><Relationship Id="rId192" Type="http://schemas.openxmlformats.org/officeDocument/2006/relationships/externalLink" Target="externalLinks/externalLink189.xml"/><Relationship Id="rId206" Type="http://schemas.openxmlformats.org/officeDocument/2006/relationships/externalLink" Target="externalLinks/externalLink203.xml"/><Relationship Id="rId227" Type="http://schemas.openxmlformats.org/officeDocument/2006/relationships/externalLink" Target="externalLinks/externalLink224.xml"/><Relationship Id="rId248" Type="http://schemas.openxmlformats.org/officeDocument/2006/relationships/externalLink" Target="externalLinks/externalLink245.xml"/><Relationship Id="rId269" Type="http://schemas.openxmlformats.org/officeDocument/2006/relationships/externalLink" Target="externalLinks/externalLink266.xml"/><Relationship Id="rId12" Type="http://schemas.openxmlformats.org/officeDocument/2006/relationships/externalLink" Target="externalLinks/externalLink9.xml"/><Relationship Id="rId33" Type="http://schemas.openxmlformats.org/officeDocument/2006/relationships/externalLink" Target="externalLinks/externalLink30.xml"/><Relationship Id="rId108" Type="http://schemas.openxmlformats.org/officeDocument/2006/relationships/externalLink" Target="externalLinks/externalLink105.xml"/><Relationship Id="rId129" Type="http://schemas.openxmlformats.org/officeDocument/2006/relationships/externalLink" Target="externalLinks/externalLink126.xml"/><Relationship Id="rId280" Type="http://schemas.openxmlformats.org/officeDocument/2006/relationships/externalLink" Target="externalLinks/externalLink277.xml"/><Relationship Id="rId315" Type="http://schemas.openxmlformats.org/officeDocument/2006/relationships/externalLink" Target="externalLinks/externalLink312.xml"/><Relationship Id="rId336" Type="http://schemas.openxmlformats.org/officeDocument/2006/relationships/externalLink" Target="externalLinks/externalLink333.xml"/><Relationship Id="rId357" Type="http://schemas.openxmlformats.org/officeDocument/2006/relationships/externalLink" Target="externalLinks/externalLink354.xml"/><Relationship Id="rId54" Type="http://schemas.openxmlformats.org/officeDocument/2006/relationships/externalLink" Target="externalLinks/externalLink51.xml"/><Relationship Id="rId75" Type="http://schemas.openxmlformats.org/officeDocument/2006/relationships/externalLink" Target="externalLinks/externalLink72.xml"/><Relationship Id="rId96" Type="http://schemas.openxmlformats.org/officeDocument/2006/relationships/externalLink" Target="externalLinks/externalLink93.xml"/><Relationship Id="rId140" Type="http://schemas.openxmlformats.org/officeDocument/2006/relationships/externalLink" Target="externalLinks/externalLink137.xml"/><Relationship Id="rId161" Type="http://schemas.openxmlformats.org/officeDocument/2006/relationships/externalLink" Target="externalLinks/externalLink158.xml"/><Relationship Id="rId182" Type="http://schemas.openxmlformats.org/officeDocument/2006/relationships/externalLink" Target="externalLinks/externalLink179.xml"/><Relationship Id="rId217" Type="http://schemas.openxmlformats.org/officeDocument/2006/relationships/externalLink" Target="externalLinks/externalLink214.xml"/><Relationship Id="rId6" Type="http://schemas.openxmlformats.org/officeDocument/2006/relationships/externalLink" Target="externalLinks/externalLink3.xml"/><Relationship Id="rId238" Type="http://schemas.openxmlformats.org/officeDocument/2006/relationships/externalLink" Target="externalLinks/externalLink235.xml"/><Relationship Id="rId259" Type="http://schemas.openxmlformats.org/officeDocument/2006/relationships/externalLink" Target="externalLinks/externalLink256.xml"/><Relationship Id="rId23" Type="http://schemas.openxmlformats.org/officeDocument/2006/relationships/externalLink" Target="externalLinks/externalLink20.xml"/><Relationship Id="rId119" Type="http://schemas.openxmlformats.org/officeDocument/2006/relationships/externalLink" Target="externalLinks/externalLink116.xml"/><Relationship Id="rId270" Type="http://schemas.openxmlformats.org/officeDocument/2006/relationships/externalLink" Target="externalLinks/externalLink267.xml"/><Relationship Id="rId291" Type="http://schemas.openxmlformats.org/officeDocument/2006/relationships/externalLink" Target="externalLinks/externalLink288.xml"/><Relationship Id="rId305" Type="http://schemas.openxmlformats.org/officeDocument/2006/relationships/externalLink" Target="externalLinks/externalLink302.xml"/><Relationship Id="rId326" Type="http://schemas.openxmlformats.org/officeDocument/2006/relationships/externalLink" Target="externalLinks/externalLink323.xml"/><Relationship Id="rId347" Type="http://schemas.openxmlformats.org/officeDocument/2006/relationships/externalLink" Target="externalLinks/externalLink344.xml"/><Relationship Id="rId44" Type="http://schemas.openxmlformats.org/officeDocument/2006/relationships/externalLink" Target="externalLinks/externalLink41.xml"/><Relationship Id="rId65" Type="http://schemas.openxmlformats.org/officeDocument/2006/relationships/externalLink" Target="externalLinks/externalLink62.xml"/><Relationship Id="rId86" Type="http://schemas.openxmlformats.org/officeDocument/2006/relationships/externalLink" Target="externalLinks/externalLink83.xml"/><Relationship Id="rId130" Type="http://schemas.openxmlformats.org/officeDocument/2006/relationships/externalLink" Target="externalLinks/externalLink127.xml"/><Relationship Id="rId151" Type="http://schemas.openxmlformats.org/officeDocument/2006/relationships/externalLink" Target="externalLinks/externalLink148.xml"/><Relationship Id="rId368" Type="http://schemas.openxmlformats.org/officeDocument/2006/relationships/sharedStrings" Target="sharedStrings.xml"/><Relationship Id="rId172" Type="http://schemas.openxmlformats.org/officeDocument/2006/relationships/externalLink" Target="externalLinks/externalLink169.xml"/><Relationship Id="rId193" Type="http://schemas.openxmlformats.org/officeDocument/2006/relationships/externalLink" Target="externalLinks/externalLink190.xml"/><Relationship Id="rId207" Type="http://schemas.openxmlformats.org/officeDocument/2006/relationships/externalLink" Target="externalLinks/externalLink204.xml"/><Relationship Id="rId228" Type="http://schemas.openxmlformats.org/officeDocument/2006/relationships/externalLink" Target="externalLinks/externalLink225.xml"/><Relationship Id="rId249" Type="http://schemas.openxmlformats.org/officeDocument/2006/relationships/externalLink" Target="externalLinks/externalLink246.xml"/><Relationship Id="rId13" Type="http://schemas.openxmlformats.org/officeDocument/2006/relationships/externalLink" Target="externalLinks/externalLink10.xml"/><Relationship Id="rId109" Type="http://schemas.openxmlformats.org/officeDocument/2006/relationships/externalLink" Target="externalLinks/externalLink106.xml"/><Relationship Id="rId260" Type="http://schemas.openxmlformats.org/officeDocument/2006/relationships/externalLink" Target="externalLinks/externalLink257.xml"/><Relationship Id="rId281" Type="http://schemas.openxmlformats.org/officeDocument/2006/relationships/externalLink" Target="externalLinks/externalLink278.xml"/><Relationship Id="rId316" Type="http://schemas.openxmlformats.org/officeDocument/2006/relationships/externalLink" Target="externalLinks/externalLink313.xml"/><Relationship Id="rId337" Type="http://schemas.openxmlformats.org/officeDocument/2006/relationships/externalLink" Target="externalLinks/externalLink334.xml"/><Relationship Id="rId34" Type="http://schemas.openxmlformats.org/officeDocument/2006/relationships/externalLink" Target="externalLinks/externalLink31.xml"/><Relationship Id="rId55" Type="http://schemas.openxmlformats.org/officeDocument/2006/relationships/externalLink" Target="externalLinks/externalLink52.xml"/><Relationship Id="rId76" Type="http://schemas.openxmlformats.org/officeDocument/2006/relationships/externalLink" Target="externalLinks/externalLink73.xml"/><Relationship Id="rId97" Type="http://schemas.openxmlformats.org/officeDocument/2006/relationships/externalLink" Target="externalLinks/externalLink94.xml"/><Relationship Id="rId120" Type="http://schemas.openxmlformats.org/officeDocument/2006/relationships/externalLink" Target="externalLinks/externalLink117.xml"/><Relationship Id="rId141" Type="http://schemas.openxmlformats.org/officeDocument/2006/relationships/externalLink" Target="externalLinks/externalLink138.xml"/><Relationship Id="rId358" Type="http://schemas.openxmlformats.org/officeDocument/2006/relationships/externalLink" Target="externalLinks/externalLink355.xml"/><Relationship Id="rId7" Type="http://schemas.openxmlformats.org/officeDocument/2006/relationships/externalLink" Target="externalLinks/externalLink4.xml"/><Relationship Id="rId162" Type="http://schemas.openxmlformats.org/officeDocument/2006/relationships/externalLink" Target="externalLinks/externalLink159.xml"/><Relationship Id="rId183" Type="http://schemas.openxmlformats.org/officeDocument/2006/relationships/externalLink" Target="externalLinks/externalLink180.xml"/><Relationship Id="rId218" Type="http://schemas.openxmlformats.org/officeDocument/2006/relationships/externalLink" Target="externalLinks/externalLink215.xml"/><Relationship Id="rId239" Type="http://schemas.openxmlformats.org/officeDocument/2006/relationships/externalLink" Target="externalLinks/externalLink236.xml"/><Relationship Id="rId250" Type="http://schemas.openxmlformats.org/officeDocument/2006/relationships/externalLink" Target="externalLinks/externalLink247.xml"/><Relationship Id="rId271" Type="http://schemas.openxmlformats.org/officeDocument/2006/relationships/externalLink" Target="externalLinks/externalLink268.xml"/><Relationship Id="rId292" Type="http://schemas.openxmlformats.org/officeDocument/2006/relationships/externalLink" Target="externalLinks/externalLink289.xml"/><Relationship Id="rId306" Type="http://schemas.openxmlformats.org/officeDocument/2006/relationships/externalLink" Target="externalLinks/externalLink303.xml"/><Relationship Id="rId24" Type="http://schemas.openxmlformats.org/officeDocument/2006/relationships/externalLink" Target="externalLinks/externalLink21.xml"/><Relationship Id="rId45" Type="http://schemas.openxmlformats.org/officeDocument/2006/relationships/externalLink" Target="externalLinks/externalLink42.xml"/><Relationship Id="rId66" Type="http://schemas.openxmlformats.org/officeDocument/2006/relationships/externalLink" Target="externalLinks/externalLink63.xml"/><Relationship Id="rId87" Type="http://schemas.openxmlformats.org/officeDocument/2006/relationships/externalLink" Target="externalLinks/externalLink84.xml"/><Relationship Id="rId110" Type="http://schemas.openxmlformats.org/officeDocument/2006/relationships/externalLink" Target="externalLinks/externalLink107.xml"/><Relationship Id="rId131" Type="http://schemas.openxmlformats.org/officeDocument/2006/relationships/externalLink" Target="externalLinks/externalLink128.xml"/><Relationship Id="rId327" Type="http://schemas.openxmlformats.org/officeDocument/2006/relationships/externalLink" Target="externalLinks/externalLink324.xml"/><Relationship Id="rId348" Type="http://schemas.openxmlformats.org/officeDocument/2006/relationships/externalLink" Target="externalLinks/externalLink345.xml"/><Relationship Id="rId369" Type="http://schemas.openxmlformats.org/officeDocument/2006/relationships/calcChain" Target="calcChain.xml"/><Relationship Id="rId152" Type="http://schemas.openxmlformats.org/officeDocument/2006/relationships/externalLink" Target="externalLinks/externalLink149.xml"/><Relationship Id="rId173" Type="http://schemas.openxmlformats.org/officeDocument/2006/relationships/externalLink" Target="externalLinks/externalLink170.xml"/><Relationship Id="rId194" Type="http://schemas.openxmlformats.org/officeDocument/2006/relationships/externalLink" Target="externalLinks/externalLink191.xml"/><Relationship Id="rId208" Type="http://schemas.openxmlformats.org/officeDocument/2006/relationships/externalLink" Target="externalLinks/externalLink205.xml"/><Relationship Id="rId229" Type="http://schemas.openxmlformats.org/officeDocument/2006/relationships/externalLink" Target="externalLinks/externalLink226.xml"/><Relationship Id="rId240" Type="http://schemas.openxmlformats.org/officeDocument/2006/relationships/externalLink" Target="externalLinks/externalLink237.xml"/><Relationship Id="rId261" Type="http://schemas.openxmlformats.org/officeDocument/2006/relationships/externalLink" Target="externalLinks/externalLink258.xml"/><Relationship Id="rId14" Type="http://schemas.openxmlformats.org/officeDocument/2006/relationships/externalLink" Target="externalLinks/externalLink11.xml"/><Relationship Id="rId35" Type="http://schemas.openxmlformats.org/officeDocument/2006/relationships/externalLink" Target="externalLinks/externalLink32.xml"/><Relationship Id="rId56" Type="http://schemas.openxmlformats.org/officeDocument/2006/relationships/externalLink" Target="externalLinks/externalLink53.xml"/><Relationship Id="rId77" Type="http://schemas.openxmlformats.org/officeDocument/2006/relationships/externalLink" Target="externalLinks/externalLink74.xml"/><Relationship Id="rId100" Type="http://schemas.openxmlformats.org/officeDocument/2006/relationships/externalLink" Target="externalLinks/externalLink97.xml"/><Relationship Id="rId282" Type="http://schemas.openxmlformats.org/officeDocument/2006/relationships/externalLink" Target="externalLinks/externalLink279.xml"/><Relationship Id="rId317" Type="http://schemas.openxmlformats.org/officeDocument/2006/relationships/externalLink" Target="externalLinks/externalLink314.xml"/><Relationship Id="rId338" Type="http://schemas.openxmlformats.org/officeDocument/2006/relationships/externalLink" Target="externalLinks/externalLink335.xml"/><Relationship Id="rId359" Type="http://schemas.openxmlformats.org/officeDocument/2006/relationships/externalLink" Target="externalLinks/externalLink356.xml"/><Relationship Id="rId8" Type="http://schemas.openxmlformats.org/officeDocument/2006/relationships/externalLink" Target="externalLinks/externalLink5.xml"/><Relationship Id="rId98" Type="http://schemas.openxmlformats.org/officeDocument/2006/relationships/externalLink" Target="externalLinks/externalLink95.xml"/><Relationship Id="rId121" Type="http://schemas.openxmlformats.org/officeDocument/2006/relationships/externalLink" Target="externalLinks/externalLink118.xml"/><Relationship Id="rId142" Type="http://schemas.openxmlformats.org/officeDocument/2006/relationships/externalLink" Target="externalLinks/externalLink139.xml"/><Relationship Id="rId163" Type="http://schemas.openxmlformats.org/officeDocument/2006/relationships/externalLink" Target="externalLinks/externalLink160.xml"/><Relationship Id="rId184" Type="http://schemas.openxmlformats.org/officeDocument/2006/relationships/externalLink" Target="externalLinks/externalLink181.xml"/><Relationship Id="rId219" Type="http://schemas.openxmlformats.org/officeDocument/2006/relationships/externalLink" Target="externalLinks/externalLink216.xml"/><Relationship Id="rId370" Type="http://schemas.microsoft.com/office/2006/relationships/vbaProject" Target="vbaProject.bin"/><Relationship Id="rId230" Type="http://schemas.openxmlformats.org/officeDocument/2006/relationships/externalLink" Target="externalLinks/externalLink227.xml"/><Relationship Id="rId251" Type="http://schemas.openxmlformats.org/officeDocument/2006/relationships/externalLink" Target="externalLinks/externalLink248.xml"/><Relationship Id="rId25" Type="http://schemas.openxmlformats.org/officeDocument/2006/relationships/externalLink" Target="externalLinks/externalLink22.xml"/><Relationship Id="rId46" Type="http://schemas.openxmlformats.org/officeDocument/2006/relationships/externalLink" Target="externalLinks/externalLink43.xml"/><Relationship Id="rId67" Type="http://schemas.openxmlformats.org/officeDocument/2006/relationships/externalLink" Target="externalLinks/externalLink64.xml"/><Relationship Id="rId272" Type="http://schemas.openxmlformats.org/officeDocument/2006/relationships/externalLink" Target="externalLinks/externalLink269.xml"/><Relationship Id="rId293" Type="http://schemas.openxmlformats.org/officeDocument/2006/relationships/externalLink" Target="externalLinks/externalLink290.xml"/><Relationship Id="rId307" Type="http://schemas.openxmlformats.org/officeDocument/2006/relationships/externalLink" Target="externalLinks/externalLink304.xml"/><Relationship Id="rId328" Type="http://schemas.openxmlformats.org/officeDocument/2006/relationships/externalLink" Target="externalLinks/externalLink325.xml"/><Relationship Id="rId349" Type="http://schemas.openxmlformats.org/officeDocument/2006/relationships/externalLink" Target="externalLinks/externalLink346.xml"/><Relationship Id="rId88" Type="http://schemas.openxmlformats.org/officeDocument/2006/relationships/externalLink" Target="externalLinks/externalLink85.xml"/><Relationship Id="rId111" Type="http://schemas.openxmlformats.org/officeDocument/2006/relationships/externalLink" Target="externalLinks/externalLink108.xml"/><Relationship Id="rId132" Type="http://schemas.openxmlformats.org/officeDocument/2006/relationships/externalLink" Target="externalLinks/externalLink129.xml"/><Relationship Id="rId153" Type="http://schemas.openxmlformats.org/officeDocument/2006/relationships/externalLink" Target="externalLinks/externalLink150.xml"/><Relationship Id="rId174" Type="http://schemas.openxmlformats.org/officeDocument/2006/relationships/externalLink" Target="externalLinks/externalLink171.xml"/><Relationship Id="rId195" Type="http://schemas.openxmlformats.org/officeDocument/2006/relationships/externalLink" Target="externalLinks/externalLink192.xml"/><Relationship Id="rId209" Type="http://schemas.openxmlformats.org/officeDocument/2006/relationships/externalLink" Target="externalLinks/externalLink206.xml"/><Relationship Id="rId360" Type="http://schemas.openxmlformats.org/officeDocument/2006/relationships/externalLink" Target="externalLinks/externalLink357.xml"/><Relationship Id="rId220" Type="http://schemas.openxmlformats.org/officeDocument/2006/relationships/externalLink" Target="externalLinks/externalLink217.xml"/><Relationship Id="rId241" Type="http://schemas.openxmlformats.org/officeDocument/2006/relationships/externalLink" Target="externalLinks/externalLink238.xml"/><Relationship Id="rId15" Type="http://schemas.openxmlformats.org/officeDocument/2006/relationships/externalLink" Target="externalLinks/externalLink12.xml"/><Relationship Id="rId36" Type="http://schemas.openxmlformats.org/officeDocument/2006/relationships/externalLink" Target="externalLinks/externalLink33.xml"/><Relationship Id="rId57" Type="http://schemas.openxmlformats.org/officeDocument/2006/relationships/externalLink" Target="externalLinks/externalLink54.xml"/><Relationship Id="rId262" Type="http://schemas.openxmlformats.org/officeDocument/2006/relationships/externalLink" Target="externalLinks/externalLink259.xml"/><Relationship Id="rId283" Type="http://schemas.openxmlformats.org/officeDocument/2006/relationships/externalLink" Target="externalLinks/externalLink280.xml"/><Relationship Id="rId318" Type="http://schemas.openxmlformats.org/officeDocument/2006/relationships/externalLink" Target="externalLinks/externalLink315.xml"/><Relationship Id="rId339" Type="http://schemas.openxmlformats.org/officeDocument/2006/relationships/externalLink" Target="externalLinks/externalLink336.xml"/><Relationship Id="rId10" Type="http://schemas.openxmlformats.org/officeDocument/2006/relationships/externalLink" Target="externalLinks/externalLink7.xml"/><Relationship Id="rId31" Type="http://schemas.openxmlformats.org/officeDocument/2006/relationships/externalLink" Target="externalLinks/externalLink28.xml"/><Relationship Id="rId52" Type="http://schemas.openxmlformats.org/officeDocument/2006/relationships/externalLink" Target="externalLinks/externalLink49.xml"/><Relationship Id="rId73" Type="http://schemas.openxmlformats.org/officeDocument/2006/relationships/externalLink" Target="externalLinks/externalLink70.xml"/><Relationship Id="rId78" Type="http://schemas.openxmlformats.org/officeDocument/2006/relationships/externalLink" Target="externalLinks/externalLink75.xml"/><Relationship Id="rId94" Type="http://schemas.openxmlformats.org/officeDocument/2006/relationships/externalLink" Target="externalLinks/externalLink91.xml"/><Relationship Id="rId99" Type="http://schemas.openxmlformats.org/officeDocument/2006/relationships/externalLink" Target="externalLinks/externalLink96.xml"/><Relationship Id="rId101" Type="http://schemas.openxmlformats.org/officeDocument/2006/relationships/externalLink" Target="externalLinks/externalLink98.xml"/><Relationship Id="rId122" Type="http://schemas.openxmlformats.org/officeDocument/2006/relationships/externalLink" Target="externalLinks/externalLink119.xml"/><Relationship Id="rId143" Type="http://schemas.openxmlformats.org/officeDocument/2006/relationships/externalLink" Target="externalLinks/externalLink140.xml"/><Relationship Id="rId148" Type="http://schemas.openxmlformats.org/officeDocument/2006/relationships/externalLink" Target="externalLinks/externalLink145.xml"/><Relationship Id="rId164" Type="http://schemas.openxmlformats.org/officeDocument/2006/relationships/externalLink" Target="externalLinks/externalLink161.xml"/><Relationship Id="rId169" Type="http://schemas.openxmlformats.org/officeDocument/2006/relationships/externalLink" Target="externalLinks/externalLink166.xml"/><Relationship Id="rId185" Type="http://schemas.openxmlformats.org/officeDocument/2006/relationships/externalLink" Target="externalLinks/externalLink182.xml"/><Relationship Id="rId334" Type="http://schemas.openxmlformats.org/officeDocument/2006/relationships/externalLink" Target="externalLinks/externalLink331.xml"/><Relationship Id="rId350" Type="http://schemas.openxmlformats.org/officeDocument/2006/relationships/externalLink" Target="externalLinks/externalLink347.xml"/><Relationship Id="rId355" Type="http://schemas.openxmlformats.org/officeDocument/2006/relationships/externalLink" Target="externalLinks/externalLink352.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80" Type="http://schemas.openxmlformats.org/officeDocument/2006/relationships/externalLink" Target="externalLinks/externalLink177.xml"/><Relationship Id="rId210" Type="http://schemas.openxmlformats.org/officeDocument/2006/relationships/externalLink" Target="externalLinks/externalLink207.xml"/><Relationship Id="rId215" Type="http://schemas.openxmlformats.org/officeDocument/2006/relationships/externalLink" Target="externalLinks/externalLink212.xml"/><Relationship Id="rId236" Type="http://schemas.openxmlformats.org/officeDocument/2006/relationships/externalLink" Target="externalLinks/externalLink233.xml"/><Relationship Id="rId257" Type="http://schemas.openxmlformats.org/officeDocument/2006/relationships/externalLink" Target="externalLinks/externalLink254.xml"/><Relationship Id="rId278" Type="http://schemas.openxmlformats.org/officeDocument/2006/relationships/externalLink" Target="externalLinks/externalLink275.xml"/><Relationship Id="rId26" Type="http://schemas.openxmlformats.org/officeDocument/2006/relationships/externalLink" Target="externalLinks/externalLink23.xml"/><Relationship Id="rId231" Type="http://schemas.openxmlformats.org/officeDocument/2006/relationships/externalLink" Target="externalLinks/externalLink228.xml"/><Relationship Id="rId252" Type="http://schemas.openxmlformats.org/officeDocument/2006/relationships/externalLink" Target="externalLinks/externalLink249.xml"/><Relationship Id="rId273" Type="http://schemas.openxmlformats.org/officeDocument/2006/relationships/externalLink" Target="externalLinks/externalLink270.xml"/><Relationship Id="rId294" Type="http://schemas.openxmlformats.org/officeDocument/2006/relationships/externalLink" Target="externalLinks/externalLink291.xml"/><Relationship Id="rId308" Type="http://schemas.openxmlformats.org/officeDocument/2006/relationships/externalLink" Target="externalLinks/externalLink305.xml"/><Relationship Id="rId329" Type="http://schemas.openxmlformats.org/officeDocument/2006/relationships/externalLink" Target="externalLinks/externalLink326.xml"/><Relationship Id="rId47" Type="http://schemas.openxmlformats.org/officeDocument/2006/relationships/externalLink" Target="externalLinks/externalLink44.xml"/><Relationship Id="rId68" Type="http://schemas.openxmlformats.org/officeDocument/2006/relationships/externalLink" Target="externalLinks/externalLink65.xml"/><Relationship Id="rId89" Type="http://schemas.openxmlformats.org/officeDocument/2006/relationships/externalLink" Target="externalLinks/externalLink86.xml"/><Relationship Id="rId112" Type="http://schemas.openxmlformats.org/officeDocument/2006/relationships/externalLink" Target="externalLinks/externalLink109.xml"/><Relationship Id="rId133" Type="http://schemas.openxmlformats.org/officeDocument/2006/relationships/externalLink" Target="externalLinks/externalLink130.xml"/><Relationship Id="rId154" Type="http://schemas.openxmlformats.org/officeDocument/2006/relationships/externalLink" Target="externalLinks/externalLink151.xml"/><Relationship Id="rId175" Type="http://schemas.openxmlformats.org/officeDocument/2006/relationships/externalLink" Target="externalLinks/externalLink172.xml"/><Relationship Id="rId340" Type="http://schemas.openxmlformats.org/officeDocument/2006/relationships/externalLink" Target="externalLinks/externalLink337.xml"/><Relationship Id="rId361" Type="http://schemas.openxmlformats.org/officeDocument/2006/relationships/externalLink" Target="externalLinks/externalLink358.xml"/><Relationship Id="rId196" Type="http://schemas.openxmlformats.org/officeDocument/2006/relationships/externalLink" Target="externalLinks/externalLink193.xml"/><Relationship Id="rId200" Type="http://schemas.openxmlformats.org/officeDocument/2006/relationships/externalLink" Target="externalLinks/externalLink197.xml"/><Relationship Id="rId16" Type="http://schemas.openxmlformats.org/officeDocument/2006/relationships/externalLink" Target="externalLinks/externalLink13.xml"/><Relationship Id="rId221" Type="http://schemas.openxmlformats.org/officeDocument/2006/relationships/externalLink" Target="externalLinks/externalLink218.xml"/><Relationship Id="rId242" Type="http://schemas.openxmlformats.org/officeDocument/2006/relationships/externalLink" Target="externalLinks/externalLink239.xml"/><Relationship Id="rId263" Type="http://schemas.openxmlformats.org/officeDocument/2006/relationships/externalLink" Target="externalLinks/externalLink260.xml"/><Relationship Id="rId284" Type="http://schemas.openxmlformats.org/officeDocument/2006/relationships/externalLink" Target="externalLinks/externalLink281.xml"/><Relationship Id="rId319" Type="http://schemas.openxmlformats.org/officeDocument/2006/relationships/externalLink" Target="externalLinks/externalLink316.xml"/><Relationship Id="rId37" Type="http://schemas.openxmlformats.org/officeDocument/2006/relationships/externalLink" Target="externalLinks/externalLink34.xml"/><Relationship Id="rId58" Type="http://schemas.openxmlformats.org/officeDocument/2006/relationships/externalLink" Target="externalLinks/externalLink55.xml"/><Relationship Id="rId79" Type="http://schemas.openxmlformats.org/officeDocument/2006/relationships/externalLink" Target="externalLinks/externalLink76.xml"/><Relationship Id="rId102" Type="http://schemas.openxmlformats.org/officeDocument/2006/relationships/externalLink" Target="externalLinks/externalLink99.xml"/><Relationship Id="rId123" Type="http://schemas.openxmlformats.org/officeDocument/2006/relationships/externalLink" Target="externalLinks/externalLink120.xml"/><Relationship Id="rId144" Type="http://schemas.openxmlformats.org/officeDocument/2006/relationships/externalLink" Target="externalLinks/externalLink141.xml"/><Relationship Id="rId330" Type="http://schemas.openxmlformats.org/officeDocument/2006/relationships/externalLink" Target="externalLinks/externalLink327.xml"/><Relationship Id="rId90" Type="http://schemas.openxmlformats.org/officeDocument/2006/relationships/externalLink" Target="externalLinks/externalLink87.xml"/><Relationship Id="rId165" Type="http://schemas.openxmlformats.org/officeDocument/2006/relationships/externalLink" Target="externalLinks/externalLink162.xml"/><Relationship Id="rId186" Type="http://schemas.openxmlformats.org/officeDocument/2006/relationships/externalLink" Target="externalLinks/externalLink183.xml"/><Relationship Id="rId351" Type="http://schemas.openxmlformats.org/officeDocument/2006/relationships/externalLink" Target="externalLinks/externalLink348.xml"/><Relationship Id="rId211" Type="http://schemas.openxmlformats.org/officeDocument/2006/relationships/externalLink" Target="externalLinks/externalLink208.xml"/><Relationship Id="rId232" Type="http://schemas.openxmlformats.org/officeDocument/2006/relationships/externalLink" Target="externalLinks/externalLink229.xml"/><Relationship Id="rId253" Type="http://schemas.openxmlformats.org/officeDocument/2006/relationships/externalLink" Target="externalLinks/externalLink250.xml"/><Relationship Id="rId274" Type="http://schemas.openxmlformats.org/officeDocument/2006/relationships/externalLink" Target="externalLinks/externalLink271.xml"/><Relationship Id="rId295" Type="http://schemas.openxmlformats.org/officeDocument/2006/relationships/externalLink" Target="externalLinks/externalLink292.xml"/><Relationship Id="rId309" Type="http://schemas.openxmlformats.org/officeDocument/2006/relationships/externalLink" Target="externalLinks/externalLink306.xml"/><Relationship Id="rId27" Type="http://schemas.openxmlformats.org/officeDocument/2006/relationships/externalLink" Target="externalLinks/externalLink24.xml"/><Relationship Id="rId48" Type="http://schemas.openxmlformats.org/officeDocument/2006/relationships/externalLink" Target="externalLinks/externalLink45.xml"/><Relationship Id="rId69" Type="http://schemas.openxmlformats.org/officeDocument/2006/relationships/externalLink" Target="externalLinks/externalLink66.xml"/><Relationship Id="rId113" Type="http://schemas.openxmlformats.org/officeDocument/2006/relationships/externalLink" Target="externalLinks/externalLink110.xml"/><Relationship Id="rId134" Type="http://schemas.openxmlformats.org/officeDocument/2006/relationships/externalLink" Target="externalLinks/externalLink131.xml"/><Relationship Id="rId320" Type="http://schemas.openxmlformats.org/officeDocument/2006/relationships/externalLink" Target="externalLinks/externalLink317.xml"/><Relationship Id="rId80" Type="http://schemas.openxmlformats.org/officeDocument/2006/relationships/externalLink" Target="externalLinks/externalLink77.xml"/><Relationship Id="rId155" Type="http://schemas.openxmlformats.org/officeDocument/2006/relationships/externalLink" Target="externalLinks/externalLink152.xml"/><Relationship Id="rId176" Type="http://schemas.openxmlformats.org/officeDocument/2006/relationships/externalLink" Target="externalLinks/externalLink173.xml"/><Relationship Id="rId197" Type="http://schemas.openxmlformats.org/officeDocument/2006/relationships/externalLink" Target="externalLinks/externalLink194.xml"/><Relationship Id="rId341" Type="http://schemas.openxmlformats.org/officeDocument/2006/relationships/externalLink" Target="externalLinks/externalLink338.xml"/><Relationship Id="rId362" Type="http://schemas.openxmlformats.org/officeDocument/2006/relationships/externalLink" Target="externalLinks/externalLink359.xml"/><Relationship Id="rId201" Type="http://schemas.openxmlformats.org/officeDocument/2006/relationships/externalLink" Target="externalLinks/externalLink198.xml"/><Relationship Id="rId222" Type="http://schemas.openxmlformats.org/officeDocument/2006/relationships/externalLink" Target="externalLinks/externalLink219.xml"/><Relationship Id="rId243" Type="http://schemas.openxmlformats.org/officeDocument/2006/relationships/externalLink" Target="externalLinks/externalLink240.xml"/><Relationship Id="rId264" Type="http://schemas.openxmlformats.org/officeDocument/2006/relationships/externalLink" Target="externalLinks/externalLink261.xml"/><Relationship Id="rId285" Type="http://schemas.openxmlformats.org/officeDocument/2006/relationships/externalLink" Target="externalLinks/externalLink282.xml"/><Relationship Id="rId17" Type="http://schemas.openxmlformats.org/officeDocument/2006/relationships/externalLink" Target="externalLinks/externalLink14.xml"/><Relationship Id="rId38" Type="http://schemas.openxmlformats.org/officeDocument/2006/relationships/externalLink" Target="externalLinks/externalLink35.xml"/><Relationship Id="rId59" Type="http://schemas.openxmlformats.org/officeDocument/2006/relationships/externalLink" Target="externalLinks/externalLink56.xml"/><Relationship Id="rId103" Type="http://schemas.openxmlformats.org/officeDocument/2006/relationships/externalLink" Target="externalLinks/externalLink100.xml"/><Relationship Id="rId124" Type="http://schemas.openxmlformats.org/officeDocument/2006/relationships/externalLink" Target="externalLinks/externalLink121.xml"/><Relationship Id="rId310" Type="http://schemas.openxmlformats.org/officeDocument/2006/relationships/externalLink" Target="externalLinks/externalLink307.xml"/><Relationship Id="rId70" Type="http://schemas.openxmlformats.org/officeDocument/2006/relationships/externalLink" Target="externalLinks/externalLink67.xml"/><Relationship Id="rId91" Type="http://schemas.openxmlformats.org/officeDocument/2006/relationships/externalLink" Target="externalLinks/externalLink88.xml"/><Relationship Id="rId145" Type="http://schemas.openxmlformats.org/officeDocument/2006/relationships/externalLink" Target="externalLinks/externalLink142.xml"/><Relationship Id="rId166" Type="http://schemas.openxmlformats.org/officeDocument/2006/relationships/externalLink" Target="externalLinks/externalLink163.xml"/><Relationship Id="rId187" Type="http://schemas.openxmlformats.org/officeDocument/2006/relationships/externalLink" Target="externalLinks/externalLink184.xml"/><Relationship Id="rId331" Type="http://schemas.openxmlformats.org/officeDocument/2006/relationships/externalLink" Target="externalLinks/externalLink328.xml"/><Relationship Id="rId352" Type="http://schemas.openxmlformats.org/officeDocument/2006/relationships/externalLink" Target="externalLinks/externalLink349.xml"/><Relationship Id="rId1" Type="http://schemas.openxmlformats.org/officeDocument/2006/relationships/worksheet" Target="worksheets/sheet1.xml"/><Relationship Id="rId212" Type="http://schemas.openxmlformats.org/officeDocument/2006/relationships/externalLink" Target="externalLinks/externalLink209.xml"/><Relationship Id="rId233" Type="http://schemas.openxmlformats.org/officeDocument/2006/relationships/externalLink" Target="externalLinks/externalLink230.xml"/><Relationship Id="rId254" Type="http://schemas.openxmlformats.org/officeDocument/2006/relationships/externalLink" Target="externalLinks/externalLink251.xml"/><Relationship Id="rId28" Type="http://schemas.openxmlformats.org/officeDocument/2006/relationships/externalLink" Target="externalLinks/externalLink25.xml"/><Relationship Id="rId49" Type="http://schemas.openxmlformats.org/officeDocument/2006/relationships/externalLink" Target="externalLinks/externalLink46.xml"/><Relationship Id="rId114" Type="http://schemas.openxmlformats.org/officeDocument/2006/relationships/externalLink" Target="externalLinks/externalLink111.xml"/><Relationship Id="rId275" Type="http://schemas.openxmlformats.org/officeDocument/2006/relationships/externalLink" Target="externalLinks/externalLink272.xml"/><Relationship Id="rId296" Type="http://schemas.openxmlformats.org/officeDocument/2006/relationships/externalLink" Target="externalLinks/externalLink293.xml"/><Relationship Id="rId300" Type="http://schemas.openxmlformats.org/officeDocument/2006/relationships/externalLink" Target="externalLinks/externalLink297.xml"/><Relationship Id="rId60" Type="http://schemas.openxmlformats.org/officeDocument/2006/relationships/externalLink" Target="externalLinks/externalLink57.xml"/><Relationship Id="rId81" Type="http://schemas.openxmlformats.org/officeDocument/2006/relationships/externalLink" Target="externalLinks/externalLink78.xml"/><Relationship Id="rId135" Type="http://schemas.openxmlformats.org/officeDocument/2006/relationships/externalLink" Target="externalLinks/externalLink132.xml"/><Relationship Id="rId156" Type="http://schemas.openxmlformats.org/officeDocument/2006/relationships/externalLink" Target="externalLinks/externalLink153.xml"/><Relationship Id="rId177" Type="http://schemas.openxmlformats.org/officeDocument/2006/relationships/externalLink" Target="externalLinks/externalLink174.xml"/><Relationship Id="rId198" Type="http://schemas.openxmlformats.org/officeDocument/2006/relationships/externalLink" Target="externalLinks/externalLink195.xml"/><Relationship Id="rId321" Type="http://schemas.openxmlformats.org/officeDocument/2006/relationships/externalLink" Target="externalLinks/externalLink318.xml"/><Relationship Id="rId342" Type="http://schemas.openxmlformats.org/officeDocument/2006/relationships/externalLink" Target="externalLinks/externalLink339.xml"/><Relationship Id="rId363" Type="http://schemas.openxmlformats.org/officeDocument/2006/relationships/externalLink" Target="externalLinks/externalLink360.xml"/><Relationship Id="rId202" Type="http://schemas.openxmlformats.org/officeDocument/2006/relationships/externalLink" Target="externalLinks/externalLink199.xml"/><Relationship Id="rId223" Type="http://schemas.openxmlformats.org/officeDocument/2006/relationships/externalLink" Target="externalLinks/externalLink220.xml"/><Relationship Id="rId244" Type="http://schemas.openxmlformats.org/officeDocument/2006/relationships/externalLink" Target="externalLinks/externalLink241.xml"/><Relationship Id="rId18" Type="http://schemas.openxmlformats.org/officeDocument/2006/relationships/externalLink" Target="externalLinks/externalLink15.xml"/><Relationship Id="rId39" Type="http://schemas.openxmlformats.org/officeDocument/2006/relationships/externalLink" Target="externalLinks/externalLink36.xml"/><Relationship Id="rId265" Type="http://schemas.openxmlformats.org/officeDocument/2006/relationships/externalLink" Target="externalLinks/externalLink262.xml"/><Relationship Id="rId286" Type="http://schemas.openxmlformats.org/officeDocument/2006/relationships/externalLink" Target="externalLinks/externalLink283.xml"/><Relationship Id="rId50" Type="http://schemas.openxmlformats.org/officeDocument/2006/relationships/externalLink" Target="externalLinks/externalLink47.xml"/><Relationship Id="rId104" Type="http://schemas.openxmlformats.org/officeDocument/2006/relationships/externalLink" Target="externalLinks/externalLink101.xml"/><Relationship Id="rId125" Type="http://schemas.openxmlformats.org/officeDocument/2006/relationships/externalLink" Target="externalLinks/externalLink122.xml"/><Relationship Id="rId146" Type="http://schemas.openxmlformats.org/officeDocument/2006/relationships/externalLink" Target="externalLinks/externalLink143.xml"/><Relationship Id="rId167" Type="http://schemas.openxmlformats.org/officeDocument/2006/relationships/externalLink" Target="externalLinks/externalLink164.xml"/><Relationship Id="rId188" Type="http://schemas.openxmlformats.org/officeDocument/2006/relationships/externalLink" Target="externalLinks/externalLink185.xml"/><Relationship Id="rId311" Type="http://schemas.openxmlformats.org/officeDocument/2006/relationships/externalLink" Target="externalLinks/externalLink308.xml"/><Relationship Id="rId332" Type="http://schemas.openxmlformats.org/officeDocument/2006/relationships/externalLink" Target="externalLinks/externalLink329.xml"/><Relationship Id="rId353" Type="http://schemas.openxmlformats.org/officeDocument/2006/relationships/externalLink" Target="externalLinks/externalLink350.xml"/><Relationship Id="rId71" Type="http://schemas.openxmlformats.org/officeDocument/2006/relationships/externalLink" Target="externalLinks/externalLink68.xml"/><Relationship Id="rId92" Type="http://schemas.openxmlformats.org/officeDocument/2006/relationships/externalLink" Target="externalLinks/externalLink89.xml"/><Relationship Id="rId213" Type="http://schemas.openxmlformats.org/officeDocument/2006/relationships/externalLink" Target="externalLinks/externalLink210.xml"/><Relationship Id="rId234" Type="http://schemas.openxmlformats.org/officeDocument/2006/relationships/externalLink" Target="externalLinks/externalLink231.xml"/><Relationship Id="rId2" Type="http://schemas.openxmlformats.org/officeDocument/2006/relationships/worksheet" Target="worksheets/sheet2.xml"/><Relationship Id="rId29" Type="http://schemas.openxmlformats.org/officeDocument/2006/relationships/externalLink" Target="externalLinks/externalLink26.xml"/><Relationship Id="rId255" Type="http://schemas.openxmlformats.org/officeDocument/2006/relationships/externalLink" Target="externalLinks/externalLink252.xml"/><Relationship Id="rId276" Type="http://schemas.openxmlformats.org/officeDocument/2006/relationships/externalLink" Target="externalLinks/externalLink273.xml"/><Relationship Id="rId297" Type="http://schemas.openxmlformats.org/officeDocument/2006/relationships/externalLink" Target="externalLinks/externalLink294.xml"/><Relationship Id="rId40" Type="http://schemas.openxmlformats.org/officeDocument/2006/relationships/externalLink" Target="externalLinks/externalLink37.xml"/><Relationship Id="rId115" Type="http://schemas.openxmlformats.org/officeDocument/2006/relationships/externalLink" Target="externalLinks/externalLink112.xml"/><Relationship Id="rId136" Type="http://schemas.openxmlformats.org/officeDocument/2006/relationships/externalLink" Target="externalLinks/externalLink133.xml"/><Relationship Id="rId157" Type="http://schemas.openxmlformats.org/officeDocument/2006/relationships/externalLink" Target="externalLinks/externalLink154.xml"/><Relationship Id="rId178" Type="http://schemas.openxmlformats.org/officeDocument/2006/relationships/externalLink" Target="externalLinks/externalLink175.xml"/><Relationship Id="rId301" Type="http://schemas.openxmlformats.org/officeDocument/2006/relationships/externalLink" Target="externalLinks/externalLink298.xml"/><Relationship Id="rId322" Type="http://schemas.openxmlformats.org/officeDocument/2006/relationships/externalLink" Target="externalLinks/externalLink319.xml"/><Relationship Id="rId343" Type="http://schemas.openxmlformats.org/officeDocument/2006/relationships/externalLink" Target="externalLinks/externalLink340.xml"/><Relationship Id="rId364" Type="http://schemas.openxmlformats.org/officeDocument/2006/relationships/externalLink" Target="externalLinks/externalLink361.xml"/><Relationship Id="rId61" Type="http://schemas.openxmlformats.org/officeDocument/2006/relationships/externalLink" Target="externalLinks/externalLink58.xml"/><Relationship Id="rId82" Type="http://schemas.openxmlformats.org/officeDocument/2006/relationships/externalLink" Target="externalLinks/externalLink79.xml"/><Relationship Id="rId199" Type="http://schemas.openxmlformats.org/officeDocument/2006/relationships/externalLink" Target="externalLinks/externalLink196.xml"/><Relationship Id="rId203" Type="http://schemas.openxmlformats.org/officeDocument/2006/relationships/externalLink" Target="externalLinks/externalLink200.xml"/><Relationship Id="rId19" Type="http://schemas.openxmlformats.org/officeDocument/2006/relationships/externalLink" Target="externalLinks/externalLink16.xml"/><Relationship Id="rId224" Type="http://schemas.openxmlformats.org/officeDocument/2006/relationships/externalLink" Target="externalLinks/externalLink221.xml"/><Relationship Id="rId245" Type="http://schemas.openxmlformats.org/officeDocument/2006/relationships/externalLink" Target="externalLinks/externalLink242.xml"/><Relationship Id="rId266" Type="http://schemas.openxmlformats.org/officeDocument/2006/relationships/externalLink" Target="externalLinks/externalLink263.xml"/><Relationship Id="rId287" Type="http://schemas.openxmlformats.org/officeDocument/2006/relationships/externalLink" Target="externalLinks/externalLink284.xml"/><Relationship Id="rId30" Type="http://schemas.openxmlformats.org/officeDocument/2006/relationships/externalLink" Target="externalLinks/externalLink27.xml"/><Relationship Id="rId105" Type="http://schemas.openxmlformats.org/officeDocument/2006/relationships/externalLink" Target="externalLinks/externalLink102.xml"/><Relationship Id="rId126" Type="http://schemas.openxmlformats.org/officeDocument/2006/relationships/externalLink" Target="externalLinks/externalLink123.xml"/><Relationship Id="rId147" Type="http://schemas.openxmlformats.org/officeDocument/2006/relationships/externalLink" Target="externalLinks/externalLink144.xml"/><Relationship Id="rId168" Type="http://schemas.openxmlformats.org/officeDocument/2006/relationships/externalLink" Target="externalLinks/externalLink165.xml"/><Relationship Id="rId312" Type="http://schemas.openxmlformats.org/officeDocument/2006/relationships/externalLink" Target="externalLinks/externalLink309.xml"/><Relationship Id="rId333" Type="http://schemas.openxmlformats.org/officeDocument/2006/relationships/externalLink" Target="externalLinks/externalLink330.xml"/><Relationship Id="rId354" Type="http://schemas.openxmlformats.org/officeDocument/2006/relationships/externalLink" Target="externalLinks/externalLink351.xml"/><Relationship Id="rId51" Type="http://schemas.openxmlformats.org/officeDocument/2006/relationships/externalLink" Target="externalLinks/externalLink48.xml"/><Relationship Id="rId72" Type="http://schemas.openxmlformats.org/officeDocument/2006/relationships/externalLink" Target="externalLinks/externalLink69.xml"/><Relationship Id="rId93" Type="http://schemas.openxmlformats.org/officeDocument/2006/relationships/externalLink" Target="externalLinks/externalLink90.xml"/><Relationship Id="rId189" Type="http://schemas.openxmlformats.org/officeDocument/2006/relationships/externalLink" Target="externalLinks/externalLink186.xml"/><Relationship Id="rId3" Type="http://schemas.openxmlformats.org/officeDocument/2006/relationships/worksheet" Target="worksheets/sheet3.xml"/><Relationship Id="rId214" Type="http://schemas.openxmlformats.org/officeDocument/2006/relationships/externalLink" Target="externalLinks/externalLink211.xml"/><Relationship Id="rId235" Type="http://schemas.openxmlformats.org/officeDocument/2006/relationships/externalLink" Target="externalLinks/externalLink232.xml"/><Relationship Id="rId256" Type="http://schemas.openxmlformats.org/officeDocument/2006/relationships/externalLink" Target="externalLinks/externalLink253.xml"/><Relationship Id="rId277" Type="http://schemas.openxmlformats.org/officeDocument/2006/relationships/externalLink" Target="externalLinks/externalLink274.xml"/><Relationship Id="rId298" Type="http://schemas.openxmlformats.org/officeDocument/2006/relationships/externalLink" Target="externalLinks/externalLink295.xml"/><Relationship Id="rId116" Type="http://schemas.openxmlformats.org/officeDocument/2006/relationships/externalLink" Target="externalLinks/externalLink113.xml"/><Relationship Id="rId137" Type="http://schemas.openxmlformats.org/officeDocument/2006/relationships/externalLink" Target="externalLinks/externalLink134.xml"/><Relationship Id="rId158" Type="http://schemas.openxmlformats.org/officeDocument/2006/relationships/externalLink" Target="externalLinks/externalLink155.xml"/><Relationship Id="rId302" Type="http://schemas.openxmlformats.org/officeDocument/2006/relationships/externalLink" Target="externalLinks/externalLink299.xml"/><Relationship Id="rId323" Type="http://schemas.openxmlformats.org/officeDocument/2006/relationships/externalLink" Target="externalLinks/externalLink320.xml"/><Relationship Id="rId344" Type="http://schemas.openxmlformats.org/officeDocument/2006/relationships/externalLink" Target="externalLinks/externalLink341.xml"/><Relationship Id="rId20" Type="http://schemas.openxmlformats.org/officeDocument/2006/relationships/externalLink" Target="externalLinks/externalLink17.xml"/><Relationship Id="rId41" Type="http://schemas.openxmlformats.org/officeDocument/2006/relationships/externalLink" Target="externalLinks/externalLink38.xml"/><Relationship Id="rId62" Type="http://schemas.openxmlformats.org/officeDocument/2006/relationships/externalLink" Target="externalLinks/externalLink59.xml"/><Relationship Id="rId83" Type="http://schemas.openxmlformats.org/officeDocument/2006/relationships/externalLink" Target="externalLinks/externalLink80.xml"/><Relationship Id="rId179" Type="http://schemas.openxmlformats.org/officeDocument/2006/relationships/externalLink" Target="externalLinks/externalLink176.xml"/><Relationship Id="rId365" Type="http://schemas.openxmlformats.org/officeDocument/2006/relationships/externalLink" Target="externalLinks/externalLink362.xml"/><Relationship Id="rId190" Type="http://schemas.openxmlformats.org/officeDocument/2006/relationships/externalLink" Target="externalLinks/externalLink187.xml"/><Relationship Id="rId204" Type="http://schemas.openxmlformats.org/officeDocument/2006/relationships/externalLink" Target="externalLinks/externalLink201.xml"/><Relationship Id="rId225" Type="http://schemas.openxmlformats.org/officeDocument/2006/relationships/externalLink" Target="externalLinks/externalLink222.xml"/><Relationship Id="rId246" Type="http://schemas.openxmlformats.org/officeDocument/2006/relationships/externalLink" Target="externalLinks/externalLink243.xml"/><Relationship Id="rId267" Type="http://schemas.openxmlformats.org/officeDocument/2006/relationships/externalLink" Target="externalLinks/externalLink264.xml"/><Relationship Id="rId288" Type="http://schemas.openxmlformats.org/officeDocument/2006/relationships/externalLink" Target="externalLinks/externalLink285.xml"/><Relationship Id="rId106" Type="http://schemas.openxmlformats.org/officeDocument/2006/relationships/externalLink" Target="externalLinks/externalLink103.xml"/><Relationship Id="rId127" Type="http://schemas.openxmlformats.org/officeDocument/2006/relationships/externalLink" Target="externalLinks/externalLink124.xml"/><Relationship Id="rId313" Type="http://schemas.openxmlformats.org/officeDocument/2006/relationships/externalLink" Target="externalLinks/externalLink3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A$1" lockText="1" noThreeD="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38100</xdr:rowOff>
        </xdr:from>
        <xdr:to>
          <xdr:col>4</xdr:col>
          <xdr:colOff>514350</xdr:colOff>
          <xdr:row>0</xdr:row>
          <xdr:rowOff>295275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Зачитать новые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552450</xdr:colOff>
          <xdr:row>1</xdr:row>
          <xdr:rowOff>247650</xdr:rowOff>
        </xdr:from>
        <xdr:to>
          <xdr:col>10</xdr:col>
          <xdr:colOff>1257300</xdr:colOff>
          <xdr:row>2</xdr:row>
          <xdr:rowOff>314325</xdr:rowOff>
        </xdr:to>
        <xdr:sp macro="" textlink="">
          <xdr:nvSpPr>
            <xdr:cNvPr id="1028" name="Button 4" descr="Отослать на почту"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Отослать на почту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2571750</xdr:colOff>
          <xdr:row>1</xdr:row>
          <xdr:rowOff>238125</xdr:rowOff>
        </xdr:from>
        <xdr:to>
          <xdr:col>10</xdr:col>
          <xdr:colOff>19050</xdr:colOff>
          <xdr:row>3</xdr:row>
          <xdr:rowOff>9525</xdr:rowOff>
        </xdr:to>
        <xdr:sp macro="" textlink="">
          <xdr:nvSpPr>
            <xdr:cNvPr id="1072" name="Button 48" descr="Отослать на почту"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ТКП коммент - YouGile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19050</xdr:rowOff>
        </xdr:from>
        <xdr:to>
          <xdr:col>5</xdr:col>
          <xdr:colOff>1247775</xdr:colOff>
          <xdr:row>0</xdr:row>
          <xdr:rowOff>304800</xdr:rowOff>
        </xdr:to>
        <xdr:sp macro="" textlink="">
          <xdr:nvSpPr>
            <xdr:cNvPr id="1075" name="Button 51" descr="Отослать на почту"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ТКП коммент РП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5295900</xdr:colOff>
          <xdr:row>2</xdr:row>
          <xdr:rowOff>19050</xdr:rowOff>
        </xdr:from>
        <xdr:to>
          <xdr:col>11</xdr:col>
          <xdr:colOff>990600</xdr:colOff>
          <xdr:row>2</xdr:row>
          <xdr:rowOff>314325</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Фильтр тематик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9525</xdr:rowOff>
        </xdr:from>
        <xdr:to>
          <xdr:col>4</xdr:col>
          <xdr:colOff>0</xdr:colOff>
          <xdr:row>2</xdr:row>
          <xdr:rowOff>352425</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Пути к ТКП (весь столбец)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1333500</xdr:colOff>
          <xdr:row>1</xdr:row>
          <xdr:rowOff>228600</xdr:rowOff>
        </xdr:from>
        <xdr:to>
          <xdr:col>10</xdr:col>
          <xdr:colOff>2324100</xdr:colOff>
          <xdr:row>2</xdr:row>
          <xdr:rowOff>314325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Сбор дат (выделение)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142875</xdr:rowOff>
        </xdr:from>
        <xdr:to>
          <xdr:col>4</xdr:col>
          <xdr:colOff>742950</xdr:colOff>
          <xdr:row>2</xdr:row>
          <xdr:rowOff>314325</xdr:rowOff>
        </xdr:to>
        <xdr:sp macro="" textlink="">
          <xdr:nvSpPr>
            <xdr:cNvPr id="1084" name="Check Box 60" descr="vxod"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Tahoma"/>
                  <a:ea typeface="Tahoma"/>
                  <a:cs typeface="Tahoma"/>
                </a:rPr>
                <a:t>Вход. письма</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22</xdr:col>
          <xdr:colOff>1847850</xdr:colOff>
          <xdr:row>0</xdr:row>
          <xdr:rowOff>19050</xdr:rowOff>
        </xdr:from>
        <xdr:to>
          <xdr:col>24</xdr:col>
          <xdr:colOff>104775</xdr:colOff>
          <xdr:row>0</xdr:row>
          <xdr:rowOff>295275</xdr:rowOff>
        </xdr:to>
        <xdr:sp macro="" textlink="">
          <xdr:nvSpPr>
            <xdr:cNvPr id="1085" name="Button 61" descr="Отослать на почту"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Синхронизация</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ERV\MERA\TKP\TKP2025\tkp2025_313_&#1054;&#1050;&#1041;_&#1052;&#1080;&#1082;&#1086;&#1103;&#1085;&#1072;_&#1084;&#1086;&#1076;&#1072;&#1083;&#1100;&#1085;&#1099;&#1081;_&#1072;&#1085;&#1072;&#1083;&#1080;&#1079;_&#1056;&#1057;&#1057;_&#1052;&#1077;&#1083;&#1080;&#1093;&#1086;&#1074;\v01_tkp2025_313_&#1054;&#1050;&#1041;%20&#1052;&#1080;&#1082;&#1086;&#1103;&#1085;&#107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ERV\MERA\TKP\TKP2023\tkp2023_245_&#1053;&#1042;&#1062;_&#1052;&#1080;&#1083;&#1100;_&#1080;_&#1050;&#1072;&#1084;&#1086;&#1074;_&#1089;&#1090;&#1072;&#1090;&#1079;&#1072;&#1083;_&#1069;&#1048;&#1050;_&#1052;&#1077;&#1083;&#1080;&#1093;&#1086;&#1074;\&#1058;&#1050;&#1055;_245_23_&#1089;&#1090;&#1072;&#1090;&#1091;&#108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SERV\MERA\TKP\TKP2023\tkp2023_134_&#1040;&#1092;&#1088;&#1080;&#1082;&#1072;&#1085;&#1090;&#1086;&#1074;_&#1074;&#1080;&#1073;&#1088;&#1086;&#1084;&#1086;&#1085;&#1080;&#1090;&#1086;&#1088;&#1080;&#1085;&#1075;%20&#1085;&#1072;&#1089;&#1086;&#1089;&#1086;&#1074;_&#1052;&#1077;&#1083;&#1080;&#1093;&#1086;&#1074;_&#1056;&#1057;&#1057;\&#1058;&#1050;&#1055;_134_23_&#1089;&#1090;&#1072;&#1090;&#1091;&#1089;.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serv\e\MERA\TKP\TKP2025\tkp2025_171_&#1053;&#1048;&#1048;&#1052;&#1072;&#1096;_&#1040;&#1057;&#1048;&#1080;&#1059;_&#1053;&#1048;&#1050;-101_&#1052;&#1072;&#1088;&#1090;&#1099;&#1085;&#1086;&#1074;\&#1058;&#1050;&#1055;_171_25_&#1089;&#1090;&#1072;&#1090;&#1091;&#1089;.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serv\e\MERA\TKP\TKP2024\tkp2024_468_&#1040;&#1044;&#1052;&#1057;&#1087;&#1077;&#1094;.&#1056;&#1058;_&#1057;&#1048;_&#1076;&#1083;&#1103;_&#1057;&#1058;&#1045;&#1053;&#1044;.&#1082;&#1086;&#1088;&#1087;&#1091;&#1089;_&#1051;&#1050;&#1041;&#1052;_&#1052;&#1077;&#1083;&#1080;&#1093;&#1086;&#1074;\&#1058;&#1050;&#1055;_468_24_&#1089;&#1090;&#1072;&#1090;&#1091;&#108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MERA/TKP/TKP2023/tkp2023_489_&#1050;&#1091;&#1088;&#1095;&#1072;&#1090;&#1086;&#1074;&#1089;&#1082;&#1080;&#1081;%20&#1080;&#1085;&#1089;&#1090;&#1080;&#1090;&#1091;&#1090;_&#1052;&#1057;&#1059;-1_&#1040;&#1057;&#1059;%20%20&#1057;&#1048;&#1053;_&#1040;&#1057;&#1059;%20&#1057;&#1050;&#1054;_&#1052;&#1072;&#1089;&#1083;&#1086;&#1074;&#1072;/&#1058;&#1050;&#1055;_489_23_&#1089;&#1090;&#1072;&#1090;&#1091;&#1089;.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SERV\MERA\TKP\TKP2023\tkp2023_525_&#1055;&#1040;&#1054;%20&#1050;&#1091;&#1079;&#1085;&#1077;&#1094;&#1086;&#1074;_&#1057;&#1080;&#1089;&#1090;&#1077;&#1084;&#1072;%20&#1074;&#1080;&#1073;&#1088;&#1086;&#1082;&#1086;&#1085;&#1090;&#1088;&#1086;&#1083;&#1103;_&#1056;&#1057;&#1057;\&#1058;&#1050;&#1055;_525_23_&#1089;&#1090;&#1072;&#1090;&#1091;&#10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SERV\MERA\TKP\TKP2021\tkp2021_391_&#1058;&#1052;&#1050;_&#1053;&#1058;&#1062;_&#1057;&#1090;&#1077;&#1085;&#1076;_&#1085;&#1072;_&#1091;&#1089;&#1090;&#1072;&#1083;&#1086;&#1089;&#1090;&#1100;_&#1052;&#1072;&#1088;&#1090;&#1099;&#1085;&#1086;&#1074;\&#1058;&#1050;&#1055;_391_21_&#1089;&#1090;&#1072;&#1090;&#1091;&#1089;.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MERA/TKP/TKP2023/tkp2023_048_&#1050;&#1041;&#1061;&#1052;_&#1057;&#1080;&#1089;&#1090;&#1077;&#1084;&#1099;_&#1091;&#1087;&#1088;&#1072;&#1074;&#1083;&#1077;&#1085;&#1080;&#1103;_&#1053;&#1048;&#1054;-9_&#1056;&#1052;6_&#1057;&#1059;_&#1056;&#1057;&#1057;_&#1052;&#1077;&#1083;&#1080;&#1093;&#1086;&#1074;/&#1058;&#1050;&#1055;_048_23_&#1089;&#1090;&#1072;&#1090;&#1091;&#1089;.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MERA/TKP/TKP2023/tkp2023_572_&#1054;&#1044;&#1050;_&#1057;&#1072;&#1090;&#1091;&#1088;&#1085;_&#1040;&#1057;&#1059;&#1058;&#1055;&#1048;_&#1089;&#1090;&#1077;&#1085;&#1076;&#1086;&#1074;_26,27,28_&#1045;&#1078;&#1086;&#1074;&#1072;/&#1058;&#1050;&#1055;_572_23_&#1089;&#1090;&#1072;&#1090;&#1091;&#108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MERA/TKP/TKP2023/tkp2023_002_&#1062;&#1040;&#1043;&#1048;_MIC-553_&#1057;&#1085;&#1099;&#1075;&#1080;&#1085;&#1072;/&#1058;&#1050;&#1055;_002_23_&#1089;&#1090;&#1072;&#1090;&#1091;&#108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fserv\e\MERA\TKP\TKP2024\tkp2024_220_&#1053;&#1055;&#1050;_&#1050;&#1041;&#1052;_&#1057;&#1080;&#1089;&#1090;&#1077;&#1084;&#1072;_&#1085;&#1072;&#1075;&#1088;&#1091;&#1078;&#1077;&#1085;&#1080;&#1103;_&#1045;&#1078;&#1086;&#1074;&#1072;\&#1058;&#1050;&#1055;_220_24_&#1089;&#1090;&#1072;&#1090;&#1091;&#1089;.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SERV\MERA\TKP\TKP2022\tkp2022_412_&#1054;&#1044;&#1050;-&#1057;&#1072;&#1090;&#1091;&#1088;&#1085;_&#1072;&#1074;&#1090;&#1086;&#1084;&#1072;&#1090;&#1080;&#1079;&#1080;&#1088;&#1086;&#1074;&#1072;&#1085;&#1085;&#1072;&#1103;%20&#1087;&#1086;&#1074;&#1077;&#1088;&#1082;&#1072;_&#1057;&#1085;&#1099;&#1075;&#1080;&#1085;&#1072;\&#1058;&#1050;&#1055;_412_22_&#1089;&#1090;&#1072;&#1090;&#1091;&#1089;.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MERA/TKP/TKP2023/tkp2023_481_&#1053;&#1048;&#1048;&#1052;&#1040;&#1064;_&#1040;&#1057;&#1059;&#1080;&#1059;_&#1090;&#1077;&#1093;_&#1087;&#1088;&#1086;&#1094;&#1077;&#1089;&#1089;&#1072;&#1084;&#1080;_&#1052;&#1072;&#1088;&#1090;&#1099;&#1085;&#1086;&#1074;/&#1058;&#1050;&#1055;_481_23_&#1089;&#1090;&#1072;&#1090;&#1091;&#1089;.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SERV\MERA\TKP\TKP2023\tkp2023_080_&#1059;&#1047;&#1043;&#1040;_&#1089;&#1090;&#1077;&#1085;&#1076;_&#1087;&#1088;&#1086;&#1074;&#1077;&#1088;&#1082;&#1080;_&#1085;&#1072;&#1089;&#1086;&#1089;&#1086;&#1074;_&#1057;&#1087;&#1080;&#1088;&#1080;&#1076;&#1086;&#1085;&#1089;&#1082;&#1080;&#1081;\&#1058;&#1050;&#1055;_080_23_&#1089;&#1090;&#1072;&#1090;&#1091;&#1089;.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FSERV\MERA\TKP\TKP2023\tkp2023_133_&#1059;&#1040;&#1055;&#1054;-&#1058;&#1077;&#1093;&#1085;&#1086;&#1076;&#1080;&#1085;&#1072;&#1084;&#1080;&#1082;&#1072;_&#1042;&#1099;&#1089;&#1086;&#1082;&#1086;&#1086;&#1073;&#1086;&#1088;&#1086;&#1090;&#1085;&#1099;&#1081;_&#1087;&#1088;&#1080;&#1074;&#1086;&#1076;_&#1052;&#1077;&#1083;&#1080;&#1093;&#1086;&#1074;\&#1058;&#1050;&#1055;_133_23_&#1089;&#1090;&#1072;&#1090;&#1091;&#1089;.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SERV\MERA\TKP\TKP2023\tkp2023_152_&#1054;&#1044;&#1050;_&#1057;&#1072;&#1083;&#1102;&#1090;_&#1040;&#1076;&#1072;&#1087;&#1090;&#1072;&#1094;&#1080;&#1103;_&#1089;&#1090;&#1077;&#1085;&#1076;&#1072;_&#8470;37_&#1094;&#1077;&#1093;&#1072;&#8470;6_&#1052;&#1077;&#1083;&#1080;&#1093;&#1086;&#1074;\&#1058;&#1050;&#1055;_152_23_&#1089;&#1090;&#1072;&#1090;&#1091;&#1089;.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SERV\MERA\TKP\TKP2023\tkp2023_164_&#1048;&#1057;_&#1059;&#1047;&#1043;&#1040;_&#1045;&#1078;&#1086;&#1074;&#1072;\&#1058;&#1050;&#1055;_164_23_&#1089;&#1090;&#1072;&#1090;&#1091;&#1089;.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FSERV\MERA\TKP\TKP2023\tkp2023_163_&#1051;-&#1089;&#1082;&#1072;&#1076;&#1072;_&#1089;&#1090;&#1077;&#1085;&#1076;&#1099;_10_11_&#1040;&#1048;&#1048;&#1057;+&#1044;&#1080;&#1085;&#1072;&#1084;&#1080;&#1082;&#1072;_&#1057;&#1087;&#1080;&#1088;&#1080;&#1076;&#1086;&#1085;&#1089;&#1082;&#1080;&#1081;\&#1050;&#1086;&#1087;&#1080;&#1103;%20&#1058;&#1050;&#1055;_163_23_&#1089;&#1090;&#1072;&#1090;&#1091;&#1089;_BU.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MERA/TKP/TKP2023/tkp2023_140_&#1054;&#1044;&#1050;_&#1057;&#1072;&#1083;&#1102;&#1090;_MIC-355_&#1057;&#1085;&#1099;&#1075;&#1080;&#1085;&#1072;/&#1058;&#1050;&#1055;_140_23_&#1089;&#1090;&#1072;&#1090;&#1091;&#1089;.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FSERV\MERA\TKP\TKP2022\tkp2022_511_&#1040;&#1074;&#1072;&#1085;&#1075;&#1072;&#1088;&#1076;_&#1057;&#1090;&#1077;&#1085;&#1076;_&#1080;&#1089;&#1087;&#1099;&#1090;&#1072;&#1085;&#1080;&#1103;_&#1082;&#1086;&#1088;&#1087;&#1091;&#1089;&#1086;&#1074;_&#1052;&#1077;&#1083;&#1080;&#1093;&#1086;&#1074;\&#1058;&#1050;&#1055;_511_22_&#1089;&#1090;&#1072;&#1090;&#1091;&#1089;.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MERA/TKP/TKP2023/tkp2023_573_%20&#1062;&#1077;&#1085;&#1090;&#1088;_&#1050;&#1077;&#1083;&#1076;&#1099;&#1096;&#1072;_MIC_&#1045;&#1078;&#1086;&#1074;&#1072;/&#1058;&#1050;&#1055;_573_23_&#1089;&#1090;&#1072;&#1090;&#1091;&#1089;.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FSERV\MERA\TKP\TKP2023\in2023\&#1054;&#1054;&#1054;\401-&#1057;&#1085;&#1099;&#1075;&#1080;&#1085;&#1072;%20(&#1054;&#1054;&#1054;).pdf\&#1058;&#1050;&#1055;_401_&#1054;&#1054;&#1054;_23_&#1089;&#1090;&#1072;&#1090;&#1091;&#1089;.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FSERV\MERA\TKP\TKP2023\tkp2023_177_&#1059;&#1047;&#1043;&#1040;_&#1089;&#1090;&#1077;&#1085;&#1076;_&#1086;&#1073;&#1082;&#1072;&#1090;&#1082;&#1080;_&#1088;&#1077;&#1076;&#1091;&#1082;&#1090;&#1086;&#1088;&#1072;_&#1057;&#1087;&#1080;&#1088;&#1080;&#1076;&#1086;&#1085;&#1089;&#1082;&#1080;&#1081;\&#1058;&#1050;&#1055;_177_23_&#1089;&#1090;&#1072;&#1090;&#1091;&#1089;.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SERV\MERA\TKP\TKP2022\tkp2022_588_&#1043;&#1080;&#1087;&#1088;&#1086;&#1085;&#1080;&#1080;&#1072;&#1074;&#1080;&#1072;&#1087;&#1088;&#1086;&#1084;_&#1062;&#1048;&#1040;&#1052;_3_&#1069;&#1090;&#1072;&#1087;_&#1057;&#1087;&#1080;&#1088;&#1080;&#1076;&#1086;&#1085;&#1089;&#1082;&#1080;&#1081;\&#1057;&#1093;&#1077;&#1084;&#1072;_&#1089;&#1086;&#1077;&#1076;&#1080;&#1085;&#1077;&#1085;&#1080;&#1081;\&#1058;&#1050;&#1055;_588_22_&#1089;&#1090;&#1072;&#1090;&#1091;&#1089;.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FSERV\MERA\TKP\TKP2023\tkp2023_171_&#1057;&#1055;&#1073;&#1043;&#1052;&#1058;&#1059;_MIC_&#1045;&#1078;&#1086;&#1074;&#1072;\&#1058;&#1050;&#1055;_171_23_&#1089;&#1090;&#1072;&#1090;&#1091;&#1089;.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FSERV\MERA\TKP\TKP2023\tkp2023_176_&#1053;&#1055;&#1054;_&#1040;&#1074;&#1090;&#1086;&#1084;&#1072;&#1090;&#1080;&#1082;&#1080;_MIC-700_&#1052;&#1072;&#1088;&#1090;&#1099;&#1085;&#1086;&#1074;\&#1058;&#1050;&#1055;_176_23_&#1089;&#1090;&#1072;&#1090;&#1091;&#1089;.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FSERV\MERA\TKP\TKP2023\tkp2023_175_&#1053;&#1055;&#1054;_&#1040;&#1074;&#1090;&#1086;&#1084;&#1072;&#1090;&#1080;&#1082;&#1080;_&#1050;&#1057;&#1058;-2_&#1052;&#1072;&#1088;&#1090;&#1099;&#1085;&#1086;&#1074;\&#1058;&#1050;&#1055;_175_23_&#1089;&#1090;&#1072;&#1090;&#1091;&#1089;.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FSERV\MERA\TKP\TKP2023\tkp2023_187_&#1040;&#1058;&#1052;-&#1043;&#1080;&#1076;&#1088;&#1072;&#1074;&#1083;&#1080;&#1082;_MIC-185_236_&#1057;&#1085;&#1099;&#1075;&#1080;&#1085;&#1072;\&#1058;&#1050;&#1055;_187_23_&#1089;&#1090;&#1072;&#1090;&#1091;&#1089;.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SERV\MERA\TKP\TKP2023\tkp2023_189_&#1059;&#1047;&#1043;&#1040;_&#1089;&#1090;&#1077;&#1085;&#1076;_&#1087;&#1088;&#1077;&#1076;&#1084;&#1086;&#1085;&#1090;&#1072;&#1078;&#1085;&#1086;&#1081;_&#1085;&#1072;&#1083;&#1072;&#1076;&#1082;&#1080;_&#1057;&#1087;&#1080;&#1088;&#1080;&#1076;&#1086;&#1085;&#1089;&#1082;&#1080;&#1081;\&#1058;&#1050;&#1055;_189_23_&#1089;&#1090;&#1072;&#1090;&#1091;&#1089;.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FSERV\MERA\TKP\TKP2023\tkp2023_231_&#1041;&#1048;&#1057;-&#1056;&#1059;&#1057;_&#1048;&#1079;&#1084;&#1077;&#1088;&#1080;&#1090;&#1077;&#1083;&#1100;_&#1074;&#1080;&#1073;&#1088;&#1072;&#1094;&#1080;&#1080;_&#1076;&#1083;&#1103;_&#1101;&#1083;&#1082;&#1090;&#1088;&#1086;&#1082;&#1086;&#1084;&#1087;&#1088;&#1077;&#1089;&#1089;&#1086;&#1088;&#1072;_&#1040;&#1053;&#1061;&#1050;_&#1052;&#1077;&#1083;&#1080;&#1093;&#1086;&#1074;\&#1058;&#1050;&#1055;_231_23_&#1089;&#1090;&#1072;&#1090;&#1091;&#1089;.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FSERV\MERA\TKP\TKP2023\tkp2023_226_&#1040;&#1085;&#1072;&#1083;&#1086;&#1075;&#1080;_NI_&#1090;&#1077;&#1085;&#1079;&#1086;&#1080;&#1079;&#1084;&#1077;&#1088;&#1077;&#1085;&#1080;&#1103;_&#1052;&#1077;&#1083;&#1080;&#1093;&#1086;&#1074;\&#1058;&#1050;&#1055;_226_23_&#1089;&#1090;&#1072;&#1090;&#1091;&#1089;.xlsm"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MERA/TKP/TKP2023/tkp2023_439_&#1057;&#1080;&#1083;&#1086;&#1074;&#1099;&#1077;_&#1084;&#1072;&#1096;&#1080;&#1085;&#1099;_&#1057;&#1048;_&#1080;&#1089;&#1087;&#1099;&#1090;&#1072;&#1085;&#1080;&#1103;_&#1087;&#1072;&#1090;&#1088;&#1091;&#1073;&#1082;&#1086;&#1074;_&#1045;&#1078;&#1086;&#1074;&#1072;/&#1058;&#1050;&#1055;_439_23_&#1089;&#1090;&#1072;&#1090;&#1091;&#1089;.xlsm"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MERA/TKP/TKP2023/tkp2023_231_&#1041;&#1048;&#1057;-&#1056;&#1059;&#1057;_&#1048;&#1079;&#1084;&#1077;&#1088;&#1080;&#1090;&#1077;&#1083;&#1100;_&#1074;&#1080;&#1073;&#1088;&#1072;&#1094;&#1080;&#1080;_&#1076;&#1083;&#1103;_&#1101;&#1083;&#1077;&#1082;&#1090;&#1088;&#1086;&#1082;&#1086;&#1084;&#1087;&#1088;&#1077;&#1089;&#1089;&#1086;&#1088;&#1072;_&#1040;&#1053;&#1061;&#1050;_&#1052;&#1077;&#1083;&#1080;&#1093;&#1086;&#1074;/&#1058;&#1050;&#1055;_231_23_&#1089;&#1090;&#1072;&#1090;&#1091;&#1089;.xlsm"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MERA/TKP/TKP2023/tkp2023_422_Kingsly_MIC-553_&#1045;&#1078;&#1086;&#1074;&#1072;/&#1058;&#1050;&#1055;_422_23_&#1089;&#1090;&#1072;&#1090;&#1091;&#1089;.xlsm"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FSERV\MERA\TKP\TKP2023\tkp2023_205_&#1062;&#1048;&#1040;&#1052;_MIC-170_&#1062;-3_&#1045;&#1078;&#1086;&#1074;&#1072;\&#1058;&#1050;&#1055;_205_23_&#1089;&#1090;&#1072;&#1090;&#1091;&#1089;.xlsm"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FSERV\MERA\TKP\TKP2023\tkp2023_244_&#1040;&#1083;&#1100;&#1074;&#1077;&#1082;&#1089;_MIC-335&#1052;_&#1045;&#1078;&#1086;&#1074;&#1072;\&#1058;&#1050;&#1055;_244_23_&#1089;&#1090;&#1072;&#1090;&#1091;&#1089;.xlsm"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fserv\e\MERA\TKP\TKP2024\tkp2024_002_&#1058;&#1074;&#1077;&#1088;&#1100;&#1050;&#1072;&#1085;&#1072;&#1090;&#1044;&#1086;&#1088;_&#1080;&#1089;&#1087;&#1099;&#1090;&#1072;&#1085;&#1080;&#1103;_&#1052;&#1072;&#1089;&#1083;&#1086;&#1074;&#1072;\&#1058;&#1050;&#1055;_002_24_&#1089;&#1090;&#1072;&#1090;&#1091;&#1089;.xlsm"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FSERV\MERA\TKP\TKP2023\tkp2023_253_&#1053;&#1048;&#1062;_&#1056;&#1050;&#1055;_&#1050;&#1088;&#1072;&#1089;&#1084;&#1072;&#1096;_&#1050;&#1048;&#1042;&#1048;&#1048;&#1057;-2_&#1057;&#1085;&#1099;&#1075;&#1080;&#1085;&#1072;\&#1058;&#1050;&#1055;_253_23_&#1089;&#1090;&#1072;&#1090;&#1091;&#1089;.xlsm"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FSERV\MERA\TKP\TKP2023\tkp2023_284_&#1050;&#1088;&#1099;&#1083;&#1086;&#1074;&#1089;&#1082;&#1080;&#1081;_&#1043;&#1053;&#1062;_MIC-026_MIC-355_&#1057;&#1085;&#1099;&#1075;&#1080;&#1085;&#1072;\&#1057;&#1093;&#1077;&#1084;&#1072;%20&#1089;&#1086;&#1077;&#1076;&#1080;&#1085;&#1077;&#1085;&#1080;&#1081;\&#1058;&#1050;&#1055;_284_23_&#1089;&#1090;&#1072;&#1090;&#1091;&#1089;.xlsm"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MERA/TKP/TKP2023/tkp2023_460_&#1054;&#1056;&#1043;&#1056;&#1069;&#1057;_&#1057;&#1090;&#1072;&#1090;&#1079;&#1072;&#1083;_&#1056;&#1057;&#1057;/&#1058;&#1050;&#1055;_460_23_&#1089;&#1090;&#1072;&#1090;&#1091;&#1089;.xlsm"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FSERV\MERA\TKP\TKP2023\tkp2023_293_&#1056;&#1069;&#1055;&#1061;_&#1058;&#1077;&#1085;&#1079;&#1086;&#1089;&#1090;&#1072;&#1085;&#1094;&#1080;&#1103;_(MIC-355M+4&#1093;MX-340)_&#1052;&#1077;&#1083;&#1080;&#1093;&#1086;&#1074;\&#1058;&#1050;&#1055;_293_23_&#1089;&#1090;&#1072;&#1090;&#1091;&#1089;.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FSERV\MERA\TKP\TKP2022\tkp2022_154_&#1059;&#1052;&#1055;&#1054;_&#1059;&#1092;&#1072;_&#1056;&#1072;&#1079;&#1088;&#1072;&#1073;&#1086;&#1090;&#1082;&#1072;_&#1082;&#1086;&#1085;&#1094;&#1077;&#1087;&#1090;&#1091;&#1072;&#1083;&#1100;&#1085;&#1086;&#1075;&#1086;_&#1087;&#1088;&#1086;&#1077;&#1082;&#1090;&#1072;_&#1057;&#1085;&#1099;&#1075;&#1080;&#1085;&#1072;\&#1058;&#1050;&#1055;_154_22_&#1089;&#1090;&#1072;&#1090;&#1091;&#1089;.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FSERV\MERA\TKP\TKP2023\tkp2023_246_&#1054;&#1044;&#1050;_&#1057;&#1072;&#1090;&#1091;&#1088;&#1085;_MIC-026_&#1057;&#1085;&#1099;&#1075;&#1080;&#1085;&#1072;\&#1058;&#1050;&#1055;_246_23_&#1089;&#1090;&#1072;&#1090;&#1091;&#1089;.xlsm"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MERA/TKP/TKP2023/tkp2023_331_&#1043;&#1050;_&#1056;&#1086;&#1089;&#1082;&#1086;&#1089;&#1084;&#1086;&#1089;_&#1057;&#1080;&#1103;&#1085;&#1080;&#1077;-&#1054;&#1048;_&#1045;&#1078;&#1086;&#1074;&#1072;/&#1058;&#1050;&#1055;_331_23_&#1089;&#1090;&#1072;&#1090;&#1091;&#1089;.xlsm"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MERA/TKP/TKP2023/tkp2023_362_&#1054;&#1044;&#1050;_&#1050;&#1083;&#1080;&#1084;&#1086;&#1074;_&#1069;&#1044;&#1057;&#1059;_&#1056;&#1059;&#1044;_&#1045;&#1078;&#1086;&#1074;&#1072;/&#1058;&#1050;&#1055;_362_23_&#1089;&#1090;&#1072;&#1090;&#1091;&#1089;.xlsm"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MERA/TKP/TKP2023/tkp2023_342_&#1050;&#1088;&#1072;&#1089;&#1084;&#1072;&#1096;_&#1057;&#1048;&#1059;_&#1045;&#1078;&#1086;&#1074;&#1072;/&#1058;&#1050;&#1055;_342_23_&#1089;&#1090;&#1072;&#1090;&#1091;&#1089;.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MERA/TKP/TKP2023/tkp2023_358_&#1058;&#1056;&#1040;&#1050;&#1057;_&#1072;&#1074;&#1090;&#1086;&#1084;&#1072;&#1090;&#1080;&#1079;&#1072;&#1094;&#1080;&#1103;_&#1089;&#1090;&#1077;&#1085;&#1076;&#1072;_&#1072;&#1101;&#1088;&#1086;&#1076;&#1080;&#1085;.&#1080;&#1089;&#1087;&#1099;&#1090;&#1072;&#1085;&#1080;&#1081;_&#1074;&#1077;&#1085;&#1090;&#1080;&#1083;&#1103;&#1090;&#1086;&#1088;&#1086;&#1074;_&#1045;&#1078;&#1086;&#1074;&#1072;/&#1058;&#1050;&#1055;_358_23_&#1089;&#1090;&#1072;&#1090;&#1091;&#1089;.xlsm"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FSERV\MERA\TKP\TKP2022\tkp2022_591_&#1057;&#1080;&#1083;&#1086;&#1074;&#1099;&#1077;_&#1084;&#1072;&#1096;&#1080;&#1085;&#1099;_MIC-1150_&#1052;&#1077;&#1083;&#1080;&#1093;&#1086;&#1074;\&#1058;&#1050;&#1055;_591_22_&#1089;&#1090;&#1072;&#1090;&#1091;&#1089;.xlsm"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FSERV\MERA\TKP\TKP2023\tkp2023_486_&#1043;&#1072;&#1079;&#1087;&#1088;&#1086;&#1084;_&#1076;&#1080;&#1072;&#1075;&#1085;&#1086;&#1089;&#1090;&#1080;&#1082;&#1072;_MIC-200_&#1089;_&#1048;&#1042;&#1047;_&#1074;_&#1082;&#1077;&#1081;&#1089;&#1077;_&#1052;&#1077;&#1083;&#1080;&#1093;&#1086;&#1074;\&#1058;&#1050;&#1055;_486_23_&#1089;&#1090;&#1072;&#1090;&#1091;&#1089;.xlsm"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FSERV\MERA\TKP\TKP2023\tkp2023_432_&#1043;&#1050;&#1053;&#1055;&#1062;%20&#1061;&#1088;&#1091;&#1085;&#1080;&#1095;&#1077;&#1074;&#1072;_&#1057;&#1080;&#1089;&#1090;&#1077;&#1084;&#1072;_&#1080;&#1079;&#1084;&#1077;&#1088;&#1077;&#1085;&#1080;&#1103;_&#1052;&#1072;&#1088;&#1090;&#1099;&#1085;&#1086;&#1074;\&#1058;&#1050;&#1055;_432_23_&#1089;&#1090;&#1072;&#1090;&#1091;&#1089;.xlsm"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MERA/TKP/TKP2023/tkp2023_386_&#1054;&#1053;&#1055;&#1055;_&#1058;&#1077;&#1093;&#1085;&#1086;&#1083;&#1086;&#1075;&#1080;&#1103;_&#1087;&#1088;&#1080;&#1074;&#1086;&#1076;&#1099;_&#1101;&#1083;&#1077;&#1082;&#1090;&#1088;&#1086;&#1096;&#1082;&#1072;&#1092;&#1099;_&#1052;&#1072;&#1089;&#1083;&#1086;&#1074;&#1072;/&#1058;&#1050;&#1055;_386_23_&#1089;&#1090;&#1072;&#1090;&#1091;&#1089;.xlsm"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SERV\MERA\TKP\TKP2023\&#1058;&#1050;&#1055;_410_23_&#1089;&#1090;&#1072;&#1090;&#1091;&#1089;.xlsm"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MERA/TKP/TKP2023/tkp2023_400_&#1053;&#1048;&#1062;_&#1054;&#1088;&#1077;&#1083;_MIC-170_&#1052;&#1072;&#1089;&#1083;&#1086;&#1074;&#1072;/&#1058;&#1050;&#1055;_400_23_&#1089;&#1090;&#1072;&#1090;&#1091;&#1089;.xlsm"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MERA/TKP/TKP2023/tkp2023_421_&#1053;&#1048;&#1062;_&#1056;&#1050;&#1055;_&#1050;&#1048;&#1042;&#1048;&#1048;&#1057;_&#1052;&#1072;&#1089;&#1083;&#1086;&#1074;&#1072;/&#1058;&#1050;&#1055;_421_23_&#1089;&#1090;&#1072;&#1090;&#1091;&#1089;.xlsm"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MERA/TKP/TKP2023/tkp2023_434_&#1052;&#1058;&#1047;_&#1057;&#1090;&#1077;&#1085;&#1076;_&#1080;&#1089;&#1087;&#1099;&#1090;&#1072;&#1085;&#1080;&#1103;_&#1082;&#1072;&#1073;&#1080;&#1085;_&#1052;&#1077;&#1083;&#1080;&#1093;&#1086;&#1074;/&#1058;&#1050;&#1055;_434_23_&#1089;&#1090;&#1072;&#1090;&#1091;&#1089;.xlsm"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MERA/TKP/TKP2023/tkp2023_418_&#1052;&#1080;&#1083;&#1100;_&#1080;_&#1050;&#1072;&#1084;&#1086;&#1074;_&#1057;&#1090;&#1077;&#1085;&#1076;_&#1080;&#1089;&#1087;&#1099;&#1090;&#1072;&#1085;&#1080;&#1103;_&#1088;&#1077;&#1076;&#1091;&#1082;&#1090;&#1086;&#1088;&#1086;&#1074;_&#1050;&#1072;-62_&#1052;&#1077;&#1083;&#1080;&#1093;&#1086;&#1074;/&#1058;&#1050;&#1055;_418_23_&#1089;&#1090;&#1072;&#1090;&#1091;&#1089;.xlsm"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MERA/TKP/TKP2023/tkp2023_423_&#1050;&#1088;&#1072;&#1089;&#1052;&#1072;&#1096;_MIC-200_&#1052;&#1077;&#1083;&#1080;&#1093;&#1086;&#1074;/&#1058;&#1050;&#1055;_423_23_&#1089;&#1090;&#1072;&#1090;&#1091;&#1089;.xlsm"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MERA/TKP/TKP2023/tkp2023_509_&#1057;&#1080;&#1083;&#1086;&#1074;&#1099;&#1077;_&#1084;&#1072;&#1096;&#1080;&#1085;&#1099;_(&#1051;&#1052;&#1047;)_&#1042;&#1080;&#1073;&#1088;&#1086;&#1084;&#1077;&#1090;&#1088;+&#1055;&#1054;_&#1052;&#1077;&#1083;&#1080;&#1093;&#1086;&#1074;/&#1058;&#1050;&#1055;_509_23_&#1089;&#1090;&#1072;&#1090;&#1091;&#1089;.xlsm"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MERA/TKP/TKP2023/tkp2023_515_&#1043;&#1088;&#1091;&#1087;&#1087;&#1072;%20&#1040;&#1081;-&#1069;&#1084;-&#1057;&#1080;_&#1090;&#1077;&#1085;&#1079;&#1086;&#1084;&#1077;&#1090;&#1088;&#1080;&#1095;&#1077;&#1089;&#1082;&#1072;&#1103;_&#1089;&#1090;&#1072;&#1085;&#1094;&#1080;&#1103;_&#1045;&#1078;&#1086;&#1074;&#1072;/&#1058;&#1050;&#1055;_515_23_&#1089;&#1090;&#1072;&#1090;&#1091;&#1089;.xlsm"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MERA/TKP/TKP2023/tkp2023_517_&#1062;&#1040;&#1043;&#1048;_MIC-PXI_&#1045;&#1078;&#1086;&#1074;&#1072;/&#1058;&#1050;&#1055;_517_23_&#1089;&#1090;&#1072;&#1090;&#1091;&#1089;.xlsm"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MERA/TKP/TKP2023/tkp2023_440_&#1043;&#1050;&#1053;&#1055;&#1062;_&#1061;&#1088;&#1091;&#1085;&#1080;&#1095;&#1077;&#1074;&#1072;_&#1057;&#1080;&#1089;&#1090;&#1077;&#1084;&#1072;_&#1090;&#1077;&#1085;&#1079;&#1086;&#1080;&#1079;&#1084;&#1077;&#1088;&#1077;&#1085;&#1080;&#1081;_&#1052;&#1072;&#1088;&#1090;&#1099;&#1085;&#1086;&#1074;/&#1058;&#1050;&#1055;_440_23_&#1089;&#1090;&#1072;&#1090;&#1091;&#1089;.xlsm"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MERA/TKP/TKP2023/tkp2023_326_&#1054;&#1044;&#1050;_&#1050;&#1091;&#1079;&#1085;&#1077;&#1094;&#1086;&#1074;_&#1057;&#1080;&#1089;&#1090;&#1077;&#1084;&#1072;_&#1074;&#1080;&#1073;&#1088;&#1086;&#1082;&#1086;&#1085;&#1090;&#1088;&#1086;&#1083;&#1103;_&#1052;&#1077;&#1083;&#1080;&#1093;&#1086;&#1074;/&#1058;&#1050;&#1055;_326_23_&#1089;&#1090;&#1072;&#1090;&#1091;&#1089;.xlsm"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MERA/TKP/TKP2023/tkp2023_492_&#1050;&#1088;&#1086;&#1085;&#1096;&#1090;&#1072;&#1076;&#1090;_&#1089;&#1090;&#1077;&#1085;&#1076;&#1086;&#1074;&#1072;&#1103;_&#1048;&#1057;_&#1045;&#1078;&#1086;&#1074;&#1072;/&#1058;&#1050;&#1055;_492_23_&#1089;&#1090;&#1072;&#1090;&#1091;&#1089;.xlsm"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FSERV\MERA\TKP\TKP2022\tkp2022_406_&#1055;&#1088;&#1086;&#1075;&#1088;&#1077;&#1089;&#1089;_HBM_Catman_&#1057;&#1085;&#1099;&#1075;&#1080;&#1085;&#1072;_&#1056;&#1057;&#1057;\&#1058;&#1050;&#1055;_406_22_&#1089;&#1090;&#1072;&#1090;&#1091;&#1089;.xlsm"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MERA/TKP/TKP2023/tkp2023_571_&#1061;&#1088;&#1091;&#1085;&#1080;&#1095;&#1077;&#1074;&#1072;%20&#1056;&#1072;&#1082;&#1077;&#1090;&#1085;&#1086;-&#1082;&#1086;&#1089;&#1084;&#1080;&#1095;&#1077;&#1089;&#1082;&#1080;&#1081;%20&#1047;&#1072;&#1074;&#1086;&#1076;_&#1048;&#1052;%20&#1096;&#1072;&#1075;&#1086;&#1074;&#1086;&#1075;&#1086;%20&#1076;&#1074;&#1080;&#1075;&#1072;&#1090;&#1077;&#1083;&#1103;_&#1056;&#1057;&#1057;/&#1058;&#1050;&#1055;_571_23_&#1089;&#1090;&#1072;&#1090;&#1091;&#1089;.xlsm"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MERA/TKP/TKP2023/tkp2023_154_&#1043;&#1072;&#1079;&#1087;&#1088;&#1086;&#1084;_&#1076;&#1086;&#1073;&#1099;&#1095;&#1072;_&#1048;&#1088;&#1082;&#1091;&#1090;&#1089;&#1082;_MIC-355_&#1052;&#1077;&#1083;&#1080;&#1093;&#1086;&#1074;/&#1058;&#1050;&#1055;_154_23_&#1089;&#1090;&#1072;&#1090;&#1091;&#1089;.xlsm"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FSERV\MERA\TKP\TKP2023\tkp2023_239_&#1059;&#1052;&#1055;&#1054;_&#1088;&#1072;&#1073;&#1086;&#1090;&#1099;_&#1057;&#1085;&#1099;&#1075;&#1080;&#1085;&#1072;\&#1058;&#1050;&#1055;_239_23_&#1089;&#1090;&#1072;&#1090;&#1091;&#1089;.xlsm"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MERA/TKP/TKP2023/tkp2023_416_&#1054;&#1044;&#1050;_&#1048;&#1085;&#1078;&#1080;&#1085;&#1080;&#1088;&#1080;&#1085;&#1075;_MIC-026_036_&#1052;&#1072;&#1089;&#1083;&#1086;&#1074;&#1072;/&#1058;&#1050;&#1055;_416_23_&#1089;&#1090;&#1072;&#1090;&#1091;&#1089;.xlsm"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MERA/TKP/TKP2023/tkp2023_498_&#1051;&#1052;&#1047;_MIC-356_1150_&#1052;&#1072;&#1089;&#1083;&#1086;&#1074;&#1072;/&#1058;&#1050;&#1055;_498_23_&#1089;&#1090;&#1072;&#1090;&#1091;&#1089;.xlsm"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MERA/TKP/TKP2023/tkp2023_555_&#1053;&#1048;&#1050;&#1048;&#1069;&#1058;_MIC553_&#1056;&#1057;&#1057;/&#1058;&#1050;&#1055;_555_23_&#1089;&#1090;&#1072;&#1090;&#1091;&#1089;.xlsm"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MERA/TKP/TKP2023/tkp2023_581_&#1050;&#1041;&#1061;&#1040;_&#1056;&#1057;&#1057;_&#1052;&#1077;&#1083;&#1080;&#1093;&#1086;&#1074;/&#1058;&#1050;&#1055;_581_23_&#1089;&#1090;&#1072;&#1090;&#1091;&#1089;.xlsm"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MERA/TKP/TKP2023/tkp2023_450_&#1053;&#1048;&#1048;&#1055;&#1052;_MIC-236_&#1045;&#1078;&#1086;&#1074;&#1072;/&#1058;&#1050;&#1055;_331_25_&#1089;&#1090;&#1072;&#1090;&#1091;&#1089;.xlsm"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MERA/TKP/TKP2023/tkp2023_497_&#1051;&#1052;&#1047;_MIC-355_&#1052;&#1072;&#1089;&#1083;&#1086;&#1074;&#1072;/&#1058;&#1050;&#1055;_497_23_&#1089;&#1090;&#1072;&#1090;&#1091;&#1089;.xlsm"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1058;&#1050;&#1055;%20&#1087;&#1088;&#1086;&#1088;&#1072;&#1073;&#1086;&#1090;&#1082;&#1072;/2022/08_&#1054;&#1044;&#1050;%20&#1057;&#1090;&#1072;&#1088;%20&#1062;&#1080;&#1092;&#1088;%20&#1076;&#1074;&#1086;&#1081;&#1085;&#1080;&#1082;/&#1058;&#1050;&#1055;_08_22_&#1089;&#1090;&#1072;&#1090;&#1091;&#1089;.xlsm"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fserv\e\MERA\TKP\TKP2024\tkp2024_026_&#1054;&#1054;&#1054;%20&#1058;&#1077;&#1093;&#1085;&#1086;&#1083;&#1086;&#1075;&#1080;&#1103;_&#1052;&#1072;&#1089;&#1083;&#1086;&#1074;&#1072;\&#1058;&#1050;&#1055;_026_24_&#1089;&#1090;&#1072;&#1090;&#1091;&#1089;.xlsm"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fserv\e\MERA\TKP\TKP2024\tkp2024_312_&#1058;&#1088;&#1072;&#1085;&#1089;&#1053;&#1077;&#1092;&#1090;&#1100;_MIC-236_&#1052;&#1077;&#1083;&#1080;&#1093;&#1086;&#1074;\&#1058;&#1050;&#1055;_312_24_&#1089;&#1090;&#1072;&#1090;&#1091;&#1089;.xlsm"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FSERV\MERA\TKP\TKP2024\tkp2024_022_Kingsly_MIC-355M_&#1045;&#1078;&#1086;&#1074;&#1072;\&#1058;&#1050;&#1055;_022_24_&#1089;&#1090;&#1072;&#1090;&#1091;&#1089;.xlsm"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FSERV\MERA\TKP\TKP2024\tkp2024_025_Kingsly_MIC-1150_Rocket_Fire_test_&#1045;&#1078;&#1086;&#1074;&#1072;\&#1058;&#1050;&#1055;_025_24_&#1089;&#1090;&#1072;&#1090;&#1091;&#1089;.xlsm"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fserv\e\MERA\TKP\TKP2024\tkp2024_055_&#1059;&#1043;&#1040;&#1058;&#1059;_&#1087;&#1086;&#1088;&#1096;&#1085;&#1077;&#1074;&#1099;&#1077;%20&#1076;&#1074;&#1080;&#1075;&#1072;&#1090;&#1077;&#1083;&#1080;_&#1056;&#1057;&#1057;\&#1058;&#1050;&#1055;_055_24_&#1089;&#1090;&#1072;&#1090;&#1091;&#1089;.xlsm"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MERA/TKP/TKP2024/tkp2024_046_&#1050;&#1041;&#1061;M_MIC-236_MIC-553_&#1045;&#1078;&#1086;&#1074;&#1072;/&#1058;&#1050;&#1055;_046_24_&#1089;&#1090;&#1072;&#1090;&#1091;&#1089;.xlsm"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fserv\e\MERA\TKP\TKP2024\tkp2024_048_&#1050;&#1041;&#1061;&#1052;_&#1057;&#1048;&#1057;_&#1045;&#1078;&#1086;&#1074;&#1072;\&#1058;&#1050;&#1055;_048_24_&#1089;&#1090;&#1072;&#1090;&#1091;&#1089;.xlsm"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fserv\e\MERA\TKP\TKP2024\tkp2024_047_&#1050;&#1041;&#1061;&#1052;_&#1091;&#1090;&#1074;.&#1090;&#1080;&#1087;&#1072;&#1057;&#1048;_&#1082;&#1086;&#1088;&#1087;&#1091;&#1089;302_&#1045;&#1078;&#1086;&#1074;&#1072;\&#1058;&#1050;&#1055;_047_24_&#1089;&#1090;&#1072;&#1090;&#1091;&#1089;.xlsm"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FSERV\MERA\TKP\TKP2022\tkp2022_056_&#1043;&#1040;&#1055;_&#1089;&#1086;&#1102;&#1079;_&#1040;&#1057;&#1059;&#1058;&#1055;_&#1051;&#1042;&#1044;_&#1057;&#1087;&#1080;&#1088;&#1080;&#1076;&#1086;&#1085;&#1089;&#1082;&#1080;&#1081;_&#1056;&#1057;&#1057;\&#1058;&#1050;&#1055;_056_22_&#1089;&#1090;&#1072;&#1090;&#1091;&#1089;.xlsm"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fserv\e\MERA\TKP\TKP2024\tkp2024_033_&#1062;&#1048;&#1040;&#1052;_&#1058;&#1058;_&#1085;&#1072;_&#1040;&#1048;&#1048;&#1057;_&#1052;&#1072;&#1089;&#1083;&#1086;&#1074;&#1072;\&#1058;&#1050;&#1055;_033_24_&#1089;&#1090;&#1072;&#1090;&#1091;&#1089;.xlsm"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FSERV\MERA\TKP\TKP2024\tkp2024_059_&#1054;&#1044;&#1050;_&#1057;&#1072;&#1090;&#1091;&#1088;&#1085;_&#1076;&#1080;&#1085;&#1072;&#1084;&#1080;&#1082;&#1072;_&#1089;&#1090;&#1077;&#1085;&#1076;&#1099;%20&#8470;3,4_&#1045;&#1078;&#1086;&#1074;&#1072;\&#1058;&#1050;&#1055;_059_24_&#1089;&#1090;&#1072;&#1090;&#1091;&#1089;.xlsm"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fserv\e\MERA\TKP\TKP2024\tkp2024_058_&#1057;&#1080;&#1083;&#1086;&#1074;&#1099;&#1077;_&#1084;&#1072;&#1096;&#1080;&#1085;&#1099;_MIC-1200_&#1073;&#1083;&#1086;&#1082;3,4_&#1051;&#1040;&#1069;&#1057;-2_&#1045;&#1078;&#1086;&#1074;&#1072;\&#1058;&#1050;&#1055;_058_24_&#1089;&#1090;&#1072;&#1090;&#1091;&#1089;.xlsm"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fserv\e\MERA\TKP\TKP2024\tkp2024_068_&#1054;&#1044;&#1050;%20&#1059;&#1052;&#1055;&#1054;_&#1040;&#1055;&#1044;%20&#1080;&#1089;&#1087;&#1099;&#1090;&#1072;&#1085;&#1080;&#1103;%20&#1087;&#1086;&#1088;&#1096;&#1085;&#1077;&#1074;&#1099;&#1093;%20&#1076;&#1074;&#1080;&#1075;&#1072;&#1090;&#1077;&#1083;&#1077;&#1081;_&#1052;&#1072;&#1089;&#1083;&#1086;&#1074;&#1072;\&#1058;&#1050;&#1055;_068_24_&#1089;&#1090;&#1072;&#1090;&#1091;&#1089;.xlsm"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fserv\e\MERA\TKP\TKP2024\tkp2024_081_&#1047;&#1072;&#1074;&#1086;&#1076;_&#1042;&#1077;&#1085;&#1090;&#1080;&#1083;&#1103;&#1090;&#1086;&#1088;_&#1048;&#1042;&#1050;_&#1056;&#1057;&#1057;_&#1045;&#1078;&#1086;&#1074;&#1072;\&#1058;&#1050;&#1055;_081_24_&#1089;&#1090;&#1072;&#1090;&#1091;&#1089;.xlsm"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fserv\e\MERA\TKP\TKP2024\tkp2024_075_&#1052;&#1080;&#1083;&#1100;%20&#1080;%20&#1050;&#1072;&#1084;&#1086;&#1074;%20&#1057;&#1048;&#1059;%20&#1052;&#1048;-8_&#1056;&#1057;&#1057;_\&#1058;&#1050;&#1055;_075_24_&#1089;&#1090;&#1072;&#1090;&#1091;&#1089;.xlsm"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fserv\e\MERA\TKP\TKP2024\tkp2024_109_&#1054;&#1044;&#1050;%20&#1059;&#1052;&#1055;&#1054;_&#1080;&#1089;&#1087;&#1099;&#1090;&#1072;&#1085;&#1080;&#1103;%20&#1087;&#1086;&#1088;&#1096;&#1085;&#1077;&#1074;&#1099;&#1093;%20&#1076;&#1074;&#1080;&#1075;&#1072;&#1090;&#1077;&#1083;&#1077;&#1081;_&#1041;&#1091;&#1088;&#1103;&#1082;\&#1058;&#1050;&#1055;_109_24_&#1089;&#1090;&#1072;&#1090;&#1091;&#1089;.xlsm"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FSERV\MERA\TKP\TKP2022\tkp2022_194_&#1050;&#1088;&#1086;&#1085;&#1096;&#1090;&#1072;&#1076;&#1090;_&#1058;&#1054;_&#1074;&#1080;&#1085;&#1090;&#1086;&#1074;&#1099;&#1077;%20&#1089;&#1090;&#1077;&#1085;&#1076;&#1099;_&#1045;&#1078;&#1086;&#1074;&#1072;\&#1058;&#1050;&#1055;_194_22_&#1089;&#1090;&#1072;&#1090;&#1091;&#1089;.xlsm"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fserv\e\MERA\TKP\TKP2024\tkp2024_125_&#1050;&#1058;&#1056;&#1042;_MIC-224_&#1052;&#1072;&#1089;&#1083;&#1086;&#1074;&#1072;\&#1058;&#1050;&#1055;_125_24_&#1089;&#1090;&#1072;&#1090;&#1091;&#1089;.xlsm"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fserv\e\MERA\TKP\TKP2024\tkp2024_051_&#1062;&#1048;&#1040;&#1052;_&#1087;&#1083;&#1072;&#1075;&#1080;&#1085;_&#1076;&#1083;&#1103;_&#1089;&#1082;&#1072;&#1085;&#1077;&#1088;&#1086;&#1074;_&#1052;&#1072;&#1089;&#1083;&#1086;&#1074;&#1072;\&#1058;&#1050;&#1055;_051_24_&#1089;&#1090;&#1072;&#1090;&#1091;&#1089;.xlsm"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FSERV\MERA\TKP\TKP2024\tkp2024_134_&#1062;&#1048;&#1040;&#1052;_&#1090;&#1077;&#1085;&#1079;&#1086;&#1089;&#1090;&#1072;&#1085;&#1094;&#1080;&#1103;_&#1052;&#1072;&#1089;&#1083;&#1086;&#1074;&#1072;\&#1058;&#1050;&#1055;_134_24_&#1089;&#1090;&#1072;&#1090;&#1091;&#1089;.xlsm"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fserv\e\MERA\TKP\TKP2024\tkp2024_147_&#1062;&#1048;&#1040;&#1052;_&#1043;&#1058;&#1059;_&#1052;&#1072;&#1089;&#1083;&#1086;&#1074;&#1072;\&#1058;&#1050;&#1055;_147_24_&#1089;&#1090;&#1072;&#1090;&#1091;&#1089;.xlsm"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fserv\e\MERA\TKP\TKP2024\tkp2024_116_&#1058;&#1077;&#1093;&#1087;&#1088;&#1080;&#1073;&#1086;&#1088;_&#1074;&#1079;&#1088;&#1099;&#1074;&#1086;&#1079;&#1072;&#1097;&#1080;&#1090;&#1072;_&#1079;.2797_&#1045;&#1078;&#1086;&#1074;&#1072;\&#1058;&#1050;&#1055;_116_24_&#1089;&#1090;&#1072;&#1090;&#1091;&#1089;.xlsm"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fserv\e\MERA\TKP\TKP2024\tkp2024_124_&#1053;&#1055;&#1055;_&#1052;&#1086;&#1085;&#1086;&#1090;&#1077;&#1089;&#1090;_MIC-355_&#1041;&#1091;&#1088;&#1103;&#1082;\&#1058;&#1050;&#1055;_124_24_&#1089;&#1090;&#1072;&#1090;&#1091;&#1089;.xlsm"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fserv\e\MERA\TKP\TKP2024\tkp2024_148_&#1048;&#1082;&#1072;&#1088;_&#1087;&#1086;&#1088;&#1096;&#1085;&#1077;&#1074;&#1099;&#1077;%20&#1076;&#1074;&#1080;&#1075;&#1072;&#1090;&#1077;&#1083;&#1080;_70-200_&#1052;&#1072;&#1089;&#1083;&#1086;&#1074;&#1072;\&#1058;&#1050;&#1055;_148_24_&#1089;&#1090;&#1072;&#1090;&#1091;&#1089;.xlsm"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FSERV\MERA\TKP\TKP2024\tkp2024_165_Kingsly_&#1056;&#1057;&#1057;_&#1045;&#1078;&#1086;&#1074;&#1072;\&#1058;&#1050;&#1055;_165_24_&#1089;&#1090;&#1072;&#1090;&#1091;&#1089;.xlsm"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fserv\e\MERA\TKP\TKP2024\tkp2024_166_&#1051;&#1072;&#1073;%20&#1052;&#1077;&#1082;&#1082;&#1072;&#1085;&#1080;&#1082;&#1072;_&#1056;&#1057;&#1057;_&#1045;&#1078;&#1086;&#1074;&#1072;\&#1058;&#1050;&#1055;_166_24_&#1089;&#1090;&#1072;&#1090;&#1091;&#1089;.xlsm"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fserv\e\MERA\TKP\TKP2024\tkp2024_156_&#1048;&#1082;&#1072;&#1088;_&#1087;&#1086;&#1088;&#1096;&#1085;&#1077;&#1074;&#1099;&#1077;%20&#1076;&#1074;&#1080;&#1075;&#1072;&#1090;&#1077;&#1083;&#1080;_3-10_&#1052;&#1077;&#1083;&#1080;&#1093;&#1086;&#1074;\&#1058;&#1050;&#1055;_156_24_&#1089;&#1090;&#1072;&#1090;&#1091;&#1089;.xlsm"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fserv\e\MERA\TKP\TKP2024\tkp2024_139_&#1071;&#1043;&#1058;&#1059;_&#1089;&#1090;&#1077;&#1085;&#1076;_&#1045;&#1078;&#1086;&#1074;&#1072;\&#1058;&#1050;&#1055;_139_24_&#1089;&#1090;&#1072;&#1090;&#1091;&#1089;.xlsm"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fserv\e\MERA\TKP\TKP2024\tkp2024_135_&#1062;&#1048;&#1040;&#1052;_&#1056;&#1072;&#1079;&#1075;&#1086;&#1085;&#1085;&#1099;&#1081;%20&#1089;&#1090;&#1077;&#1085;&#1076;_&#1052;&#1072;&#1089;&#1083;&#1086;&#1074;&#1072;\&#1058;&#1050;&#1055;_135_24_&#1089;&#1090;&#1072;&#1090;&#1091;&#1089;.xlsm"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fserv\e\MERA\TKP\TKP2024\tkp2024_189_&#1040;&#1083;&#1100;&#1103;&#1085;&#1089;_&#1040;&#1074;&#1090;&#1086;&#1084;&#1072;&#1090;&#1080;&#1079;&#1080;&#1088;&#1086;&#1074;&#1072;&#1085;&#1085;&#1072;&#1103;_&#1089;&#1080;&#1089;&#1090;&#1077;&#1084;&#1072;_&#1085;&#1072;&#1075;&#1088;&#1091;&#1078;&#1077;&#1085;&#1080;&#1103;_&#1041;&#1091;&#1088;&#1103;&#1082;\&#1058;&#1050;&#1055;_189_24_&#1089;&#1090;&#1072;&#1090;&#1091;&#1089;.xlsm"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fserv\e\MERA\TKP\TKP2024\tkp2024_190_&#1053;&#1048;&#1048;&#1084;&#1072;&#1096;_&#1057;&#1080;&#1083;&#1086;&#1080;&#1079;&#1084;&#1077;&#1088;&#1080;&#1090;&#1077;&#1083;&#1100;&#1085;&#1086;&#1077;_&#1091;&#1089;&#1090;&#1088;&#1086;&#1081;&#1089;&#1090;&#1074;&#1086;_&#1041;&#1091;&#1088;&#1103;&#1082;\&#1058;&#1050;&#1055;_190_24_&#1089;&#1090;&#1072;&#1090;&#1091;&#1089;.xlsm"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fserv\e\MERA\TKP\TKP2024\tkp2024_154_&#1050;&#1040;&#1044;&#1042;&#1048;_&#1074;&#1080;&#1073;&#1088;&#1086;&#1089;&#1090;&#1077;&#1085;&#1076;_&#1045;&#1078;&#1086;&#1074;&#1072;\&#1058;&#1050;&#1055;_154_24_&#1089;&#1090;&#1072;&#1090;&#1091;&#1089;.xlsm"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fserv\e\MERA\TKP\TKP2024\tkp2024_173_&#1062;&#1048;&#1040;&#1052;_&#1082;&#1086;&#1084;&#1087;&#1083;&#1077;&#1082;&#1090;%20&#1076;&#1083;&#1103;%20&#1087;&#1086;&#1074;&#1077;&#1088;&#1082;&#1080;_&#1052;&#1072;&#1089;&#1083;&#1086;&#1074;&#1072;\&#1058;&#1050;&#1055;_173_24_&#1089;&#1090;&#1072;&#1090;&#1091;&#1089;.xlsm"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fserv\e\MERA\TKP\TKP2024\tkp2024_177_&#1062;&#1077;&#1085;&#1090;&#1088;%20&#1050;&#1077;&#1083;&#1076;&#1099;&#1096;&#1072;_&#1089;&#1080;&#1089;&#1090;&#1077;&#1084;&#1072;%20&#1089;&#1073;&#1086;&#1088;&#1072;%20&#1080;&#1085;&#1092;&#1086;&#1088;&#1084;&#1072;&#1094;&#1080;&#1080;_&#1055;&#1072;&#1089;&#1090;&#1072;&#1088;&#1085;&#1072;&#1082;&#1086;&#1074;&#1072;\&#1058;&#1050;&#1055;_177_24_&#1089;&#1090;&#1072;&#1090;&#1091;&#1089;.xlsm"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fserv\e\MERA\TKP\TKP2024\tkp2024_176_&#1042;&#1053;&#1048;&#1048;&#1058;&#1060;_&#1057;&#1080;&#1089;&#1090;&#1077;&#1084;&#1072;_&#1085;&#1072;&#1075;&#1088;&#1091;&#1078;&#1077;&#1085;&#1080;&#1103;_&#1041;&#1091;&#1088;&#1103;&#1082;\&#1058;&#1050;&#1055;_176_24_&#1089;&#1090;&#1072;&#1090;&#1091;&#1089;.xlsm"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fserv\e\MERA\TKP\TKP2024\tkp2024_175_&#1052;&#1052;&#1055;%20&#1080;&#1084;.%20&#1042;.&#1042;.&#1063;&#1077;&#1088;&#1085;&#1099;&#1096;&#1077;&#1074;&#1072;_&#1087;&#1077;&#1088;&#1077;&#1073;&#1072;&#1079;&#1080;&#1088;&#1086;&#1074;&#1082;&#1072;_&#1089;&#1090;&#1077;&#1085;&#1076;&#1086;&#1074;_&#1045;&#1078;&#1086;&#1074;&#1072;\&#1058;&#1050;&#1055;_175_24_&#1089;&#1090;&#1072;&#1090;&#1091;&#1089;.xlsm"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fserv\e\MERA\TKP\TKP2024\tkp2024_181_&#1053;&#1055;&#1054;_&#1051;&#1072;&#1074;&#1086;&#1095;&#1082;&#1080;&#1085;&#1072;_&#1048;&#1042;&#1050;_&#1054;&#1089;&#1090;&#1088;&#1086;&#1074;&#1089;&#1082;&#1072;&#1103;\&#1058;&#1050;&#1055;_181_24_&#1089;&#1090;&#1072;&#1090;&#1091;&#1089;.xlsm"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fserv\e\MERA\TKP\TKP2024\tkp2024_186_&#1054;&#1053;&#1055;&#1055;_&#1058;&#1077;&#1093;&#1085;&#1086;&#1083;&#1086;&#1075;&#1080;&#1103;_MIC-236_&#1041;&#1091;&#1088;&#1103;&#1082;\&#1058;&#1050;&#1055;_186_24_&#1089;&#1090;&#1072;&#1090;&#1091;&#1089;.xlsm"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fserv\e\MERA\TKP\TKP2024\tkp2024_252_NDTrus_&#1080;&#1089;&#1087;&#1099;&#1090;&#1072;&#1090;&#1077;&#1083;&#1100;&#1085;&#1099;&#1081;%20&#1089;&#1090;&#1077;&#1085;&#1076;_&#1056;&#1057;&#1057;_&#1045;&#1078;&#1086;&#1074;&#1072;\&#1058;&#1050;&#1055;_252_24_&#1089;&#1090;&#1072;&#1090;&#1091;&#1089;.xlsm"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FSERV\MERA\TKP\TKP2022\tkp2022_447_&#1054;&#1044;&#1050;_&#1057;&#1072;&#1090;&#1091;&#1088;&#1085;_&#1057;&#1057;&#1044;&#1059;-&#1047;&#1051;&#1050;_&#1045;&#1078;&#1086;&#1074;&#1072;_&#1056;&#1057;&#1057;\&#1058;&#1050;&#1055;_447_22_&#1089;&#1090;&#1072;&#1090;&#1091;&#1089;.xlsm"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fserv\e\MERA\TKP\TKP2024\tkp2024_219_&#1060;&#1062;&#1044;&#1058;_&#1057;&#1086;&#1102;&#1079;_&#1057;&#1048;&#1055;&#1055;_&#1045;&#1078;&#1086;&#1074;&#1072;\&#1058;&#1050;&#1055;_219_24_&#1089;&#1090;&#1072;&#1090;&#1091;&#1089;.xlsm"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fserv\e\MERA\TKP\TKP2024\tkp2024_392_&#1054;&#1050;&#1041;&#1052;_&#1040;&#1092;&#1088;&#1080;&#1082;&#1072;&#1085;&#1090;&#1086;&#1074;&#1072;_&#1056;&#1057;&#1057;_&#1052;&#1077;&#1083;&#1080;&#1093;&#1086;&#1074;\&#1058;&#1050;&#1055;_392_24_&#1089;&#1090;&#1072;&#1090;&#1091;&#1089;.xlsm"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fserv\e\MERA\TKP\TKP2024\tkp2024_268_&#1055;&#1053;&#1048;&#1055;&#1059;_&#1090;&#1077;&#1085;&#1079;&#1086;&#1089;&#1090;&#1072;&#1085;&#1094;&#1080;&#1103;_&#1056;&#1057;&#1057;_&#1045;&#1078;&#1086;&#1074;&#1072;\&#1058;&#1050;&#1055;_268_24_&#1089;&#1090;&#1072;&#1090;&#1091;&#1089;.xlsm"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fserv\e\MERA\TKP\TKP2024\tkp2024_276_&#1059;&#1085;&#1080;&#1093;&#1080;&#1084;&#1090;&#1077;&#1082;_&#1055;&#1088;&#1086;&#1074;&#1077;&#1076;&#1077;&#1085;&#1080;&#1077;_&#1090;&#1077;&#1085;&#1079;&#1086;&#1080;&#1079;&#1084;&#1077;&#1088;&#1077;&#1085;&#1080;&#1081;_&#1041;&#1091;&#1088;&#1103;&#1082;\&#1058;&#1050;&#1055;_276_24_&#1089;&#1090;&#1072;&#1090;&#1091;&#1089;.xlsm"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fserv\e\MERA\TKP\TKP2024\tkp2024_280_&#1062;&#1048;&#1040;&#1052;_&#1041;&#1072;&#1088;&#1072;&#1085;&#1086;&#1074;&#1072;_&#1082;&#1072;&#1073;&#1077;&#1083;&#1100;_&#1041;&#1091;&#1088;&#1103;&#1082;\&#1058;&#1050;&#1055;_280_24_&#1089;&#1090;&#1072;&#1090;&#1091;&#1089;.xlsm"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file:///\\fserv\e\MERA\TKP\TKP2024\tkp2024_174_&#1057;&#1080;&#1083;&#1086;&#1074;&#1099;&#1077;%20&#1084;&#1072;&#1096;&#1080;&#1085;&#1099;_mic-1200_&#1043;&#1058;&#1069;-170.2_&#1045;&#1078;&#1086;&#1074;&#1072;\&#1058;&#1050;&#1055;_174_24_&#1089;&#1090;&#1072;&#1090;&#1091;&#1089;.xlsm"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MERA/TKP/TKP2023/tkp2023_534_&#1057;&#1080;&#1083;&#1086;&#1074;&#1099;&#1077;%20&#1084;&#1072;&#1096;&#1080;&#1085;&#1099;_&#1051;&#1040;&#1069;&#1057;-2_mic1200%20&#1076;&#1092;&#1084;_&#1056;&#1057;&#1057;_&#1045;&#1078;&#1086;&#1074;&#1072;/&#1058;&#1050;&#1055;_534_23_&#1089;&#1090;&#1072;&#1090;&#1091;&#1089;.xlsm"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fserv\e\MERA\TKP\TKP2024\tkp2024_294_&#1057;&#1080;&#1083;&#1086;&#1074;&#1099;&#1077;_&#1084;&#1072;&#1096;&#1080;&#1085;&#1099;_&#1050;&#1072;&#1083;&#1080;&#1085;&#1080;&#1085;&#1089;&#1082;&#1072;&#1103;_&#1040;&#1069;&#1057;_MIC-1200_&#1069;&#1041;&#8470;3_&#1045;&#1078;&#1086;&#1074;&#1072;\&#1058;&#1050;&#1055;_294_24_&#1089;&#1090;&#1072;&#1090;&#1091;&#1089;.xlsm"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fserv\e\MERA\TKP\TKP2024\tkp2024_306_&#1057;&#1080;&#1083;&#1086;&#1074;&#1099;&#1077;_&#1084;&#1072;&#1096;&#1080;&#1085;&#1099;_(&#1051;&#1052;&#1047;)_&#1042;&#1080;&#1073;&#1088;&#1086;&#1084;&#1077;&#1090;&#1088;+&#1055;&#1054;_&#1052;&#1077;&#1083;&#1080;&#1093;&#1086;&#1074;\&#1058;&#1050;&#1055;_306_24_&#1089;&#1090;&#1072;&#1090;&#1091;&#1089;.xlsm"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fserv\e\MERA\TKP\TKP2024\tkp2024_310_&#1048;&#1085;&#1090;&#1088;&#1080;&#1089;_MIC-236_&#1045;&#1078;&#1086;&#1074;&#1072;\&#1058;&#1050;&#1055;_310_24_&#1089;&#1090;&#1072;&#1090;&#1091;&#1089;.xlsm"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fserv\e\MERA\TKP\TKP2024\tkp2024_302_&#1052;&#1080;&#1083;&#1100;%20&#1080;%20&#1050;&#1072;&#1084;&#1086;&#1074;_&#1091;&#1089;&#1090;&#1072;&#1083;&#1086;&#1089;&#1090;&#1085;&#1099;&#1077;_&#1080;&#1089;&#1087;&#1099;&#1090;&#1072;&#1085;&#1080;&#1103;_&#1074;&#1090;&#1091;&#1083;&#1082;&#1080;_&#1080;&#1079;&#1076;.450_&#1045;&#1078;&#1086;&#1074;&#1072;\&#1058;&#1050;&#1055;_302_24_&#1089;&#1090;&#1072;&#1090;&#1091;&#1089;.xlsm"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fserv\e\MERA\TKP\TKP2024\tkp2024_338_Kingsly_600chan+camera_&#1056;&#1057;&#1057;_&#1045;&#1078;&#1086;&#1074;&#1072;\&#1058;&#1050;&#1055;_338_24_&#1089;&#1090;&#1072;&#1090;&#1091;&#1089;.xlsm"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fserv\e\MERA\TKP\TKP2024\tkp2024_461_&#1050;&#1041;&#1061;&#1052;_&#1056;&#1052;8_&#1056;&#1057;&#1057;_&#1052;&#1077;&#1083;&#1080;&#1093;&#1086;&#1074;\&#1058;&#1050;&#1055;_461_24_&#1089;&#1090;&#1072;&#1090;&#1091;&#1089;.xlsm"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fserv\e\MERA\TKP\TKP2024\tkp2024_329_&#1050;&#1041;&#1061;&#1052;_&#1056;&#1054;&#1057;_&#1059;&#1042;&#1050;_&#1040;&#1057;&#1055;&#1059;_&#1052;&#1077;&#1083;&#1080;&#1093;&#1086;&#1074;\&#1058;&#1050;&#1055;_329_24_&#1089;&#1090;&#1072;&#1090;&#1091;&#1089;.xlsm"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fserv\e\MERA\TKP\TKP2024\tkp2024_379_&#1040;&#1083;&#1090;&#1072;&#1081;_&#1048;&#1042;&#1050;_&#1052;&#1077;&#1083;&#1080;&#1093;&#1086;&#1074;\&#1058;&#1050;&#1055;_379_24_&#1089;&#1090;&#1072;&#1090;&#1091;&#1089;.xlsm"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fserv\e\MERA\TKP\TKP2024\tkp2024_360_Kingsly_24%20channels_&#1056;&#1057;&#1057;_&#1041;&#1091;&#1088;&#1103;&#1082;\&#1058;&#1050;&#1055;_360_24_&#1089;&#1090;&#1072;&#1090;&#1091;&#1089;.xlsm"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fserv\e\MERA\TKP\TKP2024\tkp2024_352_Kingsly_Strain%20DAQ_1536%20channels%20+%2096%20voltages_&#1045;&#1078;&#1086;&#1074;&#1072;\&#1058;&#1050;&#1055;_352_24_&#1089;&#1090;&#1072;&#1090;&#1091;&#1089;.xlsm"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fserv\e\MERA\TKP\TKP2024\tkp2024_305_&#1051;&#1072;&#1074;&#1086;&#1095;&#1082;&#1080;&#1085;&#1072;_MIC-026_&#1055;&#1072;&#1089;&#1090;&#1072;&#1088;&#1085;&#1072;&#1082;&#1086;&#1074;&#1072;\&#1058;&#1050;&#1055;_305_24_&#1089;&#1090;&#1072;&#1090;&#1091;&#1089;.xlsm"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fserv\e\MERA\TKP\TKP2024\tkp2024_309_&#1051;&#1052;&#1047;_&#1054;&#1073;&#1086;&#1088;&#1091;&#1076;&#1086;&#1074;&#1072;&#1085;&#1080;&#1077;_&#1052;&#1077;&#1083;&#1080;&#1093;&#1086;&#1074;\&#1058;&#1050;&#1055;_309_24_&#1089;&#1090;&#1072;&#1090;&#1091;&#1089;.xlsm"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file:///\\fserv\e\MERA\TKP\TKP2026\tkp2026_116_&#1062;&#1053;&#1048;&#1048;&#1084;&#1072;&#1096;_&#1040;&#1048;&#1057;_500_&#1082;&#1072;&#1085;&#1072;&#1083;&#1086;&#1074;_&#1052;&#1077;&#1083;&#1080;&#1093;&#1086;&#1074;\&#1058;&#1050;&#1055;_116_26_&#1089;&#1090;&#1072;&#1090;&#1091;&#1089;.xlsm"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fserv\e\MERA\TKP\TKP2024\tkp2024_372_&#1050;&#1088;&#1086;&#1085;&#1096;&#1090;&#1072;&#1076;&#1090;_&#1080;&#1089;&#1087;.%20&#1089;&#1080;&#1083;&#1086;&#1074;&#1086;&#1081;%20&#1091;&#1089;&#1090;&#1072;&#1085;&#1086;&#1074;&#1082;&#1080;_&#1056;&#1057;&#1057;_&#1052;&#1077;&#1083;&#1080;&#1093;&#1086;&#1074;\&#1058;&#1050;&#1055;_372_24_&#1089;&#1090;&#1072;&#1090;&#1091;&#1089;.xlsm"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file:///\\fserv\e\MERA\TKP\TKP2024\tkp2024_473_&#1054;&#1044;&#1050;-&#1057;&#1072;&#1090;&#1091;&#1088;&#1085;_&#1044;&#1080;&#1072;&#1075;&#1085;&#1086;&#1089;&#1090;&#1080;&#1082;&#1072;%20&#1087;&#1086;&#1076;&#1096;&#1080;&#1087;&#1085;&#1080;&#1082;&#1086;&#1074;_&#1041;&#1091;&#1088;&#1103;&#1082;\&#1058;&#1050;&#1055;_473_24_&#1089;&#1090;&#1072;&#1090;&#1091;&#1089;.xlsm"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FSERV\MERA\TKP\TKP2022\tkp2022_558_&#1053;&#1055;&#1054;_&#1052;&#1072;&#1096;&#1080;&#1085;&#1086;&#1089;&#1090;&#1088;&#1086;&#1077;&#1085;&#1080;&#1103;_&#1043;&#1072;&#1083;&#1100;&#1074;&#1072;&#1085;&#1080;&#1095;&#1077;&#1089;&#1082;&#1080;&#1077;_&#1073;&#1083;&#1086;&#1082;&#1080;_&#1052;&#1077;&#1083;&#1080;&#1093;&#1086;&#1074;\&#1058;&#1050;&#1055;_558_22_&#1089;&#1090;&#1072;&#1090;&#1091;&#1089;.xlsm"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fserv\e\MERA\TKP\TKP2024\tkp2024_380_Kingsly_ISRO-TCT_2000+%20channels_&#1056;&#1057;&#1057;_&#1041;&#1091;&#1088;&#1103;&#1082;\&#1058;&#1050;&#1055;_380_24_&#1089;&#1090;&#1072;&#1090;&#1091;&#1089;.xlsm"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fserv\e\MERA\TKP\TKP2024\tkp2024_264_&#1054;&#1050;&#1041;_&#1056;&#1086;&#1089;&#1090;&#1086;&#1074;_&#1052;&#1080;&#1083;&#1100;_&#1089;&#1090;&#1077;&#1085;&#1076;_&#1080;&#1089;&#1087;&#1099;&#1090;&#1072;&#1085;&#1080;&#1081;_&#1074;&#1077;&#1085;&#1090;&#1080;&#1083;&#1103;&#1090;&#1086;&#1088;&#1086;&#1074;_&#1045;&#1078;&#1086;&#1074;&#1072;\&#1058;&#1050;&#1055;_264_24_&#1089;&#1090;&#1072;&#1090;&#1091;&#1089;.xlsm"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fserv\e\MERA\TKP\TKP2024\tkp2024_410_&#1059;&#1047;&#1043;&#1040;_&#1069;&#1084;&#1091;&#1083;&#1103;&#1090;&#1086;&#1088;_&#1087;&#1080;&#1083;&#1086;&#1090;&#1072;_&#1040;&#1055;&#1044;-300_&#1052;&#1077;&#1083;&#1080;&#1093;&#1086;&#1074;\&#1058;&#1050;&#1055;_410_24_&#1089;&#1090;&#1072;&#1090;&#1091;&#1089;.xlsm"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fserv\e\MERA\TKP\TKP2024\tkp2024_413_Kingsly_MS_402_MS_405_&#1054;&#1089;&#1090;&#1088;&#1086;&#1074;&#1089;&#1082;&#1072;&#1103;\&#1058;&#1050;&#1055;_413_24_&#1089;&#1090;&#1072;&#1090;&#1091;&#1089;.xlsm"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fserv\e\MERA\TKP\TKP2024\tkp2024_418_&#1054;&#1044;&#1050;_&#1057;&#1072;&#1090;&#1091;&#1088;&#1085;_&#1040;&#1057;&#1059;&#1058;&#1055;&#1048;_(&#1089;&#1090;&#1077;&#1085;&#1076;&#1099;_26,_27,_28)_&#1052;&#1077;&#1083;&#1080;&#1093;&#1086;&#1074;\&#1058;&#1050;&#1055;_418_24_&#1089;&#1090;&#1072;&#1090;&#1091;&#1089;.xlsm"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file:///\\fserv\e\MERA\TKP\TKP2024\tkp2024_455_&#1050;&#1053;&#1048;&#1058;&#1059;%20&#1050;&#1040;&#1048;_10%20&#1082;&#1072;&#1085;%20&#1089;&#1090;&#1072;&#1090;%20&#1085;&#1072;&#1075;&#1088;&#1091;&#1078;&#1077;&#1085;&#1080;&#1103;_&#1056;&#1057;&#1057;\&#1058;&#1050;&#1055;_455_24_&#1089;&#1090;&#1072;&#1090;&#1091;&#1089;.xlsm"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fserv\e\MERA\TKP\TKP2024\tkp2024_477_&#1062;&#1048;&#1040;&#1052;_&#1076;&#1086;&#1088;&#1072;&#1073;&#1086;&#1090;&#1082;&#1072;_&#1089;&#1090;&#1077;&#1085;&#1076;&#1072;_&#1062;4&#1053;_&#1052;&#1077;&#1083;&#1080;&#1093;&#1086;&#1074;\&#1058;&#1050;&#1055;_477_24_&#1089;&#1090;&#1072;&#1090;&#1091;&#1089;.xlsm"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file:///\\fserv\e\MERA\TKP\TKP2024\tkp2024_339_&#1054;&#1044;&#1050;-&#1057;&#1077;&#1088;&#1074;&#1080;&#1089;_&#1040;&#1082;&#1091;&#1089;&#1090;&#1080;&#1095;&#1077;&#1089;&#1082;&#1080;&#1081;_&#1074;&#1086;&#1083;&#1085;&#1086;&#1074;&#1086;&#1076;_&#1052;&#1077;&#1083;&#1080;&#1093;&#1086;&#1074;\&#1058;&#1050;&#1055;_339_24_&#1089;&#1090;&#1072;&#1090;&#1091;&#1089;.xlsm"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MERA/TKP/TKP2024/tkp2024_365_&#1053;&#1055;&#1054;_&#1052;&#1072;&#1096;&#1080;&#1085;&#1086;&#1089;&#1090;&#1088;&#1086;&#1077;&#1085;&#1080;&#1103;_&#1043;&#1072;&#1083;&#1100;&#1074;&#1072;&#1085;&#1080;&#1095;&#1077;&#1089;&#1082;&#1080;&#1077;_&#1073;&#1083;&#1086;&#1082;&#1080;_&#1052;&#1077;&#1083;&#1080;&#1093;&#1086;&#1074;/&#1058;&#1050;&#1055;_365_24_&#1089;&#1090;&#1072;&#1090;&#1091;&#1089;.xlsm"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file:///\\fserv\e\MERA\TKP\TKP2024\tkp2024_434_&#1054;&#1044;&#1050;_&#1057;&#1072;&#1090;&#1091;&#1088;&#1085;_&#1055;&#1091;&#1083;&#1100;&#1090;&#1099;_&#1040;&#1048;&#1059;&#1057;_&#1052;&#1077;&#1083;&#1080;&#1093;&#1086;&#1074;\&#1058;&#1050;&#1055;_434_24_&#1089;&#1090;&#1072;&#1090;&#1091;&#1089;.xlsm"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file:///\\fserv\e\MERA\TKP\TKP2024\tkp2024_440_&#1040;&#1057;&#1059;_&#1082;&#1086;&#1085;&#1076;&#1080;&#1094;&#1080;&#1086;&#1085;&#1077;&#1088;&#1086;&#1074;_&#1052;&#1052;&#1062;&#1041;&#1056;_&#1052;&#1077;&#1083;&#1080;&#1093;&#1086;&#1074;\&#1058;&#1050;&#1055;_440_24_&#1089;&#1090;&#1072;&#1090;&#1091;&#1089;.xlsm"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file:///\\fserv\e\MERA\TKP\TKP2024\tkp2024_433_&#1050;&#1043;&#1058;&#1059;_&#1048;&#1079;&#1084;&#1077;&#1088;&#1080;&#1090;&#1077;&#1083;&#1100;_&#1082;&#1088;&#1091;&#1090;&#1103;&#1097;&#1077;&#1075;&#1086;_&#1084;&#1086;&#1084;&#1077;&#1085;&#1090;&#1072;_&#1080;_&#1076;&#1072;&#1074;&#1083;&#1077;&#1085;&#1080;&#1103;_&#1052;&#1077;&#1083;&#1080;&#1093;&#1086;&#1074;\&#1058;&#1050;&#1055;_433_24_&#1089;&#1090;&#1072;&#1090;&#1091;&#1089;.xlsm"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file:///\\fserv\e\MERA\TKP\TKP2024\tkp2024_456_&#1043;&#1050;&#1053;&#1055;&#1062;%20&#1061;&#1088;&#1091;&#1085;&#1080;&#1095;&#1077;&#1074;&#1072;_&#1056;&#1057;&#1057;_&#1041;&#1091;&#1088;&#1103;&#1082;\&#1058;&#1050;&#1055;_456_24_&#1089;&#1090;&#1072;&#1090;&#1091;&#1089;.xlsm" TargetMode="External"/></Relationships>
</file>

<file path=xl/externalLinks/_rels/externalLink152.xml.rels><?xml version="1.0" encoding="UTF-8" standalone="yes"?>
<Relationships xmlns="http://schemas.openxmlformats.org/package/2006/relationships"><Relationship Id="rId1" Type="http://schemas.openxmlformats.org/officeDocument/2006/relationships/externalLinkPath" Target="file:///\\fserv\e\MERA\TKP\TKP2024\tkp2024_460_&#1059;&#1088;&#1060;&#1059;_MIC-224_&#1052;&#1077;&#1083;&#1080;&#1093;&#1086;&#1074;\&#1058;&#1050;&#1055;_460_24_&#1089;&#1090;&#1072;&#1090;&#1091;&#1089;.xlsm" TargetMode="External"/></Relationships>
</file>

<file path=xl/externalLinks/_rels/externalLink153.xml.rels><?xml version="1.0" encoding="UTF-8" standalone="yes"?>
<Relationships xmlns="http://schemas.openxmlformats.org/package/2006/relationships"><Relationship Id="rId1" Type="http://schemas.openxmlformats.org/officeDocument/2006/relationships/externalLinkPath" Target="file:///\\fserv\e\MERA\TKP\TKP2024\tkp2024_205_&#1054;&#1044;&#1050;-&#1050;&#1083;&#1080;&#1084;&#1086;&#1074;_&#1069;&#1057;&#1059;&#1044;-200_&#1045;&#1078;&#1086;&#1074;&#1072;\&#1058;&#1050;&#1055;_205_24_&#1089;&#1090;&#1072;&#1090;&#1091;&#1089;.xlsm" TargetMode="External"/></Relationships>
</file>

<file path=xl/externalLinks/_rels/externalLink154.xml.rels><?xml version="1.0" encoding="UTF-8" standalone="yes"?>
<Relationships xmlns="http://schemas.openxmlformats.org/package/2006/relationships"><Relationship Id="rId1" Type="http://schemas.openxmlformats.org/officeDocument/2006/relationships/externalLinkPath" Target="file:///\\fserv\e\MERA\TKP\TKP2024\tkp2024_451_&#1050;&#1072;&#1083;&#1080;&#1085;&#1080;&#1085;&#1089;&#1082;&#1072;&#1103;_&#1040;&#1069;&#1057;_&#1057;&#1080;&#1089;&#1090;&#1077;&#1084;&#1072;%20&#1082;&#1086;&#1085;&#1090;&#1088;&#1086;&#1083;&#1103;%20&#1074;&#1080;&#1073;&#1088;&#1072;&#1094;&#1080;&#1080;%20&#1083;&#1086;&#1087;&#1072;&#1090;&#1086;&#1082;_&#1041;&#1091;&#1088;&#1103;&#1082;\&#1058;&#1050;&#1055;_451_24_&#1089;&#1090;&#1072;&#1090;&#1091;&#1089;.xlsm" TargetMode="External"/></Relationships>
</file>

<file path=xl/externalLinks/_rels/externalLink155.xml.rels><?xml version="1.0" encoding="UTF-8" standalone="yes"?>
<Relationships xmlns="http://schemas.openxmlformats.org/package/2006/relationships"><Relationship Id="rId1" Type="http://schemas.openxmlformats.org/officeDocument/2006/relationships/externalLinkPath" Target="file:///\\fserv\e\MERA\TKP\TKP2024\tkp2024_431_Kingsly_MIC-553_&#1041;&#1091;&#1088;&#1103;&#1082;\&#1058;&#1050;&#1055;_431_24_&#1089;&#1090;&#1072;&#1090;&#1091;&#1089;.xlsm" TargetMode="External"/></Relationships>
</file>

<file path=xl/externalLinks/_rels/externalLink156.xml.rels><?xml version="1.0" encoding="UTF-8" standalone="yes"?>
<Relationships xmlns="http://schemas.openxmlformats.org/package/2006/relationships"><Relationship Id="rId1" Type="http://schemas.openxmlformats.org/officeDocument/2006/relationships/externalLinkPath" Target="file:///\\fserv\e\MERA\TKP\TKP2024\tkp2024_474_&#1051;&#1053;&#1050;_&#1044;&#1048;&#1052;&#1080;&#1050;_&#1048;&#1055;&#1052;_&#1056;&#1040;&#1053;_&#1090;&#1077;&#1085;&#1079;&#1086;&#1089;&#1090;&#1072;&#1085;&#1094;&#1080;&#1103;_&#1052;&#1077;&#1083;&#1080;&#1093;&#1086;&#1074;\&#1058;&#1050;&#1055;_474_24_&#1089;&#1090;&#1072;&#1090;&#1091;&#1089;.xlsm" TargetMode="External"/></Relationships>
</file>

<file path=xl/externalLinks/_rels/externalLink157.xml.rels><?xml version="1.0" encoding="UTF-8" standalone="yes"?>
<Relationships xmlns="http://schemas.openxmlformats.org/package/2006/relationships"><Relationship Id="rId1" Type="http://schemas.openxmlformats.org/officeDocument/2006/relationships/externalLinkPath" Target="file:///\\fserv\e\MERA\TKP\TKP2024\tkp2024_453_&#1059;&#1052;&#1055;&#1054;_&#1090;&#1086;&#1088;&#1084;&#1086;&#1079;&#1085;&#1086;&#1081;_&#1089;&#1090;&#1077;&#1085;&#1076;_PUMA_&#1052;&#1077;&#1083;&#1080;&#1093;&#1086;&#1074;\&#1058;&#1050;&#1055;_453_24_&#1089;&#1090;&#1072;&#1090;&#1091;&#1089;.xlsm" TargetMode="External"/></Relationships>
</file>

<file path=xl/externalLinks/_rels/externalLink158.xml.rels><?xml version="1.0" encoding="UTF-8" standalone="yes"?>
<Relationships xmlns="http://schemas.openxmlformats.org/package/2006/relationships"><Relationship Id="rId1" Type="http://schemas.openxmlformats.org/officeDocument/2006/relationships/externalLinkPath" Target="file:///\\fserv\e\MERA\TKP\TKP2024\tkp2024_501_&#1041;&#1086;&#1075;&#1091;&#1095;&#1072;&#1085;&#1089;&#1082;&#1072;&#1103;_&#1043;&#1069;&#1057;_&#1057;&#1080;&#1089;&#1090;&#1077;&#1084;&#1072;%20&#1082;&#1086;&#1085;&#1090;&#1088;&#1086;&#1083;&#1103;%20&#1074;&#1080;&#1073;&#1088;&#1072;&#1094;&#1080;&#1080;_&#1041;&#1091;&#1088;&#1103;&#1082;\&#1058;&#1050;&#1055;_501_24_&#1089;&#1090;&#1072;&#1090;&#1091;&#1089;.xlsm" TargetMode="External"/></Relationships>
</file>

<file path=xl/externalLinks/_rels/externalLink159.xml.rels><?xml version="1.0" encoding="UTF-8" standalone="yes"?>
<Relationships xmlns="http://schemas.openxmlformats.org/package/2006/relationships"><Relationship Id="rId1" Type="http://schemas.openxmlformats.org/officeDocument/2006/relationships/externalLinkPath" Target="file:///\\fserv\e\MERA\TKP\TKP2024\tkp2024_504_&#1040;&#1054;_&#1060;&#1062;&#1044;&#1058;_&#1057;&#1086;&#1102;&#1079;_&#1048;&#1042;&#1050;%20&#1082;%20&#1057;&#1048;&#1055;&#1055;_&#1052;&#1077;&#1083;&#1080;&#1093;&#1086;&#1074;\&#1058;&#1050;&#1055;_504_24_&#1089;&#1090;&#1072;&#1090;&#1091;&#1089;.xlsm" TargetMode="External"/></Relationships>
</file>

<file path=xl/externalLinks/_rels/externalLink160.xml.rels><?xml version="1.0" encoding="UTF-8" standalone="yes"?>
<Relationships xmlns="http://schemas.openxmlformats.org/package/2006/relationships"><Relationship Id="rId1" Type="http://schemas.openxmlformats.org/officeDocument/2006/relationships/externalLinkPath" Target="file:///\\fserv\e\MERA\TKP\TKP2024\tkp2024_508_&#1057;&#1050;&#1041;%20&#1040;&#1056;&#1044;_&#1048;&#1048;&#1057;%20&#1040;&#1055;&#1044;-200_&#1041;&#1091;&#1088;&#1103;&#1082;\&#1058;&#1050;&#1055;_508_24_&#1089;&#1090;&#1072;&#1090;&#1091;&#1089;.xlsm" TargetMode="External"/></Relationships>
</file>

<file path=xl/externalLinks/_rels/externalLink161.xml.rels><?xml version="1.0" encoding="UTF-8" standalone="yes"?>
<Relationships xmlns="http://schemas.openxmlformats.org/package/2006/relationships"><Relationship Id="rId1" Type="http://schemas.openxmlformats.org/officeDocument/2006/relationships/externalLinkPath" Target="file:///\\fserv\e\MERA\TKP\TKP2024\tkp2024_496_&#1057;&#1080;&#1083;&#1086;&#1074;&#1099;&#1077;%20&#1084;&#1072;&#1096;&#1080;&#1085;&#1099;_MIC-1200_&#1041;&#1091;&#1088;&#1103;&#1082;\&#1058;&#1050;&#1055;_496_24_&#1089;&#1090;&#1072;&#1090;&#1091;&#1089;.xlsm" TargetMode="External"/></Relationships>
</file>

<file path=xl/externalLinks/_rels/externalLink162.xml.rels><?xml version="1.0" encoding="UTF-8" standalone="yes"?>
<Relationships xmlns="http://schemas.openxmlformats.org/package/2006/relationships"><Relationship Id="rId1" Type="http://schemas.openxmlformats.org/officeDocument/2006/relationships/externalLinkPath" Target="file:///\\fserv\e\MERA\TKP\TKP2024\tkp2024_511_&#1057;&#1080;&#1083;&#1086;&#1074;&#1099;&#1077;_&#1084;&#1072;&#1096;&#1080;&#1085;&#1099;_&#1043;&#1058;&#1069;170.2_&#1056;&#1057;&#1057;_&#1052;&#1077;&#1083;&#1080;&#1093;&#1086;&#1074;\&#1058;&#1050;&#1055;_511_24_&#1089;&#1090;&#1072;&#1090;&#1091;&#1089;.xlsm" TargetMode="External"/></Relationships>
</file>

<file path=xl/externalLinks/_rels/externalLink163.xml.rels><?xml version="1.0" encoding="UTF-8" standalone="yes"?>
<Relationships xmlns="http://schemas.openxmlformats.org/package/2006/relationships"><Relationship Id="rId1" Type="http://schemas.openxmlformats.org/officeDocument/2006/relationships/externalLinkPath" Target="file:///\\fserv\e\MERA\TKP\TKP2024\tkp2024_518_&#1053;&#1048;&#1062;%20&#1056;&#1050;&#1055;_&#1058;&#1048;&#1057;_&#1056;&#1044;171_&#1056;&#1057;&#1057;_&#1052;&#1077;&#1083;&#1080;&#1093;&#1086;&#1074;\&#1058;&#1050;&#1055;_518_24_&#1089;&#1090;&#1072;&#1090;&#1091;&#1089;.xlsm" TargetMode="External"/></Relationships>
</file>

<file path=xl/externalLinks/_rels/externalLink164.xml.rels><?xml version="1.0" encoding="UTF-8" standalone="yes"?>
<Relationships xmlns="http://schemas.openxmlformats.org/package/2006/relationships"><Relationship Id="rId1" Type="http://schemas.openxmlformats.org/officeDocument/2006/relationships/externalLinkPath" Target="file:///\\fserv\e\MERA\TKP\TKP2025\tkp2025_002_Kingsly_16%20channels%20LEOS%20ISRO_&#1056;&#1057;&#1057;_&#1041;&#1091;&#1088;&#1103;&#1082;\&#1058;&#1050;&#1055;_002_25_&#1089;&#1090;&#1072;&#1090;&#1091;&#1089;.xlsm" TargetMode="External"/></Relationships>
</file>

<file path=xl/externalLinks/_rels/externalLink165.xml.rels><?xml version="1.0" encoding="UTF-8" standalone="yes"?>
<Relationships xmlns="http://schemas.openxmlformats.org/package/2006/relationships"><Relationship Id="rId1" Type="http://schemas.openxmlformats.org/officeDocument/2006/relationships/externalLinkPath" Target="file:///\\FSERV\MERA\TKP\TKP2025\tkp2025_002_Kingsly_16%20channels%20LEOS%20ISRO_&#1056;&#1057;&#1057;_&#1041;&#1091;&#1088;&#1103;&#1082;\&#1058;&#1050;&#1055;_006_25_&#1089;&#1090;&#1072;&#1090;&#1091;&#1089;.xlsm" TargetMode="External"/></Relationships>
</file>

<file path=xl/externalLinks/_rels/externalLink166.xml.rels><?xml version="1.0" encoding="UTF-8" standalone="yes"?>
<Relationships xmlns="http://schemas.openxmlformats.org/package/2006/relationships"><Relationship Id="rId1" Type="http://schemas.openxmlformats.org/officeDocument/2006/relationships/externalLinkPath" Target="file:///\\FSERV\MERA\TKP\TKP2025\tkp2025_005_&#1042;&#1040;&#1047;_&#1056;&#1057;&#1057;_&#1052;&#1077;&#1083;&#1080;&#1093;&#1086;&#1074;\&#1058;&#1050;&#1055;_005_25_&#1089;&#1090;&#1072;&#1090;&#1091;&#1089;.xlsm" TargetMode="External"/></Relationships>
</file>

<file path=xl/externalLinks/_rels/externalLink167.xml.rels><?xml version="1.0" encoding="UTF-8" standalone="yes"?>
<Relationships xmlns="http://schemas.openxmlformats.org/package/2006/relationships"><Relationship Id="rId1" Type="http://schemas.openxmlformats.org/officeDocument/2006/relationships/externalLinkPath" Target="file:///\\fserv\e\MERA\TKP\TKP2025\tkp2025_013_Kingsly%20ADA%20engine_&#1056;&#1057;&#1057;_&#1041;&#1091;&#1088;&#1103;&#1082;\&#1058;&#1050;&#1055;_013_25_&#1089;&#1090;&#1072;&#1090;&#1091;&#1089;.xlsm" TargetMode="External"/></Relationships>
</file>

<file path=xl/externalLinks/_rels/externalLink168.xml.rels><?xml version="1.0" encoding="UTF-8" standalone="yes"?>
<Relationships xmlns="http://schemas.openxmlformats.org/package/2006/relationships"><Relationship Id="rId1" Type="http://schemas.openxmlformats.org/officeDocument/2006/relationships/externalLinkPath" Target="file:///\\fserv\e\MERA\TKP\TKP2025\tkp2025_015_Kingsly%2064%20chan.%20DAQ_&#1056;&#1057;&#1057;_&#1041;&#1091;&#1088;&#1103;&#1082;\&#1058;&#1050;&#1055;_015_25_&#1089;&#1090;&#1072;&#1090;&#1091;&#1089;.xlsm" TargetMode="External"/></Relationships>
</file>

<file path=xl/externalLinks/_rels/externalLink169.xml.rels><?xml version="1.0" encoding="UTF-8" standalone="yes"?>
<Relationships xmlns="http://schemas.openxmlformats.org/package/2006/relationships"><Relationship Id="rId1" Type="http://schemas.openxmlformats.org/officeDocument/2006/relationships/externalLinkPath" Target="file:///\\fserv\e\MERA\TKP\TKP2025\tkp2025_048_&#1040;&#1074;&#1090;&#1086;&#1074;&#1072;&#1079;_&#1052;&#1086;&#1076;&#1077;&#1088;&#1085;&#1080;&#1079;&#1072;&#1094;&#1080;&#1103;%20&#1089;&#1090;&#1077;&#1085;&#1076;&#1086;&#1074;_&#1056;&#1057;&#1057;\&#1058;&#1050;&#1055;_048_25_&#1089;&#1090;&#1072;&#1090;&#1091;&#1089;.xlsm" TargetMode="External"/></Relationships>
</file>

<file path=xl/externalLinks/_rels/externalLink170.xml.rels><?xml version="1.0" encoding="UTF-8" standalone="yes"?>
<Relationships xmlns="http://schemas.openxmlformats.org/package/2006/relationships"><Relationship Id="rId1" Type="http://schemas.openxmlformats.org/officeDocument/2006/relationships/externalLinkPath" Target="file:///\\fserv\e\MERA\TKP\TKP2025\tkp2025_025_&#1055;&#1058;&#1045;&#1056;&#1054;_&#1052;&#1086;&#1073;&#1080;&#1083;&#1100;&#1085;&#1072;&#1103;%20&#1052;&#1048;&#1057;_&#1056;&#1057;&#1057;_&#1041;&#1091;&#1088;&#1103;&#1082;\&#1058;&#1050;&#1055;_025_25_&#1089;&#1090;&#1072;&#1090;&#1091;&#1089;.xlsm" TargetMode="External"/></Relationships>
</file>

<file path=xl/externalLinks/_rels/externalLink171.xml.rels><?xml version="1.0" encoding="UTF-8" standalone="yes"?>
<Relationships xmlns="http://schemas.openxmlformats.org/package/2006/relationships"><Relationship Id="rId1" Type="http://schemas.openxmlformats.org/officeDocument/2006/relationships/externalLinkPath" Target="file:///\\FSERV\MERA\TKP\TKP2025\tkp2025_030_Kingsly_128%20temperature%20recorder_&#1056;&#1057;&#1057;_&#1041;&#1091;&#1088;&#1103;&#1082;\&#1058;&#1050;&#1055;_030_25_&#1089;&#1090;&#1072;&#1090;&#1091;&#1089;.xlsm" TargetMode="External"/></Relationships>
</file>

<file path=xl/externalLinks/_rels/externalLink172.xml.rels><?xml version="1.0" encoding="UTF-8" standalone="yes"?>
<Relationships xmlns="http://schemas.openxmlformats.org/package/2006/relationships"><Relationship Id="rId1" Type="http://schemas.openxmlformats.org/officeDocument/2006/relationships/externalLinkPath" Target="file:///\\fserv\e\MERA\TKP\TKP2025\tkp2025_031_Kingsly_Vibro%20control%20Space-India_&#1056;&#1057;&#1057;_&#1041;&#1091;&#1088;&#1103;&#1082;\&#1058;&#1050;&#1055;_031_25_&#1089;&#1090;&#1072;&#1090;&#1091;&#1089;.xlsm" TargetMode="External"/></Relationships>
</file>

<file path=xl/externalLinks/_rels/externalLink173.xml.rels><?xml version="1.0" encoding="UTF-8" standalone="yes"?>
<Relationships xmlns="http://schemas.openxmlformats.org/package/2006/relationships"><Relationship Id="rId1" Type="http://schemas.openxmlformats.org/officeDocument/2006/relationships/externalLinkPath" Target="file:///\\fserv\e\MERA\TKP\TKP2025\tkp2025_040_Kingsly_VSSC%20ISRO_&#1056;&#1057;&#1057;_&#1041;&#1091;&#1088;&#1103;&#1082;\&#1058;&#1050;&#1055;_040_25_&#1089;&#1090;&#1072;&#1090;&#1091;&#1089;.xlsm" TargetMode="External"/></Relationships>
</file>

<file path=xl/externalLinks/_rels/externalLink174.xml.rels><?xml version="1.0" encoding="UTF-8" standalone="yes"?>
<Relationships xmlns="http://schemas.openxmlformats.org/package/2006/relationships"><Relationship Id="rId1" Type="http://schemas.openxmlformats.org/officeDocument/2006/relationships/externalLinkPath" Target="file:///\\fserv\e\MERA\TKP\TKP2025\tkp2025_043_Kingsly_OF_MIC-312_&#1056;&#1057;&#1057;_&#1041;&#1091;&#1088;&#1103;&#1082;\&#1058;&#1050;&#1055;_043_25_&#1089;&#1090;&#1072;&#1090;&#1091;&#1089;.xlsm" TargetMode="External"/></Relationships>
</file>

<file path=xl/externalLinks/_rels/externalLink175.xml.rels><?xml version="1.0" encoding="UTF-8" standalone="yes"?>
<Relationships xmlns="http://schemas.openxmlformats.org/package/2006/relationships"><Relationship Id="rId1" Type="http://schemas.openxmlformats.org/officeDocument/2006/relationships/externalLinkPath" Target="file:///\\fserv\e\MERA\TKP\TKP2025\tkp2025_037_&#1050;&#1041;&#1061;&#1052;_&#1089;&#1080;&#1103;&#1085;&#1080;&#1077;_&#1056;&#1052;-1,3,4_&#1052;&#1077;&#1083;&#1080;&#1093;&#1086;&#1074;\&#1058;&#1050;&#1055;_037_25_&#1089;&#1090;&#1072;&#1090;&#1091;&#1089;.xlsm" TargetMode="External"/></Relationships>
</file>

<file path=xl/externalLinks/_rels/externalLink176.xml.rels><?xml version="1.0" encoding="UTF-8" standalone="yes"?>
<Relationships xmlns="http://schemas.openxmlformats.org/package/2006/relationships"><Relationship Id="rId1" Type="http://schemas.openxmlformats.org/officeDocument/2006/relationships/externalLinkPath" Target="file:///\\fserv\e\MERA\TKP\TKP2025\tkp2025_063_&#1050;&#1041;&#1061;&#1052;_&#1057;&#1059;-&#1057;&#1056;_&#1089;&#1090;&#1077;&#1085;&#1076;&#1072;_&#1086;&#1075;&#1085;&#1077;&#1074;&#1099;&#1093;_&#1080;&#1089;&#1087;&#1099;&#1090;&#1072;&#1085;&#1080;&#1081;_&#1052;&#1077;&#1083;&#1080;&#1093;&#1086;&#1074;\&#1058;&#1050;&#1055;_063_25_&#1089;&#1090;&#1072;&#1090;&#1091;&#1089;.xlsm" TargetMode="External"/></Relationships>
</file>

<file path=xl/externalLinks/_rels/externalLink177.xml.rels><?xml version="1.0" encoding="UTF-8" standalone="yes"?>
<Relationships xmlns="http://schemas.openxmlformats.org/package/2006/relationships"><Relationship Id="rId1" Type="http://schemas.openxmlformats.org/officeDocument/2006/relationships/externalLinkPath" Target="/MERA/TKP/TKP2025/tkp2025_066_EKLES%20SERTIFICATE_&#1058;&#1077;&#1085;&#1079;&#1086;&#1089;&#1090;&#1072;&#1085;&#1094;&#1080;&#1103;_24_&#1082;&#1072;&#1085;&#1072;&#1083;&#1072;_&#1054;&#1089;&#1090;&#1088;&#1086;&#1074;&#1089;&#1082;&#1072;&#1103;/&#1058;&#1050;&#1055;_066_25_&#1089;&#1090;&#1072;&#1090;&#1091;&#1089;.xlsm" TargetMode="External"/></Relationships>
</file>

<file path=xl/externalLinks/_rels/externalLink178.xml.rels><?xml version="1.0" encoding="UTF-8" standalone="yes"?>
<Relationships xmlns="http://schemas.openxmlformats.org/package/2006/relationships"><Relationship Id="rId1" Type="http://schemas.openxmlformats.org/officeDocument/2006/relationships/externalLinkPath" Target="file:///\\FSERV\MERA\TKP\TKP2025\tkp2025_066_EKLES%20SERTIFICATE_&#1058;&#1077;&#1085;&#1079;&#1086;&#1089;&#1090;&#1072;&#1085;&#1094;&#1080;&#1103;_24_&#1082;&#1072;&#1085;&#1072;&#1083;&#1072;_&#1054;&#1089;&#1090;&#1088;&#1086;&#1074;&#1089;&#1082;&#1072;&#1103;\&#1058;&#1050;&#1055;_066_25_&#1089;&#1090;&#1072;&#1090;&#1091;&#1089;.xlsm" TargetMode="External"/></Relationships>
</file>

<file path=xl/externalLinks/_rels/externalLink179.xml.rels><?xml version="1.0" encoding="UTF-8" standalone="yes"?>
<Relationships xmlns="http://schemas.openxmlformats.org/package/2006/relationships"><Relationship Id="rId1" Type="http://schemas.openxmlformats.org/officeDocument/2006/relationships/externalLinkPath" Target="file:///\\fserv\e\MERA\TKP\TKP2025\tkp2025_065_&#1054;&#1044;&#1050;%20&#1059;&#1052;&#1055;&#1054;_&#1048;&#1089;&#1087;&#1099;&#1090;&#1072;&#1085;&#1080;&#1103;_&#1040;&#1055;&#1044;_2_&#1089;&#1090;&#1077;&#1085;&#1076;&#1072;_&#1056;&#1057;&#1057;_&#1041;&#1091;&#1088;&#1103;&#1082;\&#1058;&#1050;&#1055;_065_25_&#1089;&#1090;&#1072;&#1090;&#1091;&#1089;.xlsm" TargetMode="External"/></Relationships>
</file>

<file path=xl/externalLinks/_rels/externalLink180.xml.rels><?xml version="1.0" encoding="UTF-8" standalone="yes"?>
<Relationships xmlns="http://schemas.openxmlformats.org/package/2006/relationships"><Relationship Id="rId1" Type="http://schemas.openxmlformats.org/officeDocument/2006/relationships/externalLinkPath" Target="/MERA/TKP/TKP2025/tkp2025_076_&#1057;&#1072;&#1090;&#1091;&#1088;&#1085;%20DDS-M-110_&#1056;&#1057;&#1057;_&#1052;&#1077;&#1083;&#1080;&#1093;&#1086;&#1074;/&#1058;&#1050;&#1055;_076_25_&#1089;&#1090;&#1072;&#1090;&#1091;&#1089;.xlsm" TargetMode="External"/></Relationships>
</file>

<file path=xl/externalLinks/_rels/externalLink181.xml.rels><?xml version="1.0" encoding="UTF-8" standalone="yes"?>
<Relationships xmlns="http://schemas.openxmlformats.org/package/2006/relationships"><Relationship Id="rId1" Type="http://schemas.openxmlformats.org/officeDocument/2006/relationships/externalLinkPath" Target="file:///\\fserv\e\MERA\TKP\TKP2025\tkp2025_071_&#1040;&#1054;_&#1057;&#1050;&#1041;&#1052;_&#1052;&#1091;&#1088;&#1072;&#1074;&#1077;&#1081;&#1085;&#1080;&#1082;_&#1044;&#1072;&#1090;&#1095;&#1080;&#1082;&#1080;_&#1054;&#1089;&#1090;&#1088;&#1086;&#1074;&#1089;&#1082;&#1072;&#1103;\&#1058;&#1050;&#1055;_071_25_&#1089;&#1090;&#1072;&#1090;&#1091;&#1089;.xlsm" TargetMode="External"/></Relationships>
</file>

<file path=xl/externalLinks/_rels/externalLink182.xml.rels><?xml version="1.0" encoding="UTF-8" standalone="yes"?>
<Relationships xmlns="http://schemas.openxmlformats.org/package/2006/relationships"><Relationship Id="rId1" Type="http://schemas.openxmlformats.org/officeDocument/2006/relationships/externalLinkPath" Target="file:///\\fserv\e\MERA\TKP\TKP2025\tkp2025_112_&#1053;&#1055;&#1055;_&#1057;&#1090;&#1072;&#1088;&#1090;_&#1071;&#1089;&#1082;&#1080;&#1085;&#1072;_&#1052;&#1086;&#1076;&#1077;&#1088;&#1085;&#1080;&#1079;&#1072;&#1094;&#1080;&#1103;_&#1089;&#1080;&#1089;&#1090;&#1077;&#1084;&#1099;_&#1054;&#1089;&#1090;&#1088;&#1086;&#1074;&#1089;&#1082;&#1072;&#1103;\&#1058;&#1050;&#1055;_112_25_&#1089;&#1090;&#1072;&#1090;&#1091;&#1089;.xlsm" TargetMode="External"/></Relationships>
</file>

<file path=xl/externalLinks/_rels/externalLink183.xml.rels><?xml version="1.0" encoding="UTF-8" standalone="yes"?>
<Relationships xmlns="http://schemas.openxmlformats.org/package/2006/relationships"><Relationship Id="rId1" Type="http://schemas.openxmlformats.org/officeDocument/2006/relationships/externalLinkPath" Target="file:///\\fserv\e\MERA\TKP\TKP2025\tkp2025_080_&#1050;&#1072;&#1083;&#1080;&#1085;&#1080;&#1085;&#1089;&#1082;&#1072;&#1103;_&#1040;&#1069;&#1057;_&#1056;&#1072;&#1073;&#1086;&#1090;&#1099;%20&#1074;%20&#1095;&#1072;&#1089;&#1090;&#1080;%20&#1079;&#1072;&#1084;&#1077;&#1088;&#1086;&#1074;%20&#1074;&#1080;&#1073;&#1088;&#1072;&#1094;&#1080;&#1080;%20&#1083;&#1086;&#1087;&#1072;&#1090;&#1086;&#1082;_&#1041;&#1091;&#1088;&#1103;&#1082;\&#1058;&#1050;&#1055;_080_25_&#1089;&#1090;&#1072;&#1090;&#1091;&#1089;.xlsm" TargetMode="External"/></Relationships>
</file>

<file path=xl/externalLinks/_rels/externalLink184.xml.rels><?xml version="1.0" encoding="UTF-8" standalone="yes"?>
<Relationships xmlns="http://schemas.openxmlformats.org/package/2006/relationships"><Relationship Id="rId1" Type="http://schemas.openxmlformats.org/officeDocument/2006/relationships/externalLinkPath" Target="file:///\\fserv\e\MERA\TKP\TKP2025\tkp2025_081_&#1054;&#1044;&#1050;-&#1048;&#1085;&#1078;&#1080;&#1085;&#1080;&#1088;&#1080;&#1085;&#1075;_&#1057;&#1080;&#1089;&#1090;&#1077;&#1084;&#1072;_&#1074;&#1080;&#1073;&#1088;&#1086;&#1076;&#1080;&#1072;&#1075;&#1085;&#1086;&#1089;&#1090;&#1080;&#1082;&#1080;_(&#1040;&#1088;&#1082;&#1090;&#1080;&#1082;_&#1057;&#1055;&#1043;-2)_&#1052;&#1077;&#1083;&#1080;&#1093;&#1086;&#1074;\&#1058;&#1050;&#1055;_081_25_&#1089;&#1090;&#1072;&#1090;&#1091;&#1089;.xlsm" TargetMode="External"/></Relationships>
</file>

<file path=xl/externalLinks/_rels/externalLink185.xml.rels><?xml version="1.0" encoding="UTF-8" standalone="yes"?>
<Relationships xmlns="http://schemas.openxmlformats.org/package/2006/relationships"><Relationship Id="rId1" Type="http://schemas.openxmlformats.org/officeDocument/2006/relationships/externalLinkPath" Target="file:///\\fserv\e\MERA\TKP\TKP2025\tkp2025_098_&#1057;&#1080;&#1083;&#1086;&#1074;&#1099;&#1077;_&#1084;&#1072;&#1096;&#1080;&#1085;&#1099;_&#1051;&#1040;&#1069;&#1057;-2_&#1057;&#1050;&#1042;&#1051;_&#1056;&#1057;&#1057;_&#1041;&#1091;&#1088;&#1103;&#1082;\&#1058;&#1050;&#1055;_098_25_&#1089;&#1090;&#1072;&#1090;&#1091;&#1089;.xlsm" TargetMode="External"/></Relationships>
</file>

<file path=xl/externalLinks/_rels/externalLink186.xml.rels><?xml version="1.0" encoding="UTF-8" standalone="yes"?>
<Relationships xmlns="http://schemas.openxmlformats.org/package/2006/relationships"><Relationship Id="rId1" Type="http://schemas.openxmlformats.org/officeDocument/2006/relationships/externalLinkPath" Target="file:///\\fserv\e\MERA\TKP\TKP2025\tkp2025_117_&#1057;&#1080;&#1083;&#1086;&#1074;&#1099;&#1077;_&#1084;&#1072;&#1096;&#1080;&#1085;&#1099;_&#1051;&#1052;&#1047;_&#1057;&#1050;&#1042;&#1051;_&#1056;&#1057;&#1057;_&#1041;&#1091;&#1088;&#1103;&#1082;\&#1058;&#1050;&#1055;_117_25_&#1089;&#1090;&#1072;&#1090;&#1091;&#1089;.xlsm" TargetMode="External"/></Relationships>
</file>

<file path=xl/externalLinks/_rels/externalLink187.xml.rels><?xml version="1.0" encoding="UTF-8" standalone="yes"?>
<Relationships xmlns="http://schemas.openxmlformats.org/package/2006/relationships"><Relationship Id="rId1" Type="http://schemas.openxmlformats.org/officeDocument/2006/relationships/externalLinkPath" Target="file:///\\fserv\e\MERA\TKP\TKP2025\tkp2025_125_&#1057;&#1080;&#1083;&#1086;&#1074;&#1099;&#1077;_&#1084;&#1072;&#1096;&#1080;&#1085;&#1099;_&#1040;&#1069;&#1057;_&#1050;&#1091;&#1076;&#1072;&#1085;&#1082;&#1091;&#1083;&#1072;&#1084;_&#1057;&#1050;&#1042;&#1051;_&#1056;&#1057;&#1057;_&#1041;&#1091;&#1088;&#1103;&#1082;\&#1058;&#1050;&#1055;_125_25_&#1089;&#1090;&#1072;&#1090;&#1091;&#1089;.xlsm" TargetMode="External"/></Relationships>
</file>

<file path=xl/externalLinks/_rels/externalLink188.xml.rels><?xml version="1.0" encoding="UTF-8" standalone="yes"?>
<Relationships xmlns="http://schemas.openxmlformats.org/package/2006/relationships"><Relationship Id="rId1" Type="http://schemas.openxmlformats.org/officeDocument/2006/relationships/externalLinkPath" Target="file:///\\fserv\e\MERA\TKP\TKP2025\tkp2025_126_&#1040;&#1054;_&#1050;&#1088;&#1086;&#1085;&#1096;&#1090;&#1072;&#1076;&#1090;_&#1048;&#1079;&#1084;&#1077;&#1088;&#1080;&#1090;&#1077;&#1083;&#1100;&#1085;&#1099;&#1077;_&#1089;&#1080;&#1089;&#1090;&#1077;&#1084;&#1099;_&#1054;&#1089;&#1090;&#1088;&#1086;&#1074;&#1089;&#1082;&#1072;&#1103;\&#1058;&#1050;&#1055;_126_25_&#1089;&#1090;&#1072;&#1090;&#1091;&#1089;.xlsm" TargetMode="External"/></Relationships>
</file>

<file path=xl/externalLinks/_rels/externalLink189.xml.rels><?xml version="1.0" encoding="UTF-8" standalone="yes"?>
<Relationships xmlns="http://schemas.openxmlformats.org/package/2006/relationships"><Relationship Id="rId1" Type="http://schemas.openxmlformats.org/officeDocument/2006/relationships/externalLinkPath" Target="file:///\\fserv\e\MERA\TKP\TKP2025\tkp2025_153_&#1059;&#1052;&#1055;&#1054;_&#1040;&#1057;&#1059;&#1058;&#1055;%20&#1073;&#1086;&#1082;&#1089;%203,4_&#1056;&#1057;&#1057;_&#1054;&#1089;&#1090;&#1088;&#1086;&#1074;&#1089;&#1082;&#1072;&#1103;\&#1058;&#1050;&#1055;_153_25_&#1089;&#1090;&#1072;&#1090;&#1091;&#1089;.xlsm" TargetMode="External"/></Relationships>
</file>

<file path=xl/externalLinks/_rels/externalLink190.xml.rels><?xml version="1.0" encoding="UTF-8" standalone="yes"?>
<Relationships xmlns="http://schemas.openxmlformats.org/package/2006/relationships"><Relationship Id="rId1" Type="http://schemas.openxmlformats.org/officeDocument/2006/relationships/externalLinkPath" Target="file:///\\fserv\e\MERA\TKP\TKP2025\tkp2025_154_&#1050;&#1041;&#1061;&#1040;_&#1089;&#1090;.9%20&#1044;&#1086;&#1086;&#1089;&#1085;&#1072;&#1097;&#1077;&#1085;&#1080;&#1077;_&#1056;&#1057;&#1057;_&#1052;&#1077;&#1083;&#1080;&#1093;&#1086;&#1074;\&#1058;&#1050;&#1055;_154_25_&#1089;&#1090;&#1072;&#1090;&#1091;&#1089;.xlsm" TargetMode="External"/></Relationships>
</file>

<file path=xl/externalLinks/_rels/externalLink191.xml.rels><?xml version="1.0" encoding="UTF-8" standalone="yes"?>
<Relationships xmlns="http://schemas.openxmlformats.org/package/2006/relationships"><Relationship Id="rId1" Type="http://schemas.openxmlformats.org/officeDocument/2006/relationships/externalLinkPath" Target="file:///\\fserv\e\MERA\TKP\TKP2025\tkp2025_127_&#1040;&#1054;%20&#1069;&#1082;&#1086;&#1083;&#1080;&#1073;&#1088;&#1080;_&#1057;&#1084;&#1072;&#1075;&#1080;&#1085;&#1072;\&#1058;&#1050;&#1055;_127_25_&#1089;&#1090;&#1072;&#1090;&#1091;&#1089;.xlsm" TargetMode="External"/></Relationships>
</file>

<file path=xl/externalLinks/_rels/externalLink192.xml.rels><?xml version="1.0" encoding="UTF-8" standalone="yes"?>
<Relationships xmlns="http://schemas.openxmlformats.org/package/2006/relationships"><Relationship Id="rId1" Type="http://schemas.openxmlformats.org/officeDocument/2006/relationships/externalLinkPath" Target="file:///\\fserv\e\MERA\TKP\TKP2024\tkp2024_334_&#1059;&#1047;&#1043;&#1040;_&#1040;&#1055;&#1044;-500_2_&#1089;&#1090;&#1077;&#1085;&#1076;&#1072;_&#1056;&#1057;&#1057;_&#1041;&#1091;&#1088;&#1103;&#1082;\&#1058;&#1050;&#1055;_334_24_&#1089;&#1090;&#1072;&#1090;&#1091;&#1089;.xlsm" TargetMode="External"/></Relationships>
</file>

<file path=xl/externalLinks/_rels/externalLink193.xml.rels><?xml version="1.0" encoding="UTF-8" standalone="yes"?>
<Relationships xmlns="http://schemas.openxmlformats.org/package/2006/relationships"><Relationship Id="rId1" Type="http://schemas.openxmlformats.org/officeDocument/2006/relationships/externalLinkPath" Target="file:///\\fserv\e\MERA\TKP\TKP2025\tkp2025_138_&#1062;&#1053;&#1048;&#1048;&#1052;&#1040;&#1064;_&#1091;&#1076;&#1072;&#1088;&#1085;&#1099;&#1081;%20&#1089;&#1090;&#1077;&#1085;&#1076;_&#1087;&#1091;&#1083;&#1100;&#1089;&#1072;&#1094;&#1080;&#1080;_&#1056;&#1057;&#1057;_&#1052;&#1077;&#1083;&#1080;&#1093;&#1086;&#1074;\&#1058;&#1050;&#1055;_138_25_&#1089;&#1090;&#1072;&#1090;&#1091;&#1089;.xlsm" TargetMode="External"/></Relationships>
</file>

<file path=xl/externalLinks/_rels/externalLink194.xml.rels><?xml version="1.0" encoding="UTF-8" standalone="yes"?>
<Relationships xmlns="http://schemas.openxmlformats.org/package/2006/relationships"><Relationship Id="rId1" Type="http://schemas.openxmlformats.org/officeDocument/2006/relationships/externalLinkPath" Target="file:///\\FSERV\MERA\TKP\TKP2025\tkp2025_140_&#1054;&#1044;&#1050;-&#1050;&#1091;&#1079;&#1085;&#1077;&#1094;&#1086;&#1074;_&#1079;&#1072;&#1075;&#1088;&#1091;&#1079;&#1086;&#1095;&#1085;&#1086;&#1077;_&#1091;&#1089;&#1090;&#1088;&#1086;&#1081;&#1089;&#1090;&#1074;&#1086;_&#1082;&#1086;&#1088;&#1087;.201_&#1094;&#1077;&#1093;60_&#1042;&#1080;&#1085;&#1090;&#1072;&#1081;_&#1052;&#1077;&#1083;&#1080;&#1093;&#1086;&#1074;\&#1058;&#1050;&#1055;_140_25_&#1089;&#1090;&#1072;&#1090;&#1091;&#1089;.xlsm" TargetMode="External"/></Relationships>
</file>

<file path=xl/externalLinks/_rels/externalLink195.xml.rels><?xml version="1.0" encoding="UTF-8" standalone="yes"?>
<Relationships xmlns="http://schemas.openxmlformats.org/package/2006/relationships"><Relationship Id="rId1" Type="http://schemas.openxmlformats.org/officeDocument/2006/relationships/externalLinkPath" Target="file:///\\FSERV\MERA\TKP\TKP2025\tkp2025_156_&#1050;&#1041;&#1061;&#1052;_&#1054;&#1087;&#1077;&#1088;&#1072;&#1090;&#1086;&#1088;&#1089;&#1082;&#1080;&#1077;_&#1089;&#1090;&#1072;&#1085;&#1094;&#1080;&#1080;_&#1052;&#1077;&#1083;&#1080;&#1093;&#1086;&#1074;\&#1058;&#1050;&#1055;_156_25_&#1089;&#1090;&#1072;&#1090;&#1091;&#1089;.xlsm" TargetMode="External"/></Relationships>
</file>

<file path=xl/externalLinks/_rels/externalLink196.xml.rels><?xml version="1.0" encoding="UTF-8" standalone="yes"?>
<Relationships xmlns="http://schemas.openxmlformats.org/package/2006/relationships"><Relationship Id="rId1" Type="http://schemas.openxmlformats.org/officeDocument/2006/relationships/externalLinkPath" Target="file:///\\FSERV\MERA\TKP\TKP2025\tkp2025_091_&#1053;&#1048;&#1062;_&#1056;&#1050;&#1055;_&#1050;&#1072;&#1084;&#1077;&#1088;&#1072;_&#1090;&#1077;&#1088;&#1084;&#1086;&#1074;&#1072;&#1082;&#1091;&#1091;&#1084;&#1085;&#1086;&#1081;_&#1089;&#1091;&#1096;&#1082;&#1080;_&#1052;&#1072;&#1088;&#1090;&#1099;&#1085;&#1086;&#1074;\&#1058;&#1047;\&#1058;&#1050;&#1055;_91_25_&#1089;&#1090;&#1072;&#1090;&#1091;&#1089;.xlsm" TargetMode="External"/></Relationships>
</file>

<file path=xl/externalLinks/_rels/externalLink197.xml.rels><?xml version="1.0" encoding="UTF-8" standalone="yes"?>
<Relationships xmlns="http://schemas.openxmlformats.org/package/2006/relationships"><Relationship Id="rId1" Type="http://schemas.openxmlformats.org/officeDocument/2006/relationships/externalLinkPath" Target="file:///\\fserv\e\MERA\TKP\TKP2025\tkp2025_159_&#1069;&#1088;&#1089;&#1090;&#1074;&#1072;&#1082;_&#1062;&#1080;&#1092;&#1088;&#1086;&#1074;&#1086;&#1081;%20&#1089;&#1090;&#1077;&#1085;&#1076;_&#1041;&#1091;&#1088;&#1103;&#1082;\&#1058;&#1050;&#1055;_159_25_&#1089;&#1090;&#1072;&#1090;&#1091;&#1089;.xlsm" TargetMode="External"/></Relationships>
</file>

<file path=xl/externalLinks/_rels/externalLink198.xml.rels><?xml version="1.0" encoding="UTF-8" standalone="yes"?>
<Relationships xmlns="http://schemas.openxmlformats.org/package/2006/relationships"><Relationship Id="rId1" Type="http://schemas.openxmlformats.org/officeDocument/2006/relationships/externalLinkPath" Target="file:///\\fserv\e\MERA\TKP\TKP2025\tkp2025_140_&#1054;&#1044;&#1050;-&#1050;&#1091;&#1079;&#1085;&#1077;&#1094;&#1086;&#1074;_&#1079;&#1072;&#1075;&#1088;&#1091;&#1079;&#1086;&#1095;&#1085;&#1086;&#1077;_&#1091;&#1089;&#1090;&#1088;&#1086;&#1081;&#1089;&#1090;&#1074;&#1086;_&#1075;&#1080;&#1076;&#1088;&#1086;&#1090;&#1086;&#1088;&#1084;&#1086;&#1079;_&#1082;&#1086;&#1088;&#1087;.201_&#1094;&#1077;&#1093;60_&#1042;&#1080;&#1085;&#1090;&#1072;&#1081;_&#1052;&#1077;&#1083;&#1080;&#1093;&#1086;&#1074;\&#1058;&#1050;&#1055;_140_25_&#1089;&#1090;&#1072;&#1090;&#1091;&#1089;.xlsm" TargetMode="External"/></Relationships>
</file>

<file path=xl/externalLinks/_rels/externalLink199.xml.rels><?xml version="1.0" encoding="UTF-8" standalone="yes"?>
<Relationships xmlns="http://schemas.openxmlformats.org/package/2006/relationships"><Relationship Id="rId1" Type="http://schemas.openxmlformats.org/officeDocument/2006/relationships/externalLinkPath" Target="file:///\\fserv\e\MERA\TKP\TKP2025\tkp2025_176_&#1050;&#1072;&#1083;&#1080;&#1083;&#1080;&#1085;&#1089;&#1082;&#1072;&#1103;_&#1040;&#1069;&#1057;_&#1056;&#1072;&#1073;&#1086;&#1090;&#1099;%20&#1074;%20&#1095;&#1072;&#1089;&#1090;&#1080;%20&#1079;&#1072;&#1084;&#1077;&#1088;&#1086;&#1074;%20&#1074;&#1080;&#1073;&#1088;&#1072;&#1094;&#1080;&#1080;%20&#1083;&#1086;&#1087;&#1072;&#1090;&#1086;&#1082;_&#1041;&#1091;&#1088;&#1103;&#1082;\&#1058;&#1050;&#1055;_176_25_&#1089;&#1090;&#1072;&#1090;&#1091;&#1089;.xlsm" TargetMode="External"/></Relationships>
</file>

<file path=xl/externalLinks/_rels/externalLink200.xml.rels><?xml version="1.0" encoding="UTF-8" standalone="yes"?>
<Relationships xmlns="http://schemas.openxmlformats.org/package/2006/relationships"><Relationship Id="rId1" Type="http://schemas.openxmlformats.org/officeDocument/2006/relationships/externalLinkPath" Target="file:///\\FSERV\MERA\TKP\TKP2021\tkp2021_032_&#1059;&#1088;&#1072;&#1083;&#1074;&#1072;&#1075;&#1086;&#1085;&#1079;&#1072;&#1074;&#1086;&#1076;_MIC-036_&#1045;&#1078;&#1086;&#1074;&#1072;\&#1058;&#1050;&#1055;_032_21_&#1089;&#1090;&#1072;&#1090;&#1091;&#1089;.xlsm" TargetMode="External"/></Relationships>
</file>

<file path=xl/externalLinks/_rels/externalLink201.xml.rels><?xml version="1.0" encoding="UTF-8" standalone="yes"?>
<Relationships xmlns="http://schemas.openxmlformats.org/package/2006/relationships"><Relationship Id="rId1" Type="http://schemas.openxmlformats.org/officeDocument/2006/relationships/externalLinkPath" Target="file:///\\fserv\e\MERA\TKP\TKP2025\tkp2025_219_&#1054;&#1044;&#1050;_&#1050;&#1091;&#1079;&#1085;&#1077;&#1094;&#1086;&#1074;_&#1040;&#1057;&#1059;&#1058;&#1055;_&#1089;&#1090;.3,4_&#1042;&#1080;&#1085;&#1090;&#1072;&#1081;_&#1052;&#1077;&#1083;&#1080;&#1093;&#1086;&#1074;\&#1058;&#1050;&#1055;_219_25_&#1089;&#1090;&#1072;&#1090;&#1091;&#1089;.xlsm" TargetMode="External"/></Relationships>
</file>

<file path=xl/externalLinks/_rels/externalLink202.xml.rels><?xml version="1.0" encoding="UTF-8" standalone="yes"?>
<Relationships xmlns="http://schemas.openxmlformats.org/package/2006/relationships"><Relationship Id="rId1" Type="http://schemas.openxmlformats.org/officeDocument/2006/relationships/externalLinkPath" Target="/MERA/TKP/TKP2023/tkp2023_457_&#1057;&#1080;&#1083;&#1086;&#1074;&#1099;&#1077;_&#1084;&#1072;&#1096;&#1080;&#1085;&#1099;_&#1040;&#1048;&#1057;_&#1043;&#1058;&#1069;-65.1_&#1052;&#1077;&#1083;&#1080;&#1093;&#1086;&#1074;/&#1058;&#1050;&#1055;_457_23_&#1089;&#1090;&#1072;&#1090;&#1091;&#1089;.xlsm" TargetMode="External"/></Relationships>
</file>

<file path=xl/externalLinks/_rels/externalLink203.xml.rels><?xml version="1.0" encoding="UTF-8" standalone="yes"?>
<Relationships xmlns="http://schemas.openxmlformats.org/package/2006/relationships"><Relationship Id="rId1" Type="http://schemas.openxmlformats.org/officeDocument/2006/relationships/externalLinkPath" Target="file:///\\FSERV\MERA\TKP\TKP2022\tkp2022_230_&#1057;&#1050;&#1041;&#1052;_&#1050;&#1091;&#1088;&#1075;&#1072;&#1085;&#1052;&#1072;&#1096;&#1047;&#1072;&#1074;&#1086;&#1076;_&#1089;&#1090;&#1077;&#1085;&#1076;%20&#1080;&#1089;&#1087;&#1099;&#1090;&#1072;&#1085;&#1080;&#1081;%20&#1043;&#1052;&#1058;_&#1045;&#1078;&#1086;&#1074;&#1072;_&#1056;&#1057;&#1057;\&#1058;&#1050;&#1055;_230_22_&#1089;&#1090;&#1072;&#1090;&#1091;&#1089;.xlsm" TargetMode="External"/></Relationships>
</file>

<file path=xl/externalLinks/_rels/externalLink204.xml.rels><?xml version="1.0" encoding="UTF-8" standalone="yes"?>
<Relationships xmlns="http://schemas.openxmlformats.org/package/2006/relationships"><Relationship Id="rId1" Type="http://schemas.openxmlformats.org/officeDocument/2006/relationships/externalLinkPath" Target="file:///\\FSERV\MERA\TKP\TKP2022\tkp2022_264_&#1053;&#1055;&#1055;%20&#1047;&#1074;&#1077;&#1079;&#1076;&#1072;_&#1057;&#1090;&#1077;&#1085;&#1076;%20&#1040;&#1057;&#1057;_&#1052;&#1077;&#1083;&#1080;&#1093;&#1086;&#1074;\&#1058;&#1050;&#1055;_264_22_&#1089;&#1090;&#1072;&#1090;&#1091;&#1089;.xlsm" TargetMode="External"/></Relationships>
</file>

<file path=xl/externalLinks/_rels/externalLink205.xml.rels><?xml version="1.0" encoding="UTF-8" standalone="yes"?>
<Relationships xmlns="http://schemas.openxmlformats.org/package/2006/relationships"><Relationship Id="rId1" Type="http://schemas.openxmlformats.org/officeDocument/2006/relationships/externalLinkPath" Target="file:///\\fserv\e\MERA\TKP\TKP2025\tkp2025_202_Kingsly_System%20for%20Gear%20box%20testing_&#1056;&#1057;&#1057;_&#1041;&#1091;&#1088;&#1103;&#1082;\&#1058;&#1050;&#1055;_202_25_&#1089;&#1090;&#1072;&#1090;&#1091;&#1089;.xlsm" TargetMode="External"/></Relationships>
</file>

<file path=xl/externalLinks/_rels/externalLink206.xml.rels><?xml version="1.0" encoding="UTF-8" standalone="yes"?>
<Relationships xmlns="http://schemas.openxmlformats.org/package/2006/relationships"><Relationship Id="rId1" Type="http://schemas.openxmlformats.org/officeDocument/2006/relationships/externalLinkPath" Target="file:///\\fserv\e\MERA\TKP\TKP2025\tkp2025_237_&#1053;&#1055;&#1054;_&#1040;&#1074;&#1090;&#1086;&#1084;&#1072;&#1090;&#1080;&#1082;&#1080;_&#1041;&#1083;&#1086;&#1082;&#1080;_&#1050;&#1057;&#1058;-2_&#1052;&#1072;&#1088;&#1090;&#1099;&#1085;&#1086;&#1074;\&#1058;&#1050;&#1055;_237_25_&#1089;&#1090;&#1072;&#1090;&#1091;&#1089;.xlsm" TargetMode="External"/></Relationships>
</file>

<file path=xl/externalLinks/_rels/externalLink207.xml.rels><?xml version="1.0" encoding="UTF-8" standalone="yes"?>
<Relationships xmlns="http://schemas.openxmlformats.org/package/2006/relationships"><Relationship Id="rId1" Type="http://schemas.openxmlformats.org/officeDocument/2006/relationships/externalLinkPath" Target="file:///\\fserv\e\MERA\TKP\TKP2025\tkp2025_223_Kingsly_MIC-185_&#1056;&#1057;&#1057;_&#1041;&#1091;&#1088;&#1103;&#1082;\&#1058;&#1050;&#1055;_223_25_&#1089;&#1090;&#1072;&#1090;&#1091;&#1089;.xlsm" TargetMode="External"/></Relationships>
</file>

<file path=xl/externalLinks/_rels/externalLink208.xml.rels><?xml version="1.0" encoding="UTF-8" standalone="yes"?>
<Relationships xmlns="http://schemas.openxmlformats.org/package/2006/relationships"><Relationship Id="rId1" Type="http://schemas.openxmlformats.org/officeDocument/2006/relationships/externalLinkPath" Target="file:///\\fserv\e\MERA\TKP\TKP2025\tkp2025_244_&#1051;&#1048;&#1048;&#1055;%20&#1080;&#1084;.%20&#1043;&#1088;&#1080;&#1079;&#1086;&#1076;&#1091;&#1073;&#1086;&#1074;&#1086;&#1081;_&#1048;&#1089;&#1087;&#1099;&#1090;&#1072;&#1085;&#1080;&#1103;%20&#1043;&#1058;&#1044;_&#1056;&#1057;&#1057;_&#1041;&#1091;&#1088;&#1103;&#1082;\&#1058;&#1050;&#1055;_244_25_&#1089;&#1090;&#1072;&#1090;&#1091;&#1089;.xlsm" TargetMode="External"/></Relationships>
</file>

<file path=xl/externalLinks/_rels/externalLink209.xml.rels><?xml version="1.0" encoding="UTF-8" standalone="yes"?>
<Relationships xmlns="http://schemas.openxmlformats.org/package/2006/relationships"><Relationship Id="rId1" Type="http://schemas.openxmlformats.org/officeDocument/2006/relationships/externalLinkPath" Target="file:///\\fserv\e\MERA\TKP\TKP2025\tkp2025_245_&#1057;&#1072;&#1090;&#1091;&#1088;&#1085;_&#1052;&#1043;&#1058;&#1044;%20&#1089;&#1090;&#1077;&#1085;&#1076;%20&#1059;-05_&#1056;&#1057;&#1057;_&#1041;&#1091;&#1088;&#1103;&#1082;\&#1058;&#1050;&#1055;_245_25_&#1089;&#1090;&#1072;&#1090;&#1091;&#1089;.xlsm" TargetMode="External"/></Relationships>
</file>

<file path=xl/externalLinks/_rels/externalLink210.xml.rels><?xml version="1.0" encoding="UTF-8" standalone="yes"?>
<Relationships xmlns="http://schemas.openxmlformats.org/package/2006/relationships"><Relationship Id="rId1" Type="http://schemas.openxmlformats.org/officeDocument/2006/relationships/externalLinkPath" Target="file:///\\fserv\e\MERA\TKP\TKP2025\tkp2025_241_Kingsly_MIC-185_demo_&#1056;&#1057;&#1057;_&#1041;&#1091;&#1088;&#1103;&#1082;\&#1058;&#1050;&#1055;_241_25_&#1089;&#1090;&#1072;&#1090;&#1091;&#1089;.xlsm" TargetMode="External"/></Relationships>
</file>

<file path=xl/externalLinks/_rels/externalLink211.xml.rels><?xml version="1.0" encoding="UTF-8" standalone="yes"?>
<Relationships xmlns="http://schemas.openxmlformats.org/package/2006/relationships"><Relationship Id="rId1" Type="http://schemas.openxmlformats.org/officeDocument/2006/relationships/externalLinkPath" Target="file:///\\fserv\e\MERA\TKP\TKP2025\tkp2025_249_&#1062;&#1048;&#1040;&#1052;_&#1084;&#1086;&#1085;&#1080;&#1090;&#1086;&#1088;_&#1057;&#1084;&#1072;&#1075;&#1080;&#1085;&#1072;\&#1058;&#1050;&#1055;_249_25_&#1089;&#1090;&#1072;&#1090;&#1091;&#1089;.xlsm" TargetMode="External"/></Relationships>
</file>

<file path=xl/externalLinks/_rels/externalLink212.xml.rels><?xml version="1.0" encoding="UTF-8" standalone="yes"?>
<Relationships xmlns="http://schemas.openxmlformats.org/package/2006/relationships"><Relationship Id="rId1" Type="http://schemas.openxmlformats.org/officeDocument/2006/relationships/externalLinkPath" Target="file:///\\fserv\e\MERA\TKP\TKP2025\tkp2025_242_&#1043;&#1050;&#1053;&#1055;&#1062;_&#1061;&#1088;&#1091;&#1085;&#1080;&#1095;&#1077;&#1074;&#1072;_&#1048;&#1057;&#1057;&#1056;_&#1050;&#1040;_&#1056;&#1057;&#1057;_&#1052;&#1072;&#1088;&#1090;&#1099;&#1085;&#1086;&#1074;\&#1058;&#1050;&#1055;_242_25_&#1089;&#1090;&#1072;&#1090;&#1091;&#1089;.xlsm" TargetMode="External"/></Relationships>
</file>

<file path=xl/externalLinks/_rels/externalLink213.xml.rels><?xml version="1.0" encoding="UTF-8" standalone="yes"?>
<Relationships xmlns="http://schemas.openxmlformats.org/package/2006/relationships"><Relationship Id="rId1" Type="http://schemas.openxmlformats.org/officeDocument/2006/relationships/externalLinkPath" Target="file:///\\fserv\e\MERA\TKP\TKP2025\tkp2025_257_&#1055;&#1050;_&#1057;&#1072;&#1083;&#1102;&#1090;_&#1040;&#1101;&#1088;&#1086;&#1076;&#1080;&#1085;&#1072;&#1084;&#1080;&#1095;&#1077;&#1089;&#1082;&#1080;&#1081;_&#1088;&#1072;&#1089;&#1095;&#1077;&#1090;_&#1073;&#1086;&#1082;&#1089;&#1072;_&#1056;&#1057;&#1057;_&#1041;&#1091;&#1088;&#1103;&#1082;\&#1058;&#1050;&#1055;_257_25_&#1089;&#1090;&#1072;&#1090;&#1091;&#1089;.xlsm" TargetMode="External"/></Relationships>
</file>

<file path=xl/externalLinks/_rels/externalLink214.xml.rels><?xml version="1.0" encoding="UTF-8" standalone="yes"?>
<Relationships xmlns="http://schemas.openxmlformats.org/package/2006/relationships"><Relationship Id="rId1" Type="http://schemas.openxmlformats.org/officeDocument/2006/relationships/externalLinkPath" Target="file:///\\fserv\e\MERA\TKP\TKP2025\tkp2025_285_&#1062;&#1040;&#1043;&#1048;_&#1084;&#1086;&#1076;&#1072;&#1083;&#1100;&#1085;&#1099;&#1081;%20&#1074;&#1086;&#1079;&#1073;&#1091;&#1076;&#1080;&#1090;&#1077;&#1083;&#1100;%202500&#1053;_&#1056;&#1057;&#1057;_\&#1058;&#1050;&#1055;_285_25_&#1089;&#1090;&#1072;&#1090;&#1091;&#1089;.xlsm" TargetMode="External"/></Relationships>
</file>

<file path=xl/externalLinks/_rels/externalLink215.xml.rels><?xml version="1.0" encoding="UTF-8" standalone="yes"?>
<Relationships xmlns="http://schemas.openxmlformats.org/package/2006/relationships"><Relationship Id="rId1" Type="http://schemas.openxmlformats.org/officeDocument/2006/relationships/externalLinkPath" Target="file:///\\fserv\e\MERA\TKP\TKP2025\tkp2025_279_&#1050;&#1041;&#1061;&#1052;_MIC-236_MIC-553_&#1056;&#1057;&#1057;_\&#1058;&#1050;&#1055;_279_25_&#1089;&#1090;&#1072;&#1090;&#1091;&#1089;.xlsm" TargetMode="External"/></Relationships>
</file>

<file path=xl/externalLinks/_rels/externalLink216.xml.rels><?xml version="1.0" encoding="UTF-8" standalone="yes"?>
<Relationships xmlns="http://schemas.openxmlformats.org/package/2006/relationships"><Relationship Id="rId1" Type="http://schemas.openxmlformats.org/officeDocument/2006/relationships/externalLinkPath" Target="/MERA/TKP/TKP2025/tkp2025_296_&#1056;&#1058;&#1059;_&#1052;&#1048;&#1056;&#1069;&#1040;_&#1057;&#1060;&#1053;&#1042;&#1055;_&#1056;&#1057;&#1057;_&#1041;&#1091;&#1088;&#1103;&#1082;/&#1058;&#1050;&#1055;_296_25_&#1089;&#1090;&#1072;&#1090;&#1091;&#1089;.xlsm" TargetMode="External"/></Relationships>
</file>

<file path=xl/externalLinks/_rels/externalLink217.xml.rels><?xml version="1.0" encoding="UTF-8" standalone="yes"?>
<Relationships xmlns="http://schemas.openxmlformats.org/package/2006/relationships"><Relationship Id="rId1" Type="http://schemas.openxmlformats.org/officeDocument/2006/relationships/externalLinkPath" Target="file:///\\fserv\e\MERA\TKP\TKP2025\tkp2025_290_Kingsly_strain%20recorder%2020000hz_&#1056;&#1057;&#1057;_&#1041;&#1091;&#1088;&#1103;&#1082;\&#1058;&#1050;&#1055;_290_25_&#1089;&#1090;&#1072;&#1090;&#1091;&#1089;.xlsm" TargetMode="External"/></Relationships>
</file>

<file path=xl/externalLinks/_rels/externalLink218.xml.rels><?xml version="1.0" encoding="UTF-8" standalone="yes"?>
<Relationships xmlns="http://schemas.openxmlformats.org/package/2006/relationships"><Relationship Id="rId1" Type="http://schemas.openxmlformats.org/officeDocument/2006/relationships/externalLinkPath" Target="file:///\\fserv\e\MERA\TKP\TKP2025\tkp2025_293_&#1057;&#1080;&#1083;&#1086;&#1074;&#1099;&#1077;_&#1084;&#1072;&#1096;&#1080;&#1085;&#1099;_&#1057;&#1090;&#1072;&#1090;&#1080;&#1074;&#1099;_&#1043;&#1058;&#1069;-65.1_&#1052;&#1077;&#1083;&#1080;&#1093;&#1086;&#1074;\&#1058;&#1050;&#1055;_293_25_&#1089;&#1090;&#1072;&#1090;&#1091;&#1089;.xlsm" TargetMode="External"/></Relationships>
</file>

<file path=xl/externalLinks/_rels/externalLink219.xml.rels><?xml version="1.0" encoding="UTF-8" standalone="yes"?>
<Relationships xmlns="http://schemas.openxmlformats.org/package/2006/relationships"><Relationship Id="rId1" Type="http://schemas.openxmlformats.org/officeDocument/2006/relationships/externalLinkPath" Target="file:///\\fserv\e\MERA\TKP\TKP2025\tkp2025_298_&#1053;&#1055;&#1050;_&#1050;&#1041;&#1052;_MT_200_&#1054;&#1089;&#1090;&#1088;&#1086;&#1074;&#1089;&#1082;&#1072;&#1103;\&#1058;&#1050;&#1055;_298_25_&#1089;&#1090;&#1072;&#1090;&#1091;&#1089;.xlsm" TargetMode="External"/></Relationships>
</file>

<file path=xl/externalLinks/_rels/externalLink220.xml.rels><?xml version="1.0" encoding="UTF-8" standalone="yes"?>
<Relationships xmlns="http://schemas.openxmlformats.org/package/2006/relationships"><Relationship Id="rId1" Type="http://schemas.openxmlformats.org/officeDocument/2006/relationships/externalLinkPath" Target="file:///\\fserv\e\MERA\TKP\TKP2025\tkp2025_337_&#1043;&#1080;&#1076;&#1088;&#1086;&#1087;&#1088;&#1077;&#1089;&#1089;_&#1057;&#1080;&#1089;&#1090;&#1077;&#1084;&#1072;_&#1076;&#1083;&#1103;_&#1074;&#1080;&#1073;&#1088;&#1086;&#1080;&#1089;&#1087;&#1099;&#1090;&#1072;&#1085;&#1080;&#1081;_&#1054;&#1089;&#1090;&#1088;&#1086;&#1074;&#1089;&#1082;&#1072;&#1103;\&#1058;&#1050;&#1055;_337_25_&#1089;&#1090;&#1072;&#1090;&#1091;&#1089;.xlsm" TargetMode="External"/></Relationships>
</file>

<file path=xl/externalLinks/_rels/externalLink221.xml.rels><?xml version="1.0" encoding="UTF-8" standalone="yes"?>
<Relationships xmlns="http://schemas.openxmlformats.org/package/2006/relationships"><Relationship Id="rId1" Type="http://schemas.openxmlformats.org/officeDocument/2006/relationships/externalLinkPath" Target="file:///\\fserv\e\MERA\TKP\TKP2025\tkp2025_304_&#1050;&#1041;&#1061;&#1040;_&#1089;&#1090;&#1077;&#1085;&#1076;%20&#8470;50_&#1056;&#1057;&#1057;_&#1052;&#1077;&#1083;&#1080;&#1093;&#1086;&#1074;\&#1058;&#1050;&#1055;_304_25_&#1089;&#1090;&#1072;&#1090;&#1091;&#1089;.xlsm" TargetMode="External"/></Relationships>
</file>

<file path=xl/externalLinks/_rels/externalLink222.xml.rels><?xml version="1.0" encoding="UTF-8" standalone="yes"?>
<Relationships xmlns="http://schemas.openxmlformats.org/package/2006/relationships"><Relationship Id="rId1" Type="http://schemas.openxmlformats.org/officeDocument/2006/relationships/externalLinkPath" Target="file:///\\FSERV\MERA\TKP\TKP2025\tkp2025_351_&#1052;&#1054;_&#1059;&#1055;&#1052;&#1048;_&#1057;&#1086;&#1083;&#1085;&#1099;&#1096;&#1082;&#1086;&#1074;_PXI_&#1056;&#1057;&#1057;_&#1054;&#1089;&#1090;&#1088;&#1086;&#1074;&#1089;&#1082;&#1072;&#1103;\&#1058;&#1050;&#1055;_351_25_&#1089;&#1090;&#1072;&#1090;&#1091;&#1089;.xlsm" TargetMode="External"/></Relationships>
</file>

<file path=xl/externalLinks/_rels/externalLink223.xml.rels><?xml version="1.0" encoding="UTF-8" standalone="yes"?>
<Relationships xmlns="http://schemas.openxmlformats.org/package/2006/relationships"><Relationship Id="rId1" Type="http://schemas.openxmlformats.org/officeDocument/2006/relationships/externalLinkPath" Target="file:///\\fserv\e\MERA\TKP\TKP2025\tkp2025_356_&#1052;&#1040;&#1047;_&#1055;&#1086;&#1088;&#1090;&#1072;&#1090;&#1080;&#1074;&#1085;&#1072;&#1103;_&#1089;&#1080;&#1089;&#1090;&#1077;&#1084;&#1072;_&#1089;&#1073;&#1086;&#1088;&#1072;_&#1076;&#1072;&#1085;&#1085;&#1099;&#1093;_&#1054;&#1089;&#1090;&#1088;&#1086;&#1074;&#1089;&#1082;&#1072;&#1103;\&#1058;&#1050;&#1055;_356_25_&#1089;&#1090;&#1072;&#1090;&#1091;&#1089;.xlsm" TargetMode="External"/></Relationships>
</file>

<file path=xl/externalLinks/_rels/externalLink224.xml.rels><?xml version="1.0" encoding="UTF-8" standalone="yes"?>
<Relationships xmlns="http://schemas.openxmlformats.org/package/2006/relationships"><Relationship Id="rId1" Type="http://schemas.openxmlformats.org/officeDocument/2006/relationships/externalLinkPath" Target="file:///\\fserv\e\MERA\TKP\TKP2025\tkp2025_313_&#1054;&#1050;&#1041;_&#1052;&#1080;&#1082;&#1086;&#1103;&#1085;&#1072;_&#1084;&#1086;&#1076;&#1072;&#1083;&#1100;&#1085;&#1099;&#1081;_&#1072;&#1085;&#1072;&#1083;&#1080;&#1079;_&#1056;&#1057;&#1057;_&#1052;&#1077;&#1083;&#1080;&#1093;&#1086;&#1074;\&#1058;&#1050;&#1055;_313_25_&#1089;&#1090;&#1072;&#1090;&#1091;&#1089;.xlsm" TargetMode="External"/></Relationships>
</file>

<file path=xl/externalLinks/_rels/externalLink225.xml.rels><?xml version="1.0" encoding="UTF-8" standalone="yes"?>
<Relationships xmlns="http://schemas.openxmlformats.org/package/2006/relationships"><Relationship Id="rId1" Type="http://schemas.openxmlformats.org/officeDocument/2006/relationships/externalLinkPath" Target="file:///\\fserv\e\MERA\TKP\TKP2025\tkp2025_319_&#1056;&#1050;&#1062;_&#1055;&#1088;&#1086;&#1075;&#1088;&#1077;&#1089;&#1089;_&#1048;&#1089;&#1087;&#1099;&#1090;&#1072;&#1090;&#1077;&#1083;&#1100;&#1085;&#1099;&#1081;_&#1089;&#1090;&#1077;&#1085;&#1076;_&#1056;&#1057;&#1057;_&#1054;&#1089;&#1090;&#1088;&#1086;&#1074;&#1089;&#1082;&#1072;&#1103;\&#1058;&#1050;&#1055;_319_25_&#1089;&#1090;&#1072;&#1090;&#1091;&#1089;.xlsm" TargetMode="External"/></Relationships>
</file>

<file path=xl/externalLinks/_rels/externalLink226.xml.rels><?xml version="1.0" encoding="UTF-8" standalone="yes"?>
<Relationships xmlns="http://schemas.openxmlformats.org/package/2006/relationships"><Relationship Id="rId1" Type="http://schemas.openxmlformats.org/officeDocument/2006/relationships/externalLinkPath" Target="file:///\\fserv\e\MERA\TKP\TKP2025\tkp2025_325_&#1050;&#1040;&#1052;&#1040;&#1047;_&#1057;&#1090;&#1077;&#1085;&#1076;_&#1080;&#1089;&#1087;&#1099;&#1090;&#1072;&#1085;&#1080;&#1103;_&#1095;&#1077;&#1090;&#1099;&#1088;&#1077;&#1093;&#1086;&#1089;&#1085;&#1099;&#1081;_&#1052;&#1077;&#1083;&#1080;&#1093;&#1086;&#1074;\&#1058;&#1050;&#1055;_325_25_&#1089;&#1090;&#1072;&#1090;&#1091;&#1089;.xlsm" TargetMode="External"/></Relationships>
</file>

<file path=xl/externalLinks/_rels/externalLink227.xml.rels><?xml version="1.0" encoding="UTF-8" standalone="yes"?>
<Relationships xmlns="http://schemas.openxmlformats.org/package/2006/relationships"><Relationship Id="rId1" Type="http://schemas.openxmlformats.org/officeDocument/2006/relationships/externalLinkPath" Target="file:///\\fserv\e\MERA\TKP\TKP2025\tkp2025_339_Kingsly_64-channel%20portable%20system_&#1056;&#1057;&#1057;_&#1041;&#1091;&#1088;&#1103;&#1082;\&#1058;&#1050;&#1055;_339_25_&#1089;&#1090;&#1072;&#1090;&#1091;&#1089;.xlsm" TargetMode="External"/></Relationships>
</file>

<file path=xl/externalLinks/_rels/externalLink228.xml.rels><?xml version="1.0" encoding="UTF-8" standalone="yes"?>
<Relationships xmlns="http://schemas.openxmlformats.org/package/2006/relationships"><Relationship Id="rId1" Type="http://schemas.openxmlformats.org/officeDocument/2006/relationships/externalLinkPath" Target="file:///\\fserv\e\MERA\TKP\TKP2025\tkp2025_338_&#1057;&#1080;&#1083;&#1086;&#1074;&#1099;&#1077;_&#1084;&#1072;&#1096;&#1080;&#1085;&#1099;_ME-405_&#1054;&#1055;&#1057;&#1048;-12-55%20_&#1056;&#1057;&#1057;_&#1041;&#1091;&#1088;&#1103;&#1082;\&#1058;&#1050;&#1055;_338_25_&#1089;&#1090;&#1072;&#1090;&#1091;&#1089;.xlsm" TargetMode="External"/></Relationships>
</file>

<file path=xl/externalLinks/_rels/externalLink229.xml.rels><?xml version="1.0" encoding="UTF-8" standalone="yes"?>
<Relationships xmlns="http://schemas.openxmlformats.org/package/2006/relationships"><Relationship Id="rId1" Type="http://schemas.openxmlformats.org/officeDocument/2006/relationships/externalLinkPath" Target="file:///\\fserv\e\MERA\TKP\TKP2025\tkp2025_408_&#1040;&#1054;%20&#1044;&#1059;&#1050;&#1057;_&#1052;&#1077;&#1083;&#1080;&#1093;&#1086;&#1074;_&#1056;&#1057;&#1057;\&#1058;&#1050;&#1055;_408_25_&#1089;&#1090;&#1072;&#1090;&#1091;&#1089;.xlsm" TargetMode="External"/></Relationships>
</file>

<file path=xl/externalLinks/_rels/externalLink230.xml.rels><?xml version="1.0" encoding="UTF-8" standalone="yes"?>
<Relationships xmlns="http://schemas.openxmlformats.org/package/2006/relationships"><Relationship Id="rId1" Type="http://schemas.openxmlformats.org/officeDocument/2006/relationships/externalLinkPath" Target="file:///\\fserv\e\MERA\TKP\TKP2025\tkp2025_335_&#1043;&#1072;&#1079;&#1087;&#1088;&#1086;&#1084;_&#1058;&#1088;&#1072;&#1085;&#1089;&#1075;&#1072;&#1079;_&#1070;&#1075;&#1086;&#1088;&#1089;&#1082;_MIC-1500_&#1054;&#1089;&#1090;&#1088;&#1086;&#1074;&#1089;&#1082;&#1072;&#1103;\&#1058;&#1050;&#1055;_335_25_&#1089;&#1090;&#1072;&#1090;&#1091;&#1089;.xlsm" TargetMode="External"/></Relationships>
</file>

<file path=xl/externalLinks/_rels/externalLink231.xml.rels><?xml version="1.0" encoding="UTF-8" standalone="yes"?>
<Relationships xmlns="http://schemas.openxmlformats.org/package/2006/relationships"><Relationship Id="rId1" Type="http://schemas.openxmlformats.org/officeDocument/2006/relationships/externalLinkPath" Target="file:///\\FSERV\MERA\TKP\TKP2025\tkp2025_366_Kingsly_MP-07_&#1056;&#1057;&#1057;_&#1041;&#1091;&#1088;&#1103;&#1082;\&#1058;&#1050;&#1055;_366_25_&#1089;&#1090;&#1072;&#1090;&#1091;&#1089;.xlsm" TargetMode="External"/></Relationships>
</file>

<file path=xl/externalLinks/_rels/externalLink232.xml.rels><?xml version="1.0" encoding="UTF-8" standalone="yes"?>
<Relationships xmlns="http://schemas.openxmlformats.org/package/2006/relationships"><Relationship Id="rId1" Type="http://schemas.openxmlformats.org/officeDocument/2006/relationships/externalLinkPath" Target="file:///\\fserv\e\MERA\TKP\TKP2025\tkp2025_380_&#1057;&#1043;&#1040;&#1059;_&#1089;&#1090;&#1077;&#1085;&#1076;&#1099;_&#1080;&#1089;&#1087;&#1099;&#1090;&#1072;&#1085;&#1080;&#1081;_&#1052;&#1043;&#1058;&#1044;_200H_&#1052;&#1077;&#1083;&#1080;&#1093;&#1086;&#1074;\&#1058;&#1050;&#1055;_380_25_&#1089;&#1090;&#1072;&#1090;&#1091;&#1089;.xlsm" TargetMode="External"/></Relationships>
</file>

<file path=xl/externalLinks/_rels/externalLink233.xml.rels><?xml version="1.0" encoding="UTF-8" standalone="yes"?>
<Relationships xmlns="http://schemas.openxmlformats.org/package/2006/relationships"><Relationship Id="rId1" Type="http://schemas.openxmlformats.org/officeDocument/2006/relationships/externalLinkPath" Target="file:///\\fserv\e\MERA\TKP\TKP2025\tkp2025_405_Kingsly_WinPOS_&#1056;&#1057;&#1057;_&#1041;&#1091;&#1088;&#1103;&#1082;\&#1058;&#1050;&#1055;_405_25_&#1089;&#1090;&#1072;&#1090;&#1091;&#1089;.xlsm" TargetMode="External"/></Relationships>
</file>

<file path=xl/externalLinks/_rels/externalLink234.xml.rels><?xml version="1.0" encoding="UTF-8" standalone="yes"?>
<Relationships xmlns="http://schemas.openxmlformats.org/package/2006/relationships"><Relationship Id="rId1" Type="http://schemas.openxmlformats.org/officeDocument/2006/relationships/externalLinkPath" Target="file:///\\fserv\e\MERA\TKP\TKP2025\tkp2025_403_&#1050;&#1041;&#1061;&#1040;_&#1041;&#1083;&#1086;&#1082;&#1080;_&#1048;&#1042;&#1047;_&#1052;&#1077;&#1083;&#1080;&#1093;&#1086;&#1074;\&#1058;&#1050;&#1055;_403_25_&#1089;&#1090;&#1072;&#1090;&#1091;&#1089;.xlsm" TargetMode="External"/></Relationships>
</file>

<file path=xl/externalLinks/_rels/externalLink235.xml.rels><?xml version="1.0" encoding="UTF-8" standalone="yes"?>
<Relationships xmlns="http://schemas.openxmlformats.org/package/2006/relationships"><Relationship Id="rId1" Type="http://schemas.openxmlformats.org/officeDocument/2006/relationships/externalLinkPath" Target="file:///\\fserv\e\MERA\TKP\TKP2025\tkp2025_465_&#1052;&#1040;&#1048;_&#1043;&#1057;&#1059;500_&#1052;&#1077;&#1083;&#1080;&#1093;&#1086;&#1074;\&#1058;&#1050;&#1055;_465_25_&#1089;&#1090;&#1072;&#1090;&#1091;&#1089;.xlsm" TargetMode="External"/></Relationships>
</file>

<file path=xl/externalLinks/_rels/externalLink236.xml.rels><?xml version="1.0" encoding="UTF-8" standalone="yes"?>
<Relationships xmlns="http://schemas.openxmlformats.org/package/2006/relationships"><Relationship Id="rId1" Type="http://schemas.openxmlformats.org/officeDocument/2006/relationships/externalLinkPath" Target="file:///\\fserv\e\MERA\TKP\TKP2025\tkp2025_452_&#1057;&#1043;&#1040;&#1059;_&#1089;&#1090;&#1077;&#1085;&#1076;&#1099;_&#1080;&#1089;&#1087;&#1099;&#1090;&#1072;&#1085;&#1080;&#1081;_&#1052;&#1043;&#1058;&#1044;_550H_&#1052;&#1077;&#1083;&#1080;&#1093;&#1086;&#1074;\&#1058;&#1050;&#1055;_452_25_&#1089;&#1090;&#1072;&#1090;&#1091;&#1089;.xlsm" TargetMode="External"/></Relationships>
</file>

<file path=xl/externalLinks/_rels/externalLink237.xml.rels><?xml version="1.0" encoding="UTF-8" standalone="yes"?>
<Relationships xmlns="http://schemas.openxmlformats.org/package/2006/relationships"><Relationship Id="rId1" Type="http://schemas.openxmlformats.org/officeDocument/2006/relationships/externalLinkPath" Target="file:///\\fserv\e\MERA\TKP\TKP2025\tkp2025_432_Kingsly_160%20chan%20Hi%20voltage_&#1056;&#1057;&#1057;_&#1041;&#1091;&#1088;&#1103;&#1082;\&#1058;&#1050;&#1055;_432_25_&#1089;&#1090;&#1072;&#1090;&#1091;&#1089;.xlsm" TargetMode="External"/></Relationships>
</file>

<file path=xl/externalLinks/_rels/externalLink238.xml.rels><?xml version="1.0" encoding="UTF-8" standalone="yes"?>
<Relationships xmlns="http://schemas.openxmlformats.org/package/2006/relationships"><Relationship Id="rId1" Type="http://schemas.openxmlformats.org/officeDocument/2006/relationships/externalLinkPath" Target="file:///\\fserv\e\MERA\TKP\TKP2025\tkp2025_433_Kingsly_PDAS%20analog%20Compact%20RIO_&#1056;&#1057;&#1057;_&#1041;&#1091;&#1088;&#1103;&#1082;\&#1058;&#1050;&#1055;_433_25_&#1089;&#1090;&#1072;&#1090;&#1091;&#1089;.xlsm" TargetMode="External"/></Relationships>
</file>

<file path=xl/externalLinks/_rels/externalLink239.xml.rels><?xml version="1.0" encoding="UTF-8" standalone="yes"?>
<Relationships xmlns="http://schemas.openxmlformats.org/package/2006/relationships"><Relationship Id="rId1" Type="http://schemas.openxmlformats.org/officeDocument/2006/relationships/externalLinkPath" Target="file:///\\fserv\e\MERA\TKP\TKP2024\tkp2024_486_&#1056;&#1050;&#1062;_&#1055;&#1088;&#1086;&#1075;&#1088;&#1077;&#1089;&#1089;_&#1048;&#1042;&#1050;_500_&#1082;&#1072;&#1085;&#1072;&#1083;&#1086;&#1074;_&#1052;&#1077;&#1083;&#1080;&#1093;&#1086;&#1074;\&#1058;&#1050;&#1055;_486_24_&#1089;&#1090;&#1072;&#1090;&#1091;&#1089;.xlsm" TargetMode="External"/></Relationships>
</file>

<file path=xl/externalLinks/_rels/externalLink240.xml.rels><?xml version="1.0" encoding="UTF-8" standalone="yes"?>
<Relationships xmlns="http://schemas.openxmlformats.org/package/2006/relationships"><Relationship Id="rId1" Type="http://schemas.openxmlformats.org/officeDocument/2006/relationships/externalLinkPath" Target="file:///\\FSERV\MERA\TKP\TKP2021\tkp2021_596_&#1057;&#1048;&#1057;60&#1082;&#1075;_&#1050;&#1041;&#1061;&#1052;_&#1056;&#1057;&#1057;\&#1058;&#1050;&#1055;_596_21_&#1089;&#1090;&#1072;&#1090;&#1091;&#1089;.xlsm" TargetMode="External"/></Relationships>
</file>

<file path=xl/externalLinks/_rels/externalLink241.xml.rels><?xml version="1.0" encoding="UTF-8" standalone="yes"?>
<Relationships xmlns="http://schemas.openxmlformats.org/package/2006/relationships"><Relationship Id="rId1" Type="http://schemas.openxmlformats.org/officeDocument/2006/relationships/externalLinkPath" Target="file:///\\fserv\e\MERA\TKP\TKP2025\tkp2025_479_Kingsly_Rocket_Project_Horizontal_Static_Test_&#1054;5_&#1041;&#1091;&#1088;&#1103;&#1082;\&#1058;&#1050;&#1055;_479_25_&#1089;&#1090;&#1072;&#1090;&#1091;&#1089;.xlsm" TargetMode="External"/></Relationships>
</file>

<file path=xl/externalLinks/_rels/externalLink242.xml.rels><?xml version="1.0" encoding="UTF-8" standalone="yes"?>
<Relationships xmlns="http://schemas.openxmlformats.org/package/2006/relationships"><Relationship Id="rId1" Type="http://schemas.openxmlformats.org/officeDocument/2006/relationships/externalLinkPath" Target="file:///\\fserv\e\MERA\TKP\TKP2025\tkp2025_488_&#1050;&#1053;&#1048;&#1058;&#1059;_&#1048;&#1085;&#1078;&#1077;&#1085;&#1077;&#1088;&#1085;&#1086;-&#1089;&#1077;&#1081;&#1089;&#1084;&#1086;&#1084;&#1077;&#1090;&#1088;&#1080;&#1095;&#1077;&#1089;&#1082;&#1072;&#1103;_&#1089;&#1090;&#1072;&#1085;&#1094;&#1080;&#1103;_&#1054;&#1089;&#1090;&#1088;&#1086;&#1074;&#1089;&#1082;&#1072;&#1103;\&#1058;&#1050;&#1055;_488_25_&#1089;&#1090;&#1072;&#1090;&#1091;&#1089;.xlsm" TargetMode="External"/></Relationships>
</file>

<file path=xl/externalLinks/_rels/externalLink243.xml.rels><?xml version="1.0" encoding="UTF-8" standalone="yes"?>
<Relationships xmlns="http://schemas.openxmlformats.org/package/2006/relationships"><Relationship Id="rId1" Type="http://schemas.openxmlformats.org/officeDocument/2006/relationships/externalLinkPath" Target="file:///\\fserv\e\MERA\TKP\TKP2025\tkp2025_494_&#1053;&#1055;&#1055;_&#1040;&#1076;&#1074;&#1077;&#1085;&#1090;_&#1057;&#1080;&#1089;&#1090;&#1077;&#1084;&#1072;_&#1082;&#1086;&#1085;&#1090;&#1088;&#1086;&#1083;&#1103;_&#1087;&#1072;&#1088;&#1072;&#1084;&#1077;&#1090;&#1088;&#1086;&#1074;_&#1057;&#1058;&#1050;_&#1052;&#1077;&#1083;&#1080;&#1093;&#1086;&#1074;\&#1058;&#1050;&#1055;_494_25_&#1089;&#1090;&#1072;&#1090;&#1091;&#1089;.xlsm" TargetMode="External"/></Relationships>
</file>

<file path=xl/externalLinks/_rels/externalLink244.xml.rels><?xml version="1.0" encoding="UTF-8" standalone="yes"?>
<Relationships xmlns="http://schemas.openxmlformats.org/package/2006/relationships"><Relationship Id="rId1" Type="http://schemas.openxmlformats.org/officeDocument/2006/relationships/externalLinkPath" Target="file:///\\fserv\e\MERA\TKP\TKP2025\tkp2025_334_&#1040;&#1101;&#1088;&#1086;&#1092;&#1083;&#1086;&#1090;_&#1058;&#1077;&#1093;&#1085;&#1080;&#1095;&#1077;&#1089;&#1082;&#1080;&#1081;_&#1072;&#1091;&#1076;&#1080;&#1090;_&#1040;&#1060;&#1051;%20(&#1040;&#1088;&#1073;&#1072;&#1090;)_&#1052;&#1048;&#1056;_&#1041;&#1091;&#1088;&#1103;&#1082;\&#1058;&#1050;&#1055;_334_25_&#1089;&#1090;&#1072;&#1090;&#1091;&#1089;.xlsm" TargetMode="External"/></Relationships>
</file>

<file path=xl/externalLinks/_rels/externalLink245.xml.rels><?xml version="1.0" encoding="UTF-8" standalone="yes"?>
<Relationships xmlns="http://schemas.openxmlformats.org/package/2006/relationships"><Relationship Id="rId1" Type="http://schemas.openxmlformats.org/officeDocument/2006/relationships/externalLinkPath" Target="file:///\\fserv\e\MERA\TKP\TKP2025\tkp2025_501_&#1062;&#1048;&#1040;&#1052;_&#1040;&#1050;&#1041;_&#1056;&#1057;&#1057;_&#1041;&#1091;&#1088;&#1103;&#1082;\&#1058;&#1050;&#1055;_501_25_&#1089;&#1090;&#1072;&#1090;&#1091;&#1089;.xlsm" TargetMode="External"/></Relationships>
</file>

<file path=xl/externalLinks/_rels/externalLink246.xml.rels><?xml version="1.0" encoding="UTF-8" standalone="yes"?>
<Relationships xmlns="http://schemas.openxmlformats.org/package/2006/relationships"><Relationship Id="rId1" Type="http://schemas.openxmlformats.org/officeDocument/2006/relationships/externalLinkPath" Target="file:///\\fserv\e\MERA\TKP\TKP2025\tkp2025_541_&#1053;&#1077;&#1074;&#1089;&#1082;&#1080;&#1081;_&#1079;&#1072;&#1074;&#1086;&#1076;_&#1057;&#1080;&#1089;&#1090;&#1077;&#1084;&#1072;_&#1084;&#1072;&#1075;&#1085;&#1080;&#1090;&#1085;&#1086;&#1075;&#1086;_&#1073;&#1080;&#1077;&#1085;&#1080;&#1103;_&#1056;&#1057;&#1057;_&#1052;&#1077;&#1083;&#1080;&#1093;&#1086;&#1074;\&#1058;&#1050;&#1055;_541_25_&#1089;&#1090;&#1072;&#1090;&#1091;&#1089;.xlsm" TargetMode="External"/></Relationships>
</file>

<file path=xl/externalLinks/_rels/externalLink247.xml.rels><?xml version="1.0" encoding="UTF-8" standalone="yes"?>
<Relationships xmlns="http://schemas.openxmlformats.org/package/2006/relationships"><Relationship Id="rId1" Type="http://schemas.openxmlformats.org/officeDocument/2006/relationships/externalLinkPath" Target="file:///\\fserv\e\MERA\TKP\TKP2025\tkp2025_506_&#1053;&#1055;&#1055;_&#1047;&#1074;&#1077;&#1079;&#1076;&#1072;_&#1055;&#1085;&#1077;&#1074;&#1084;&#1086;&#1085;&#1072;&#1075;&#1088;&#1091;&#1078;&#1072;&#1090;&#1077;&#1083;&#1100;_&#1040;&#1057;&#1057;_&#1057;&#1072;&#1093;&#1072;&#1083;&#1080;&#1085;_&#1052;&#1077;&#1083;&#1080;&#1093;&#1086;&#1074;\&#1058;&#1050;&#1055;_506_25_&#1089;&#1090;&#1072;&#1090;&#1091;&#1089;.xlsm" TargetMode="External"/></Relationships>
</file>

<file path=xl/externalLinks/_rels/externalLink248.xml.rels><?xml version="1.0" encoding="UTF-8" standalone="yes"?>
<Relationships xmlns="http://schemas.openxmlformats.org/package/2006/relationships"><Relationship Id="rId1" Type="http://schemas.openxmlformats.org/officeDocument/2006/relationships/externalLinkPath" Target="file:///\\FSERV\MERA\TKP\TKP2022\tkp2022_206_&#1053;&#1055;&#1054;%20&#1051;&#1072;&#1074;&#1086;&#1095;&#1082;&#1080;&#1085;&#1072;_&#1062;&#1077;&#1085;&#1090;&#1088;&#1080;&#1092;&#1091;&#1075;&#1072;_&#1052;&#1077;&#1083;&#1080;&#1093;&#1086;&#1074;\&#1058;&#1050;&#1055;_206_22_&#1089;&#1090;&#1072;&#1090;&#1091;&#1089;.xlsm" TargetMode="External"/></Relationships>
</file>

<file path=xl/externalLinks/_rels/externalLink249.xml.rels><?xml version="1.0" encoding="UTF-8" standalone="yes"?>
<Relationships xmlns="http://schemas.openxmlformats.org/package/2006/relationships"><Relationship Id="rId1" Type="http://schemas.openxmlformats.org/officeDocument/2006/relationships/externalLinkPath" Target="file:///\\fserv\e\MERA\TKP\TKP2025\tkp2025_564_&#1053;&#1048;&#1050;&#1048;&#1069;&#1058;_&#1040;&#1085;&#1072;&#1083;&#1086;&#1075;_ONYX_&#1056;&#1057;&#1057;_&#1052;&#1077;&#1083;&#1080;&#1093;&#1086;&#1074;\&#1058;&#1050;&#1055;_564_25_&#1089;&#1090;&#1072;&#1090;&#1091;&#1089;.xlsm" TargetMode="External"/></Relationships>
</file>

<file path=xl/externalLinks/_rels/externalLink250.xml.rels><?xml version="1.0" encoding="UTF-8" standalone="yes"?>
<Relationships xmlns="http://schemas.openxmlformats.org/package/2006/relationships"><Relationship Id="rId1" Type="http://schemas.openxmlformats.org/officeDocument/2006/relationships/externalLinkPath" Target="file:///\\fserv\e\MERA\TKP\TKP2025\tkp2025_590_&#1070;&#1059;&#1088;&#1043;&#1059;_&#1040;&#1085;&#1072;&#1083;&#1086;&#1075;%20LMS_&#1056;&#1057;&#1057;\&#1058;&#1050;&#1055;_590_25_&#1089;&#1090;&#1072;&#1090;&#1091;&#1089;.xlsm" TargetMode="External"/></Relationships>
</file>

<file path=xl/externalLinks/_rels/externalLink251.xml.rels><?xml version="1.0" encoding="UTF-8" standalone="yes"?>
<Relationships xmlns="http://schemas.openxmlformats.org/package/2006/relationships"><Relationship Id="rId1" Type="http://schemas.openxmlformats.org/officeDocument/2006/relationships/externalLinkPath" Target="/MERA/TKP/TKP2025/tkp2025_537_150%20&#1040;&#1056;&#1047;_&#1052;&#1086;&#1076;&#1077;&#1088;&#1085;&#1080;&#1079;&#1072;&#1094;&#1080;&#1103;%20&#1048;&#1057;%20&#1087;&#1086;&#1076;%20&#1042;&#1050;-2500_&#1056;&#1057;&#1057;_&#1041;&#1091;&#1088;&#1103;&#1082;/&#1058;&#1050;&#1055;_537_25_&#1089;&#1090;&#1072;&#1090;&#1091;&#1089;.xlsm" TargetMode="External"/></Relationships>
</file>

<file path=xl/externalLinks/_rels/externalLink252.xml.rels><?xml version="1.0" encoding="UTF-8" standalone="yes"?>
<Relationships xmlns="http://schemas.openxmlformats.org/package/2006/relationships"><Relationship Id="rId1" Type="http://schemas.openxmlformats.org/officeDocument/2006/relationships/externalLinkPath" Target="file:///\\fserv\e\MERA\TKP\TKP2025\tkp2025_552_&#1057;&#1080;&#1083;&#1086;&#1074;&#1099;&#1077;_&#1084;&#1072;&#1096;&#1080;&#1085;&#1099;_ME-405%20_&#1056;&#1057;&#1057;_&#1041;&#1091;&#1088;&#1103;&#1082;\&#1058;&#1050;&#1055;_552_25_&#1089;&#1090;&#1072;&#1090;&#1091;&#1089;.xlsm" TargetMode="External"/></Relationships>
</file>

<file path=xl/externalLinks/_rels/externalLink253.xml.rels><?xml version="1.0" encoding="UTF-8" standalone="yes"?>
<Relationships xmlns="http://schemas.openxmlformats.org/package/2006/relationships"><Relationship Id="rId1" Type="http://schemas.openxmlformats.org/officeDocument/2006/relationships/externalLinkPath" Target="file:///\\fserv\e\MERA\TKP\TKP2025\tkp2025_554_&#1062;&#1080;&#1072;&#1084;_&#1050;&#1086;&#1089;&#1082;&#1080;&#1085;_MIC-553_&#1056;&#1057;&#1057;_&#1052;&#1077;&#1083;&#1080;&#1093;&#1086;&#1074;\&#1058;&#1050;&#1055;_554_25_&#1089;&#1090;&#1072;&#1090;&#1091;&#1089;.xlsm" TargetMode="External"/></Relationships>
</file>

<file path=xl/externalLinks/_rels/externalLink254.xml.rels><?xml version="1.0" encoding="UTF-8" standalone="yes"?>
<Relationships xmlns="http://schemas.openxmlformats.org/package/2006/relationships"><Relationship Id="rId1" Type="http://schemas.openxmlformats.org/officeDocument/2006/relationships/externalLinkPath" Target="file:///\\fserv\e\MERA\TKP\TKP2025\tkp2025_558_&#1050;&#1088;&#1086;&#1085;&#1096;&#1090;&#1072;&#1076;&#1090;_MR-212_ME-003_&#1082;&#1072;&#1073;&#1077;&#1083;&#1100;_&#1052;&#1077;&#1083;&#1080;&#1093;&#1086;&#1074;\&#1058;&#1050;&#1055;_558_25_&#1089;&#1090;&#1072;&#1090;&#1091;&#1089;.xlsm" TargetMode="External"/></Relationships>
</file>

<file path=xl/externalLinks/_rels/externalLink255.xml.rels><?xml version="1.0" encoding="UTF-8" standalone="yes"?>
<Relationships xmlns="http://schemas.openxmlformats.org/package/2006/relationships"><Relationship Id="rId1" Type="http://schemas.openxmlformats.org/officeDocument/2006/relationships/externalLinkPath" Target="file:///\\fserv\e\MERA\TKP\TKP2025\tkp2025_586_&#1044;&#1086;&#1087;.&#1040;&#1056;&#1052;_&#1043;&#1058;&#1069;-65.1_&#1074;_&#1082;&#1086;&#1085;&#1090;&#1077;&#1081;&#1085;&#1077;&#1088;&#1077;_&#1052;&#1077;&#1083;&#1080;&#1093;&#1086;&#1074;\&#1058;&#1050;&#1055;_586_25_&#1089;&#1090;&#1072;&#1090;&#1091;&#1089;.xlsm" TargetMode="External"/></Relationships>
</file>

<file path=xl/externalLinks/_rels/externalLink256.xml.rels><?xml version="1.0" encoding="UTF-8" standalone="yes"?>
<Relationships xmlns="http://schemas.openxmlformats.org/package/2006/relationships"><Relationship Id="rId1" Type="http://schemas.openxmlformats.org/officeDocument/2006/relationships/externalLinkPath" Target="file:///\\fserv\e\MERA\TKP\TKP2025\tkp2025_593_&#1050;&#1091;&#1088;&#1075;&#1072;&#1085;&#1052;&#1072;&#1096;&#1047;&#1072;&#1074;&#1086;&#1076;_&#1056;&#1057;&#1057;_&#1052;&#1077;&#1083;&#1080;&#1093;&#1086;&#1074;\&#1058;&#1050;&#1055;_593_25_&#1089;&#1090;&#1072;&#1090;&#1091;&#1089;.xlsm" TargetMode="External"/></Relationships>
</file>

<file path=xl/externalLinks/_rels/externalLink257.xml.rels><?xml version="1.0" encoding="UTF-8" standalone="yes"?>
<Relationships xmlns="http://schemas.openxmlformats.org/package/2006/relationships"><Relationship Id="rId1" Type="http://schemas.openxmlformats.org/officeDocument/2006/relationships/externalLinkPath" Target="/MERA/TKP/TKP2023/tkp2023_391_&#1053;&#1048;&#1048;_&#1055;&#1061;_&#1050;&#1072;&#1073;&#1077;&#1083;&#1080;_&#1052;&#1072;&#1089;&#1083;&#1086;&#1074;&#1072;/&#1058;&#1050;&#1055;_391_23_&#1089;&#1090;&#1072;&#1090;&#1091;&#1089;.xlsm" TargetMode="External"/></Relationships>
</file>

<file path=xl/externalLinks/_rels/externalLink258.xml.rels><?xml version="1.0" encoding="UTF-8" standalone="yes"?>
<Relationships xmlns="http://schemas.openxmlformats.org/package/2006/relationships"><Relationship Id="rId1" Type="http://schemas.openxmlformats.org/officeDocument/2006/relationships/externalLinkPath" Target="file:///\\FSERV\MERA\TKP\TKP2025\tkp2025_609_&#1054;&#1050;&#1041;_&#1043;&#1080;&#1076;&#1088;&#1086;&#1087;&#1088;&#1077;&#1089;&#1089;_&#1089;&#1080;&#1089;&#1090;&#1077;&#1084;&#1072;_&#1082;&#1086;&#1085;&#1090;&#1088;&#1086;&#1083;&#1103;_&#1091;&#1089;&#1080;&#1083;&#1080;&#1081;_&#1056;&#1057;&#1057;\&#1058;&#1050;&#1055;_609_25_&#1089;&#1090;&#1072;&#1090;&#1091;&#1089;.xlsm" TargetMode="External"/></Relationships>
</file>

<file path=xl/externalLinks/_rels/externalLink259.xml.rels><?xml version="1.0" encoding="UTF-8" standalone="yes"?>
<Relationships xmlns="http://schemas.openxmlformats.org/package/2006/relationships"><Relationship Id="rId1" Type="http://schemas.openxmlformats.org/officeDocument/2006/relationships/externalLinkPath" Target="/MERA/TKP/TKP2025/tkp2025_607_&#1053;&#1055;&#1054;_&#1051;&#1072;&#1074;&#1086;&#1095;&#1082;&#1080;&#1085;&#1072;_&#1057;&#1048;_&#1094;&#1077;&#1085;&#1090;&#1088;&#1080;&#1092;&#1091;&#1075;&#1072;_&#1057;&#1059;-267_&#1052;&#1072;&#1088;&#1090;&#1099;&#1085;&#1086;&#1074;/&#1058;&#1050;&#1055;_607_25_&#1089;&#1090;&#1072;&#1090;&#1091;&#1089;.xlsm" TargetMode="External"/></Relationships>
</file>

<file path=xl/externalLinks/_rels/externalLink260.xml.rels><?xml version="1.0" encoding="UTF-8" standalone="yes"?>
<Relationships xmlns="http://schemas.openxmlformats.org/package/2006/relationships"><Relationship Id="rId1" Type="http://schemas.openxmlformats.org/officeDocument/2006/relationships/externalLinkPath" Target="file:///\\FSERV\MERA\TKP\TKP2025\tkp2025_615_&#1057;&#1080;&#1083;&#1086;&#1074;&#1099;&#1077;%20&#1084;&#1072;&#1096;&#1080;&#1085;&#1099;_&#1051;&#1040;&#1069;&#1057;_&#1057;&#1050;&#1042;&#1051;_&#1056;&#1057;&#1057;\&#1058;&#1050;&#1055;_615_25_&#1089;&#1090;&#1072;&#1090;&#1091;&#1089;.xlsm" TargetMode="External"/></Relationships>
</file>

<file path=xl/externalLinks/_rels/externalLink261.xml.rels><?xml version="1.0" encoding="UTF-8" standalone="yes"?>
<Relationships xmlns="http://schemas.openxmlformats.org/package/2006/relationships"><Relationship Id="rId1" Type="http://schemas.openxmlformats.org/officeDocument/2006/relationships/externalLinkPath" Target="file:///\\FSERV\MERA\TKP\TKP2025\tkp2025_655_&#1040;&#1074;&#1090;&#1086;&#1090;&#1086;&#1088;_&#1048;&#1089;&#1087;&#1099;&#1090;&#1072;&#1090;&#1077;&#1083;&#1100;&#1085;&#1072;&#1103;%20&#1082;&#1072;&#1084;&#1077;&#1088;&#1072;_&#1056;&#1057;&#1057;_&#1052;&#1077;&#1083;&#1080;&#1093;&#1086;&#1074;\&#1058;&#1050;&#1055;_655_25_&#1089;&#1090;&#1072;&#1090;&#1091;&#1089;.xlsm" TargetMode="External"/></Relationships>
</file>

<file path=xl/externalLinks/_rels/externalLink262.xml.rels><?xml version="1.0" encoding="UTF-8" standalone="yes"?>
<Relationships xmlns="http://schemas.openxmlformats.org/package/2006/relationships"><Relationship Id="rId1" Type="http://schemas.openxmlformats.org/officeDocument/2006/relationships/externalLinkPath" Target="file:///\\FSERV\MERA\TKP\TKP2025\tkp2025_656_&#1062;&#1077;&#1085;&#1090;&#1088;%20&#1080;&#1085;&#1078;&#1080;&#1085;&#1080;&#1088;&#1080;&#1085;&#1075;&#1072;_&#1048;&#1089;&#1087;&#1099;&#1090;&#1072;&#1085;&#1080;&#1103;%20&#1043;&#1058;&#1059;_&#1056;&#1057;&#1057;\&#1058;&#1050;&#1055;_656_25_&#1089;&#1090;&#1072;&#1090;&#1091;&#1089;.xlsm" TargetMode="External"/></Relationships>
</file>

<file path=xl/externalLinks/_rels/externalLink263.xml.rels><?xml version="1.0" encoding="UTF-8" standalone="yes"?>
<Relationships xmlns="http://schemas.openxmlformats.org/package/2006/relationships"><Relationship Id="rId1" Type="http://schemas.openxmlformats.org/officeDocument/2006/relationships/externalLinkPath" Target="file:///\\fserv\e\MERA\TKP\TKP2026\tkp2026_005_&#1051;&#1048;&#1040;&#1047;_&#1053;&#1072;&#1075;&#1088;&#1091;&#1079;&#1086;&#1095;&#1085;&#1099;&#1077;%20&#1080;&#1089;&#1087;&#1099;&#1090;&#1072;&#1085;&#1080;&#1103;_&#1056;&#1057;&#1057;\&#1058;&#1050;&#1055;_005_26_&#1089;&#1090;&#1072;&#1090;&#1091;&#1089;.xlsm" TargetMode="External"/></Relationships>
</file>

<file path=xl/externalLinks/_rels/externalLink264.xml.rels><?xml version="1.0" encoding="UTF-8" standalone="yes"?>
<Relationships xmlns="http://schemas.openxmlformats.org/package/2006/relationships"><Relationship Id="rId1" Type="http://schemas.openxmlformats.org/officeDocument/2006/relationships/externalLinkPath" Target="/MERA/TKP/TKP2026/tkp2026_017_&#1062;&#1048;&#1040;&#1052;_&#1057;&#1048;_&#1089;&#1090;&#1077;&#1085;&#1076;&#1072;_&#1062;&#1047;&#1040;_&#1052;&#1077;&#1083;&#1080;&#1093;&#1086;&#1074;/&#1058;&#1050;&#1055;_017_26_&#1089;&#1090;&#1072;&#1090;&#1091;&#1089;.xlsm" TargetMode="External"/></Relationships>
</file>

<file path=xl/externalLinks/_rels/externalLink265.xml.rels><?xml version="1.0" encoding="UTF-8" standalone="yes"?>
<Relationships xmlns="http://schemas.openxmlformats.org/package/2006/relationships"><Relationship Id="rId1" Type="http://schemas.openxmlformats.org/officeDocument/2006/relationships/externalLinkPath" Target="file:///\\FSERV\MERA\TKP\TKP2026\tkp2026_017_&#1062;&#1048;&#1040;&#1052;_&#1057;&#1048;_&#1089;&#1090;&#1077;&#1085;&#1076;&#1072;_&#1062;&#1047;&#1040;_&#1052;&#1077;&#1083;&#1080;&#1093;&#1086;&#1074;\&#1058;&#1050;&#1055;_017_26_&#1089;&#1090;&#1072;&#1090;&#1091;&#1089;.xlsm" TargetMode="External"/></Relationships>
</file>

<file path=xl/externalLinks/_rels/externalLink266.xml.rels><?xml version="1.0" encoding="UTF-8" standalone="yes"?>
<Relationships xmlns="http://schemas.openxmlformats.org/package/2006/relationships"><Relationship Id="rId1" Type="http://schemas.openxmlformats.org/officeDocument/2006/relationships/externalLinkPath" Target="file:///\\fserv\e\MERA\TKP\TKP2025\tkp2025_630_&#1052;&#1040;&#1048;%20&#1050;&#1086;&#1084;&#1089;&#1086;&#1084;&#1086;&#1083;&#1100;&#1089;&#1082;_&#1055;&#1086;&#1074;&#1090;&#1086;&#1088;&#1085;&#1086;%20&#1089;&#1090;&#1072;&#1090;&#1080;&#1095;&#1077;&#1089;&#1082;&#1080;&#1077;%20&#1080;&#1089;&#1087;&#1099;&#1090;&#1072;&#1085;&#1080;&#1103;_&#1056;&#1057;&#1057;_&#1052;&#1077;&#1083;&#1080;&#1093;&#1086;&#1074;\&#1058;&#1050;&#1055;_630_25_&#1089;&#1090;&#1072;&#1090;&#1091;&#1089;.xlsm" TargetMode="External"/></Relationships>
</file>

<file path=xl/externalLinks/_rels/externalLink267.xml.rels><?xml version="1.0" encoding="UTF-8" standalone="yes"?>
<Relationships xmlns="http://schemas.openxmlformats.org/package/2006/relationships"><Relationship Id="rId1" Type="http://schemas.openxmlformats.org/officeDocument/2006/relationships/externalLinkPath" Target="file:///\\FSERV\MERA\TKP\TKP2021\tkp2021_293_&#1057;&#1080;&#1083;&#1086;&#1074;&#1099;&#1077;_&#1084;&#1072;&#1096;&#1080;&#1085;&#1099;_MIC-1200_&#1050;&#1091;&#1076;&#1072;&#1085;&#1050;&#1091;&#1083;&#1072;&#1084;_&#1057;&#1087;&#1080;&#1088;&#1080;&#1076;&#1086;&#1085;&#1089;&#1082;&#1080;&#1081;\&#1058;&#1050;&#1055;_293_21_&#1089;&#1090;&#1072;&#1090;&#1091;&#1089;.xlsm" TargetMode="External"/></Relationships>
</file>

<file path=xl/externalLinks/_rels/externalLink268.xml.rels><?xml version="1.0" encoding="UTF-8" standalone="yes"?>
<Relationships xmlns="http://schemas.openxmlformats.org/package/2006/relationships"><Relationship Id="rId1" Type="http://schemas.openxmlformats.org/officeDocument/2006/relationships/externalLinkPath" Target="file:///\\fserv\e\MERA\TKP\TKP2024\tkp2024_283_&#1057;&#1080;&#1083;&#1086;&#1074;&#1099;&#1077;%20&#1084;&#1072;&#1096;&#1080;&#1085;&#1099;_MIC-1200_&#1052;&#1072;&#1089;&#1083;&#1086;&#1074;&#1072;\&#1058;&#1050;&#1055;_283_24_&#1089;&#1090;&#1072;&#1090;&#1091;&#1089;.xlsm" TargetMode="External"/></Relationships>
</file>

<file path=xl/externalLinks/_rels/externalLink269.xml.rels><?xml version="1.0" encoding="UTF-8" standalone="yes"?>
<Relationships xmlns="http://schemas.openxmlformats.org/package/2006/relationships"><Relationship Id="rId1" Type="http://schemas.openxmlformats.org/officeDocument/2006/relationships/externalLinkPath" Target="file:///\\fserv\e\MERA\TKP\TKP2026\tkp2026_018_&#1056;&#1058;&#1059;_&#1052;&#1048;&#1056;&#1069;&#1040;_&#1057;&#1080;&#1089;&#1090;&#1077;&#1084;&#1072;_&#1074;&#1072;&#1082;&#1091;&#1091;&#1084;&#1085;&#1072;&#1103;_&#1056;&#1057;&#1057;_&#1041;&#1091;&#1088;&#1103;&#1082;\&#1058;&#1050;&#1055;_018_26_&#1089;&#1090;&#1072;&#1090;&#1091;&#1089;.xlsm" TargetMode="External"/></Relationships>
</file>

<file path=xl/externalLinks/_rels/externalLink270.xml.rels><?xml version="1.0" encoding="UTF-8" standalone="yes"?>
<Relationships xmlns="http://schemas.openxmlformats.org/package/2006/relationships"><Relationship Id="rId1" Type="http://schemas.openxmlformats.org/officeDocument/2006/relationships/externalLinkPath" Target="file:///\\fserv\e\MERA\TKP\TKP2026\tkp2026_019_&#1056;&#1058;&#1059;_&#1052;&#1048;&#1056;&#1069;&#1040;_&#1057;&#1080;&#1089;&#1090;&#1077;&#1084;&#1072;%20&#1074;&#1080;&#1073;&#1088;&#1086;&#1085;&#1072;&#1075;&#1088;&#1091;&#1078;&#1077;&#1085;&#1080;&#1103;_&#1056;&#1057;&#1057;_&#1041;&#1091;&#1088;&#1103;&#1082;\&#1058;&#1050;&#1055;_019_26_&#1089;&#1090;&#1072;&#1090;&#1091;&#1089;.xlsm" TargetMode="External"/></Relationships>
</file>

<file path=xl/externalLinks/_rels/externalLink271.xml.rels><?xml version="1.0" encoding="UTF-8" standalone="yes"?>
<Relationships xmlns="http://schemas.openxmlformats.org/package/2006/relationships"><Relationship Id="rId1" Type="http://schemas.openxmlformats.org/officeDocument/2006/relationships/externalLinkPath" Target="file:///\\fserv\e\MERA\TKP\TKP2026\tkp2026_029_&#1054;&#1050;&#1041;&#1052;_&#1040;&#1092;&#1088;&#1080;&#1082;&#1072;&#1085;&#1090;&#1086;&#1074;_ME-908_&#1052;&#1077;&#1083;&#1080;&#1093;&#1086;&#1074;\&#1058;&#1050;&#1055;_029_26_&#1089;&#1090;&#1072;&#1090;&#1091;&#1089;.xlsm" TargetMode="External"/></Relationships>
</file>

<file path=xl/externalLinks/_rels/externalLink272.xml.rels><?xml version="1.0" encoding="UTF-8" standalone="yes"?>
<Relationships xmlns="http://schemas.openxmlformats.org/package/2006/relationships"><Relationship Id="rId1" Type="http://schemas.openxmlformats.org/officeDocument/2006/relationships/externalLinkPath" Target="file:///\\fserv\e\MERA\TKP\TKP2026\tkp2026_031_&#1054;&#1044;&#1050;_&#1057;&#1072;&#1090;&#1091;&#1088;&#1085;_&#1040;&#1057;&#1059;&#1058;&#1055;&#1048;_&#1089;&#1090;&#1077;&#1085;&#1076;&#1086;&#1074;_27,_28_&#1052;&#1077;&#1083;&#1080;&#1093;&#1086;&#1074;\&#1058;&#1050;&#1055;_031_26_&#1089;&#1090;&#1072;&#1090;&#1091;&#1089;.xlsm" TargetMode="External"/></Relationships>
</file>

<file path=xl/externalLinks/_rels/externalLink273.xml.rels><?xml version="1.0" encoding="UTF-8" standalone="yes"?>
<Relationships xmlns="http://schemas.openxmlformats.org/package/2006/relationships"><Relationship Id="rId1" Type="http://schemas.openxmlformats.org/officeDocument/2006/relationships/externalLinkPath" Target="file:///\\fserv\e\MERA\TKP\TKP2026\tkp2026_025_&#1057;&#1055;&#1045;&#1062;&#1069;&#1053;&#1045;&#1056;&#1043;&#1054;&#1050;&#1054;&#1052;&#1055;&#1051;&#1045;&#1050;&#1058;_&#1040;&#1048;&#1048;&#1057;_&#1040;&#1055;&#1044;-520_&#1056;&#1057;&#1057;_&#1052;&#1077;&#1083;&#1080;&#1093;&#1086;&#1074;\&#1058;&#1050;&#1055;_025_26_&#1089;&#1090;&#1072;&#1090;&#1091;&#1089;.xlsm" TargetMode="External"/></Relationships>
</file>

<file path=xl/externalLinks/_rels/externalLink274.xml.rels><?xml version="1.0" encoding="UTF-8" standalone="yes"?>
<Relationships xmlns="http://schemas.openxmlformats.org/package/2006/relationships"><Relationship Id="rId1" Type="http://schemas.openxmlformats.org/officeDocument/2006/relationships/externalLinkPath" Target="file:///\\fserv\e\MERA\TKP\TKP2026\tkp2026_058_&#1045;&#1052;&#1058;_MIC-224+&#1084;&#1086;&#1076;&#1072;&#1083;&#1100;&#1085;&#1099;&#1081;_&#1084;&#1086;&#1083;&#1086;&#1090;&#1086;&#1082;_&#1056;&#1057;&#1057;_&#1052;&#1077;&#1083;&#1080;&#1093;&#1086;&#1074;\&#1058;&#1050;&#1055;_058_26_&#1089;&#1090;&#1072;&#1090;&#1091;&#1089;.xlsm" TargetMode="External"/></Relationships>
</file>

<file path=xl/externalLinks/_rels/externalLink275.xml.rels><?xml version="1.0" encoding="UTF-8" standalone="yes"?>
<Relationships xmlns="http://schemas.openxmlformats.org/package/2006/relationships"><Relationship Id="rId1" Type="http://schemas.openxmlformats.org/officeDocument/2006/relationships/externalLinkPath" Target="/MERA/TKP/TKP2026/tkp2026_048_&#1040;&#1054;_&#1052;&#1045;&#1058;&#1056;&#1054;&#1042;&#1040;&#1043;&#1054;&#1053;&#1052;&#1040;&#1064;_&#1056;&#1057;&#1057;_&#1087;&#1088;&#1091;&#1078;&#1080;&#1085;&#1099;_&#1052;&#1077;&#1083;&#1080;&#1093;&#1086;&#1074;/&#1058;&#1050;&#1055;_048_26_&#1089;&#1090;&#1072;&#1090;&#1091;&#1089;.xlsm" TargetMode="External"/></Relationships>
</file>

<file path=xl/externalLinks/_rels/externalLink276.xml.rels><?xml version="1.0" encoding="UTF-8" standalone="yes"?>
<Relationships xmlns="http://schemas.openxmlformats.org/package/2006/relationships"><Relationship Id="rId1" Type="http://schemas.openxmlformats.org/officeDocument/2006/relationships/externalLinkPath" Target="/MERA/TKP/TKP2026/tkp2026_049_&#1040;&#1054;_&#1052;&#1045;&#1058;&#1056;&#1054;&#1042;&#1040;&#1043;&#1054;&#1053;&#1052;&#1040;&#1064;_&#1056;&#1057;&#1057;_&#1082;&#1088;&#1072;&#1085;&#1099;_&#1079;&#1072;&#1087;&#1086;&#1088;&#1085;&#1099;&#1077;_&#1052;&#1077;&#1083;&#1080;&#1093;&#1086;&#1074;/&#1058;&#1050;&#1055;_049_26_&#1089;&#1090;&#1072;&#1090;&#1091;&#1089;.xlsm" TargetMode="External"/></Relationships>
</file>

<file path=xl/externalLinks/_rels/externalLink277.xml.rels><?xml version="1.0" encoding="UTF-8" standalone="yes"?>
<Relationships xmlns="http://schemas.openxmlformats.org/package/2006/relationships"><Relationship Id="rId1" Type="http://schemas.openxmlformats.org/officeDocument/2006/relationships/externalLinkPath" Target="/MERA/TKP/TKP2026/tkp2026_050_&#1040;&#1054;_&#1052;&#1045;&#1058;&#1056;&#1054;&#1042;&#1040;&#1043;&#1054;&#1053;&#1052;&#1040;&#1064;_&#1056;&#1057;&#1057;_&#1090;&#1077;&#1089;&#1090;&#1077;&#1088;_&#1052;&#1077;&#1083;&#1080;&#1093;&#1086;&#1074;/&#1058;&#1050;&#1055;_050_26_&#1089;&#1090;&#1072;&#1090;&#1091;&#1089;.xlsm" TargetMode="External"/></Relationships>
</file>

<file path=xl/externalLinks/_rels/externalLink278.xml.rels><?xml version="1.0" encoding="UTF-8" standalone="yes"?>
<Relationships xmlns="http://schemas.openxmlformats.org/package/2006/relationships"><Relationship Id="rId1" Type="http://schemas.openxmlformats.org/officeDocument/2006/relationships/externalLinkPath" Target="/MERA/TKP/TKP2026/tkp2026_119_&#1058;&#1052;&#1061;-&#1048;&#1085;&#1078;&#1080;&#1085;&#1080;&#1088;&#1080;&#1085;&#1075;_&#1052;&#1077;&#1090;&#1088;&#1086;&#1042;&#1072;&#1075;&#1086;&#1085;&#1052;&#1072;&#1096;_&#1050;&#1083;&#1080;&#1084;&#1072;&#1090;&#1080;&#1095;&#1077;&#1089;&#1082;&#1072;&#1103;_&#1082;&#1072;&#1084;&#1077;&#1088;&#1072;_&#1056;&#1057;&#1057;_&#1052;&#1077;&#1083;&#1080;&#1093;&#1086;&#1074;/&#1058;&#1050;&#1055;_119_26_&#1089;&#1090;&#1072;&#1090;&#1091;&#1089;.xlsm" TargetMode="External"/></Relationships>
</file>

<file path=xl/externalLinks/_rels/externalLink279.xml.rels><?xml version="1.0" encoding="UTF-8" standalone="yes"?>
<Relationships xmlns="http://schemas.openxmlformats.org/package/2006/relationships"><Relationship Id="rId1" Type="http://schemas.openxmlformats.org/officeDocument/2006/relationships/externalLinkPath" Target="file:///\\fserv\e\MERA\TKP\TKP2026\tkp2026_051_&#1040;&#1054;_&#1043;&#1062;&#1052;&#1054;&#1069;&#1052;&#1057;_&#1056;&#1057;&#1057;_&#1080;&#1089;&#1087;&#1099;&#1090;&#1072;&#1085;&#1080;&#1077;_&#1090;&#1088;&#1072;&#1085;&#1089;&#1084;&#1080;&#1089;&#1089;&#1080;&#1081;\&#1058;&#1050;&#1055;_051_26_&#1089;&#1090;&#1072;&#1090;&#1091;&#1089;.xlsm" TargetMode="External"/></Relationships>
</file>

<file path=xl/externalLinks/_rels/externalLink280.xml.rels><?xml version="1.0" encoding="UTF-8" standalone="yes"?>
<Relationships xmlns="http://schemas.openxmlformats.org/package/2006/relationships"><Relationship Id="rId1" Type="http://schemas.openxmlformats.org/officeDocument/2006/relationships/externalLinkPath" Target="file:///\\FSERV\MERA\TKP\TKP2026\tkp2026_044_&#1059;&#1047;&#1043;&#1040;_&#1042;&#1048;&#1050;%20&#1076;&#1083;&#1103;%20&#1089;&#1090;&#1077;&#1085;&#1076;&#1072;%20&#1057;&#1069;&#1057;_&#1056;&#1057;&#1057;\&#1058;&#1050;&#1055;_044_26_&#1089;&#1090;&#1072;&#1090;&#1091;&#1089;.xlsm" TargetMode="External"/></Relationships>
</file>

<file path=xl/externalLinks/_rels/externalLink281.xml.rels><?xml version="1.0" encoding="UTF-8" standalone="yes"?>
<Relationships xmlns="http://schemas.openxmlformats.org/package/2006/relationships"><Relationship Id="rId1" Type="http://schemas.openxmlformats.org/officeDocument/2006/relationships/externalLinkPath" Target="/MERA/TKP/TKP2026/tkp2026_044_&#1059;&#1047;&#1043;&#1040;_&#1042;&#1048;&#1050;%20&#1076;&#1083;&#1103;%20&#1089;&#1090;&#1077;&#1085;&#1076;&#1072;%20&#1057;&#1069;&#1057;_&#1056;&#1057;&#1057;/&#1058;&#1050;&#1055;_044_26_&#1089;&#1090;&#1072;&#1090;&#1091;&#1089;.xlsm" TargetMode="External"/></Relationships>
</file>

<file path=xl/externalLinks/_rels/externalLink282.xml.rels><?xml version="1.0" encoding="UTF-8" standalone="yes"?>
<Relationships xmlns="http://schemas.openxmlformats.org/package/2006/relationships"><Relationship Id="rId1" Type="http://schemas.openxmlformats.org/officeDocument/2006/relationships/externalLinkPath" Target="file:///\\fserv\e\MERA\TKP\TKP2026\tkp2026_045_&#1050;&#1041;&#1061;&#1052;_MIC-553_&#1052;&#1077;&#1083;&#1080;&#1093;&#1086;&#1074;\&#1058;&#1050;&#1055;_045_26_&#1089;&#1090;&#1072;&#1090;&#1091;&#1089;.xlsm" TargetMode="External"/></Relationships>
</file>

<file path=xl/externalLinks/_rels/externalLink283.xml.rels><?xml version="1.0" encoding="UTF-8" standalone="yes"?>
<Relationships xmlns="http://schemas.openxmlformats.org/package/2006/relationships"><Relationship Id="rId1" Type="http://schemas.openxmlformats.org/officeDocument/2006/relationships/externalLinkPath" Target="file:///\\fserv\e\MERA\TKP\TKP2026\tkp2026_076_&#1054;&#1044;&#1050;-&#1057;&#1072;&#1090;&#1091;&#1088;&#1085;_&#1058;&#1086;&#1087;&#1083;&#1080;&#1074;&#1085;&#1072;&#1103;_&#1089;&#1080;&#1089;&#1090;&#1077;&#1084;&#1072;_&#1052;&#1048;&#1056;_&#1041;&#1091;&#1088;&#1103;&#1082;\&#1058;&#1050;&#1055;_076_26_&#1089;&#1090;&#1072;&#1090;&#1091;&#1089;.xlsm" TargetMode="External"/></Relationships>
</file>

<file path=xl/externalLinks/_rels/externalLink284.xml.rels><?xml version="1.0" encoding="UTF-8" standalone="yes"?>
<Relationships xmlns="http://schemas.openxmlformats.org/package/2006/relationships"><Relationship Id="rId1" Type="http://schemas.openxmlformats.org/officeDocument/2006/relationships/externalLinkPath" Target="file:///\\fserv\e\MERA\TKP\TKP2026\tkp2026_112_&#1054;&#1050;&#1041;&#1052;_&#1040;&#1092;&#1088;&#1080;&#1082;&#1072;&#1085;&#1090;&#1086;&#1074;_&#1089;&#1090;&#1086;&#1081;&#1082;&#1072;_&#1057;&#1058;&#1058;_&#1052;&#1077;&#1083;&#1080;&#1093;&#1086;&#1074;\&#1058;&#1050;&#1055;_112_26_&#1089;&#1090;&#1072;&#1090;&#1091;&#1089;.xlsm" TargetMode="External"/></Relationships>
</file>

<file path=xl/externalLinks/_rels/externalLink285.xml.rels><?xml version="1.0" encoding="UTF-8" standalone="yes"?>
<Relationships xmlns="http://schemas.openxmlformats.org/package/2006/relationships"><Relationship Id="rId1" Type="http://schemas.openxmlformats.org/officeDocument/2006/relationships/externalLinkPath" Target="file:///\\fserv\e\MERA\TKP\TKP2025\tkp2025_621_&#1062;&#1048;&#1040;&#1052;_MIC-315_&#1045;&#1078;&#1086;&#1074;&#1072;\&#1058;&#1050;&#1055;_621_25_&#1089;&#1090;&#1072;&#1090;&#1091;&#1089;.xlsm" TargetMode="External"/></Relationships>
</file>

<file path=xl/externalLinks/_rels/externalLink286.xml.rels><?xml version="1.0" encoding="UTF-8" standalone="yes"?>
<Relationships xmlns="http://schemas.openxmlformats.org/package/2006/relationships"><Relationship Id="rId1" Type="http://schemas.openxmlformats.org/officeDocument/2006/relationships/externalLinkPath" Target="file:///\\fserv\e\MERA\TKP\TKP2026\tkp2026_046_&#1057;&#1080;&#1083;&#1086;&#1074;&#1099;&#1077;%20&#1084;&#1072;&#1096;&#1080;&#1085;&#1099;_&#1069;&#1083;&#1077;&#1082;&#1090;&#1088;&#1086;&#1089;&#1080;&#1083;&#1072;_&#1074;&#1080;&#1073;&#1088;&#1086;&#1094;&#1080;&#1086;&#1085;&#1085;&#1099;&#1081;%20&#1080;%20&#1084;&#1086;&#1076;&#1072;&#1083;&#1100;&#1085;&#1099;&#1081;%20&#1072;&#1085;&#1072;&#1083;&#1080;&#1079;_&#1056;&#1057;&#1057;_&#1052;&#1077;&#1083;&#1080;&#1093;&#1086;&#1074;\&#1058;&#1050;&#1055;_046_26_&#1089;&#1090;&#1072;&#1090;&#1091;&#1089;.xlsm" TargetMode="External"/></Relationships>
</file>

<file path=xl/externalLinks/_rels/externalLink287.xml.rels><?xml version="1.0" encoding="UTF-8" standalone="yes"?>
<Relationships xmlns="http://schemas.openxmlformats.org/package/2006/relationships"><Relationship Id="rId1" Type="http://schemas.openxmlformats.org/officeDocument/2006/relationships/externalLinkPath" Target="file:///\\FSERV\MERA\TKP\TKP2026\tkp2026_030_&#1062;&#1053;&#1048;&#1048;&#1084;&#1072;&#1096;_&#1057;&#1080;&#1089;&#1090;&#1077;&#1084;&#1072;_&#1075;&#1086;&#1083;&#1086;&#1089;&#1086;&#1074;&#1086;&#1081;_&#1089;&#1074;&#1103;&#1079;&#1080;_&#1052;&#1077;&#1083;&#1080;&#1093;&#1086;&#1074;\&#1058;&#1050;&#1055;_030_26_&#1089;&#1090;&#1072;&#1090;&#1091;&#1089;.xlsm" TargetMode="External"/></Relationships>
</file>

<file path=xl/externalLinks/_rels/externalLink288.xml.rels><?xml version="1.0" encoding="UTF-8" standalone="yes"?>
<Relationships xmlns="http://schemas.openxmlformats.org/package/2006/relationships"><Relationship Id="rId1" Type="http://schemas.openxmlformats.org/officeDocument/2006/relationships/externalLinkPath" Target="/MERA/TKP/TKP2026/tkp2026_030_&#1062;&#1053;&#1048;&#1048;&#1084;&#1072;&#1096;_&#1057;&#1080;&#1089;&#1090;&#1077;&#1084;&#1072;_&#1075;&#1086;&#1083;&#1086;&#1089;&#1086;&#1074;&#1086;&#1081;_&#1089;&#1074;&#1103;&#1079;&#1080;_&#1052;&#1077;&#1083;&#1080;&#1093;&#1086;&#1074;/&#1058;&#1050;&#1055;_030_26_&#1089;&#1090;&#1072;&#1090;&#1091;&#1089;.xlsm" TargetMode="External"/></Relationships>
</file>

<file path=xl/externalLinks/_rels/externalLink289.xml.rels><?xml version="1.0" encoding="UTF-8" standalone="yes"?>
<Relationships xmlns="http://schemas.openxmlformats.org/package/2006/relationships"><Relationship Id="rId1" Type="http://schemas.openxmlformats.org/officeDocument/2006/relationships/externalLinkPath" Target="file:///\\fserv\e\MERA\TKP\TKP2026\tkp2026_092_&#1056;&#1077;&#1089;&#1091;&#1088;&#1089;_&#1052;&#1058;-200_&#1056;&#1057;&#1057;_&#1041;&#1091;&#1088;&#1103;&#1082;\&#1058;&#1050;&#1055;_092_26_&#1089;&#1090;&#1072;&#1090;&#1091;&#1089;.xlsm" TargetMode="External"/></Relationships>
</file>

<file path=xl/externalLinks/_rels/externalLink290.xml.rels><?xml version="1.0" encoding="UTF-8" standalone="yes"?>
<Relationships xmlns="http://schemas.openxmlformats.org/package/2006/relationships"><Relationship Id="rId1" Type="http://schemas.openxmlformats.org/officeDocument/2006/relationships/externalLinkPath" Target="/MERA/TKP/TKP2026/tkp2026_115_&#1044;&#1050;&#1041;&#1040;_&#1058;&#1077;&#1087;&#1083;&#1086;&#1074;&#1086;&#1081;_&#1089;&#1090;&#1077;&#1085;&#1076;_&#1052;&#1077;&#1083;&#1080;&#1093;&#1086;&#1074;/&#1058;&#1050;&#1055;_115_26_&#1089;&#1090;&#1072;&#1090;&#1091;&#1089;.xlsm" TargetMode="External"/></Relationships>
</file>

<file path=xl/externalLinks/_rels/externalLink291.xml.rels><?xml version="1.0" encoding="UTF-8" standalone="yes"?>
<Relationships xmlns="http://schemas.openxmlformats.org/package/2006/relationships"><Relationship Id="rId1" Type="http://schemas.openxmlformats.org/officeDocument/2006/relationships/externalLinkPath" Target="file:///\\FSERV\MERA\TKP\TKP2026\tkp2026_115_&#1044;&#1050;&#1041;&#1040;_&#1058;&#1077;&#1087;&#1083;&#1086;&#1074;&#1086;&#1081;_&#1089;&#1090;&#1077;&#1085;&#1076;_&#1052;&#1077;&#1083;&#1080;&#1093;&#1086;&#1074;\&#1058;&#1050;&#1055;_115_26_&#1089;&#1090;&#1072;&#1090;&#1091;&#1089;.xlsm" TargetMode="External"/></Relationships>
</file>

<file path=xl/externalLinks/_rels/externalLink292.xml.rels><?xml version="1.0" encoding="UTF-8" standalone="yes"?>
<Relationships xmlns="http://schemas.openxmlformats.org/package/2006/relationships"><Relationship Id="rId1" Type="http://schemas.openxmlformats.org/officeDocument/2006/relationships/externalLinkPath" Target="file:///\\fserv\e\MERA\TKP\TKP2026\tkp2026_111_&#1062;&#1048;&#1040;&#1052;_&#1044;&#1072;&#1090;&#1095;&#1080;&#1082;&#1080;%20&#1077;&#1084;&#1082;&#1086;&#1089;&#1090;&#1085;&#1099;&#1077;\&#1058;&#1050;&#1055;_111_26_&#1089;&#1090;&#1072;&#1090;&#1091;&#1089;.xlsm" TargetMode="External"/></Relationships>
</file>

<file path=xl/externalLinks/_rels/externalLink293.xml.rels><?xml version="1.0" encoding="UTF-8" standalone="yes"?>
<Relationships xmlns="http://schemas.openxmlformats.org/package/2006/relationships"><Relationship Id="rId1" Type="http://schemas.openxmlformats.org/officeDocument/2006/relationships/externalLinkPath" Target="/MERA/TKP/TKP2026/tkp2026_137_&#1054;&#1050;&#1041;&#1052;_&#1040;&#1092;&#1088;&#1080;&#1082;&#1072;&#1085;&#1090;&#1086;&#1074;_&#1057;&#1058;&#1058;_&#1052;&#1077;&#1083;&#1080;&#1093;&#1086;&#1074;/&#1058;&#1050;&#1055;_137_26_&#1089;&#1090;&#1072;&#1090;&#1091;&#1089;.xlsm" TargetMode="External"/></Relationships>
</file>

<file path=xl/externalLinks/_rels/externalLink294.xml.rels><?xml version="1.0" encoding="UTF-8" standalone="yes"?>
<Relationships xmlns="http://schemas.openxmlformats.org/package/2006/relationships"><Relationship Id="rId1" Type="http://schemas.openxmlformats.org/officeDocument/2006/relationships/externalLinkPath" Target="/MERA/TKP/TKP2026/tkp2026_118_&#1054;&#1044;&#1050;-&#1040;&#1074;&#1080;&#1072;&#1076;&#1074;&#1080;&#1075;&#1072;&#1090;&#1077;&#1083;&#1100;_&#1048;&#1085;&#1076;&#1091;&#1082;&#1090;&#1080;&#1074;&#1085;&#1099;&#1081;_&#1076;&#1072;&#1090;&#1095;&#1080;&#1082;_&#1056;&#1057;&#1057;_&#1052;&#1077;&#1083;&#1080;&#1093;&#1086;&#1074;/&#1058;&#1050;&#1055;_118_26_&#1089;&#1090;&#1072;&#1090;&#1091;&#1089;.xlsm" TargetMode="External"/></Relationships>
</file>

<file path=xl/externalLinks/_rels/externalLink295.xml.rels><?xml version="1.0" encoding="UTF-8" standalone="yes"?>
<Relationships xmlns="http://schemas.openxmlformats.org/package/2006/relationships"><Relationship Id="rId1" Type="http://schemas.openxmlformats.org/officeDocument/2006/relationships/externalLinkPath" Target="file:///\\FSERV\MERA\TKP\TKP2026\tkp2026_157_&#1056;&#1050;&#1062;_&#1055;&#1088;&#1086;&#1075;&#1088;&#1077;&#1089;&#1089;_NI_&#1057;&#1048;&#1059;_&#1056;&#1057;&#1057;\&#1058;&#1050;&#1055;_157_26_&#1089;&#1090;&#1072;&#1090;&#1091;&#1089;.xlsm" TargetMode="External"/></Relationships>
</file>

<file path=xl/externalLinks/_rels/externalLink296.xml.rels><?xml version="1.0" encoding="UTF-8" standalone="yes"?>
<Relationships xmlns="http://schemas.openxmlformats.org/package/2006/relationships"><Relationship Id="rId1" Type="http://schemas.openxmlformats.org/officeDocument/2006/relationships/externalLinkPath" Target="file:///\\fserv\e\MERA\TKP\TKP2026\tkp2026_161_&#1064;&#1087;&#1080;&#1085;&#1076;&#1077;&#1083;&#1100;%20&#1083;&#1072;&#1073;_&#1056;&#1057;&#1057;\&#1058;&#1050;&#1055;_161_26_&#1089;&#1090;&#1072;&#1090;&#1091;&#1089;.xlsm" TargetMode="External"/></Relationships>
</file>

<file path=xl/externalLinks/_rels/externalLink297.xml.rels><?xml version="1.0" encoding="UTF-8" standalone="yes"?>
<Relationships xmlns="http://schemas.openxmlformats.org/package/2006/relationships"><Relationship Id="rId1" Type="http://schemas.openxmlformats.org/officeDocument/2006/relationships/externalLinkPath" Target="file:///\\fserv\e\MERA\TKP\TKP2026\tkp2026_146_&#1057;&#1043;&#1040;&#1059;_&#1052;&#1086;&#1076;&#1077;&#1088;&#1085;&#1080;&#1079;&#1072;&#1094;&#1080;&#1103;_&#1089;&#1090;&#1086;&#1081;&#1082;&#1080;_+MIC-170_&#1056;&#1057;&#1057;_&#1052;&#1077;&#1083;&#1080;&#1093;&#1086;&#1074;\&#1058;&#1050;&#1055;_146_26_&#1089;&#1090;&#1072;&#1090;&#1091;&#1089;.xlsm" TargetMode="External"/></Relationships>
</file>

<file path=xl/externalLinks/_rels/externalLink298.xml.rels><?xml version="1.0" encoding="UTF-8" standalone="yes"?>
<Relationships xmlns="http://schemas.openxmlformats.org/package/2006/relationships"><Relationship Id="rId1" Type="http://schemas.openxmlformats.org/officeDocument/2006/relationships/externalLinkPath" Target="file:///\\fserv\e\MERA\TKP\TKP2026\tkp2026_178_&#1050;&#1041;&#1061;&#1052;_MIC-553_MIC-236_&#1056;&#1057;&#1057;_&#1048;&#1074;&#1072;&#1085;&#1086;&#1074;&#1072;\&#1058;&#1050;&#1055;_178_26_&#1089;&#1090;&#1072;&#1090;&#1091;&#1089;.xlsm" TargetMode="External"/></Relationships>
</file>

<file path=xl/externalLinks/_rels/externalLink299.xml.rels><?xml version="1.0" encoding="UTF-8" standalone="yes"?>
<Relationships xmlns="http://schemas.openxmlformats.org/package/2006/relationships"><Relationship Id="rId1" Type="http://schemas.openxmlformats.org/officeDocument/2006/relationships/externalLinkPath" Target="/MERA/TKP/TKP2026/tkp2026_185_&#1050;&#1041;&#1061;&#1040;%20&#1072;&#1085;&#1072;&#1083;&#1086;&#1075;%20&#1089;&#1090;.62_p1264_&#1056;&#1057;&#1057;_&#1040;&#1085;&#1090;&#1080;&#1087;&#1077;&#1085;&#1082;&#1086;/&#1058;&#1050;&#1055;_185_26_&#1089;&#1090;&#1072;&#1090;&#1091;&#1089;.xlsm" TargetMode="External"/></Relationships>
</file>

<file path=xl/externalLinks/_rels/externalLink300.xml.rels><?xml version="1.0" encoding="UTF-8" standalone="yes"?>
<Relationships xmlns="http://schemas.openxmlformats.org/package/2006/relationships"><Relationship Id="rId1" Type="http://schemas.openxmlformats.org/officeDocument/2006/relationships/externalLinkPath" Target="file:///\\FSERV\MERA\TKP\TKP2026\tkp2026_162_&#1056;&#1050;&#1062;_&#1055;&#1088;&#1086;&#1075;&#1088;&#1077;&#1089;_%20&#1089;&#1080;&#1089;&#1090;&#1077;&#1084;&#1072;_&#1075;&#1080;&#1076;&#1088;&#1086;&#1089;&#1090;&#1072;&#1090;&#1080;&#1095;&#1077;&#1089;&#1082;&#1086;&#1075;&#1086;_&#1085;&#1072;&#1075;&#1088;&#1091;&#1078;&#1077;&#1085;&#1080;&#1103;%20_&#1056;&#1057;&#1057;\&#1058;&#1050;&#1055;_162_26_&#1089;&#1090;&#1072;&#1090;&#1091;&#1089;.xlsm" TargetMode="External"/></Relationships>
</file>

<file path=xl/externalLinks/_rels/externalLink301.xml.rels><?xml version="1.0" encoding="UTF-8" standalone="yes"?>
<Relationships xmlns="http://schemas.openxmlformats.org/package/2006/relationships"><Relationship Id="rId1" Type="http://schemas.openxmlformats.org/officeDocument/2006/relationships/externalLinkPath" Target="file:///\\fserv\e\MERA\TKP\TKP2026\tkp2026_167_&#1057;&#1043;&#1040;&#1059;_MIC-170_(&#1072;&#1073;&#1089;.7&#1072;&#1090;&#1084;.)_&#1052;&#1077;&#1083;&#1080;&#1093;&#1086;&#1074;\&#1058;&#1050;&#1055;_167_26_&#1089;&#1090;&#1072;&#1090;&#1091;&#1089;.xlsm" TargetMode="External"/></Relationships>
</file>

<file path=xl/externalLinks/_rels/externalLink302.xml.rels><?xml version="1.0" encoding="UTF-8" standalone="yes"?>
<Relationships xmlns="http://schemas.openxmlformats.org/package/2006/relationships"><Relationship Id="rId1" Type="http://schemas.openxmlformats.org/officeDocument/2006/relationships/externalLinkPath" Target="/MERA/TKP/TKP2026/tkp2026_190_&#1053;&#1055;&#1054;_&#1051;&#1072;&#1074;&#1086;&#1095;&#1082;&#1080;&#1085;&#1072;_&#1057;&#1090;&#1077;&#1085;&#1076;_&#1089;&#1090;&#1072;&#1090;&#1080;&#1095;&#1077;&#1089;&#1082;&#1080;&#1093;_&#1080;&#1089;&#1087;&#1099;&#1090;&#1072;&#1085;&#1080;&#1081;_&#1056;&#1057;&#1057;_&#1040;&#1085;&#1090;&#1080;&#1087;&#1077;&#1085;&#1082;&#1086;/&#1058;&#1050;&#1055;_190_26_&#1089;&#1090;&#1072;&#1090;&#1091;&#1089;.xlsm" TargetMode="External"/></Relationships>
</file>

<file path=xl/externalLinks/_rels/externalLink303.xml.rels><?xml version="1.0" encoding="UTF-8" standalone="yes"?>
<Relationships xmlns="http://schemas.openxmlformats.org/package/2006/relationships"><Relationship Id="rId1" Type="http://schemas.openxmlformats.org/officeDocument/2006/relationships/externalLinkPath" Target="/MERA/TKP/TKP2026/tkp2026_203_&#1050;&#1041;&#1061;&#1052;_&#1056;&#1052;2_&#1051;&#1091;&#1085;&#1072;_&#1056;&#1057;&#1057;_&#1040;&#1085;&#1090;&#1080;&#1087;&#1077;&#1085;&#1082;&#1086;/&#1058;&#1050;&#1055;_203_26_&#1089;&#1090;&#1072;&#1090;&#1091;&#1089;.xlsm" TargetMode="External"/></Relationships>
</file>

<file path=xl/externalLinks/_rels/externalLink304.xml.rels><?xml version="1.0" encoding="UTF-8" standalone="yes"?>
<Relationships xmlns="http://schemas.openxmlformats.org/package/2006/relationships"><Relationship Id="rId1" Type="http://schemas.openxmlformats.org/officeDocument/2006/relationships/externalLinkPath" Target="/MERA/TKP/TKP2026/tkp2026_200_&#1052;&#1040;&#1048;_&#1048;&#1079;&#1084;&#1077;&#1088;&#1080;&#1090;&#1077;&#1083;&#1100;&#1085;&#1072;&#1103;_&#1089;&#1080;&#1089;&#1090;&#1077;&#1084;&#1072;_&#1054;&#1089;&#1090;&#1088;&#1086;&#1074;&#1089;&#1082;&#1072;&#1103;/&#1058;&#1050;&#1055;_200_26_&#1089;&#1090;&#1072;&#1090;&#1091;&#1089;.xlsm" TargetMode="External"/></Relationships>
</file>

<file path=xl/externalLinks/_rels/externalLink305.xml.rels><?xml version="1.0" encoding="UTF-8" standalone="yes"?>
<Relationships xmlns="http://schemas.openxmlformats.org/package/2006/relationships"><Relationship Id="rId1" Type="http://schemas.openxmlformats.org/officeDocument/2006/relationships/externalLinkPath" Target="file:///\\fserv\e\MERA\TKP\TKP2026\tkp2026_209_&#1053;&#1048;&#1048;&#1052;&#1072;&#1096;_&#1040;&#1057;&#1048;&#1080;&#1059;_&#1053;&#1048;&#1050;-101_&#1056;&#1057;&#1057;_&#1052;&#1072;&#1088;&#1090;&#1099;&#1085;&#1086;&#1074;\&#1058;&#1050;&#1055;_209_26_&#1089;&#1090;&#1072;&#1090;&#1091;&#1089;.xlsm" TargetMode="External"/></Relationships>
</file>

<file path=xl/externalLinks/_rels/externalLink306.xml.rels><?xml version="1.0" encoding="UTF-8" standalone="yes"?>
<Relationships xmlns="http://schemas.openxmlformats.org/package/2006/relationships"><Relationship Id="rId1" Type="http://schemas.openxmlformats.org/officeDocument/2006/relationships/externalLinkPath" Target="/MERA/TKP/TKP2026/tkp2026_212_&#1050;&#1041;&#1061;&#1052;_&#1056;&#1042;&#1050;_&#1056;&#1052;8_&#1056;&#1057;&#1057;_&#1052;&#1077;&#1083;&#1080;&#1093;&#1086;&#1074;/&#1058;&#1050;&#1055;_212_26_&#1089;&#1090;&#1072;&#1090;&#1091;&#1089;.xlsm" TargetMode="External"/></Relationships>
</file>

<file path=xl/externalLinks/_rels/externalLink307.xml.rels><?xml version="1.0" encoding="UTF-8" standalone="yes"?>
<Relationships xmlns="http://schemas.openxmlformats.org/package/2006/relationships"><Relationship Id="rId1" Type="http://schemas.openxmlformats.org/officeDocument/2006/relationships/externalLinkPath" Target="file:///\\fserv\e\MERA\TKP\TKP2026\tkp2026_215_&#1057;&#1080;&#1083;&#1052;&#1072;&#1096;_&#1040;&#1085;&#1090;&#1080;&#1087;&#1077;&#1085;&#1082;&#1086;\&#1058;&#1050;&#1055;_215_26_&#1089;&#1090;&#1072;&#1090;&#1091;&#1089;.xlsm" TargetMode="External"/></Relationships>
</file>

<file path=xl/externalLinks/_rels/externalLink308.xml.rels><?xml version="1.0" encoding="UTF-8" standalone="yes"?>
<Relationships xmlns="http://schemas.openxmlformats.org/package/2006/relationships"><Relationship Id="rId1" Type="http://schemas.openxmlformats.org/officeDocument/2006/relationships/externalLinkPath" Target="/MERA/TKP/TKP2026/tkp2026_231_&#1054;&#1044;&#1050;-&#1059;&#1052;&#1055;&#1054;_&#1052;&#1086;&#1073;&#1080;&#1083;&#1100;&#1085;&#1099;&#1081;_&#1089;&#1090;&#1077;&#1085;&#1076;&#1086;&#1074;&#1099;&#1081;_&#1082;&#1086;&#1084;&#1087;&#1083;&#1077;&#1082;&#1089;_&#1056;&#1057;&#1057;_&#1041;&#1091;&#1088;&#1103;&#1082;/&#1058;&#1050;&#1055;_231_26_&#1089;&#1090;&#1072;&#1090;&#1091;&#1089;.xlsm" TargetMode="External"/></Relationships>
</file>

<file path=xl/externalLinks/_rels/externalLink309.xml.rels><?xml version="1.0" encoding="UTF-8" standalone="yes"?>
<Relationships xmlns="http://schemas.openxmlformats.org/package/2006/relationships"><Relationship Id="rId1" Type="http://schemas.openxmlformats.org/officeDocument/2006/relationships/externalLinkPath" Target="file:///\\fserv\e\MERA\TKP\TKP2026\tkp2026_239_&#1060;&#1088;&#1072;&#1082;&#1044;&#1078;&#1077;&#1090;-&#1057;&#1090;&#1088;&#1086;&#1081;_&#1076;&#1080;&#1085;&#1072;&#1084;&#1080;&#1095;&#1077;&#1089;&#1082;&#1080;&#1077;_&#1080;&#1089;&#1087;&#1099;&#1090;&#1072;&#1085;&#1080;&#1103;_&#1089;&#1074;&#1072;&#1081;_&#1052;&#1077;&#1083;&#1080;&#1093;&#1086;&#1074;\&#1058;&#1050;&#1055;_239_26_&#1089;&#1090;&#1072;&#1090;&#1091;&#1089;.xlsm" TargetMode="External"/></Relationships>
</file>

<file path=xl/externalLinks/_rels/externalLink310.xml.rels><?xml version="1.0" encoding="UTF-8" standalone="yes"?>
<Relationships xmlns="http://schemas.openxmlformats.org/package/2006/relationships"><Relationship Id="rId1" Type="http://schemas.openxmlformats.org/officeDocument/2006/relationships/externalLinkPath" Target="file:///\\fserv\e\MERA\TKP\TKP2026\tkp2026_234_&#1059;&#1047;&#1043;&#1040;_MIC236_&#1056;&#1057;&#1057;_&#1048;&#1074;&#1072;&#1085;&#1086;&#1074;&#1072;\&#1058;&#1050;&#1055;_234_26_&#1089;&#1090;&#1072;&#1090;&#1091;&#1089;.xlsm" TargetMode="External"/></Relationships>
</file>

<file path=xl/externalLinks/_rels/externalLink311.xml.rels><?xml version="1.0" encoding="UTF-8" standalone="yes"?>
<Relationships xmlns="http://schemas.openxmlformats.org/package/2006/relationships"><Relationship Id="rId1" Type="http://schemas.openxmlformats.org/officeDocument/2006/relationships/externalLinkPath" Target="file:///\\fserv\e\MERA\TKP\TKP2026\tkp2026_262_&#1057;&#1080;&#1083;&#1086;&#1074;&#1099;&#1077;_&#1084;&#1072;&#1096;&#1080;&#1085;&#1099;_&#1051;&#1077;&#1085;&#1080;&#1085;&#1075;&#1088;&#1072;&#1076;&#1089;&#1082;&#1072;&#1103;_&#1040;&#1069;&#1057;-2_&#1057;&#1050;&#1042;&#1051;_&#1056;&#1057;&#1057;_&#1041;&#1091;&#1088;&#1103;&#1082;\&#1058;&#1050;&#1055;_262_26_&#1089;&#1090;&#1072;&#1090;&#1091;&#1089;.xlsm" TargetMode="External"/></Relationships>
</file>

<file path=xl/externalLinks/_rels/externalLink312.xml.rels><?xml version="1.0" encoding="UTF-8" standalone="yes"?>
<Relationships xmlns="http://schemas.openxmlformats.org/package/2006/relationships"><Relationship Id="rId1" Type="http://schemas.openxmlformats.org/officeDocument/2006/relationships/externalLinkPath" Target="/MERA/TKP/TKP2026/tkp2026_055_&#1053;&#1048;&#1062;_&#1056;&#1050;&#1055;_&#1052;&#1086;&#1076;&#1077;&#1088;&#1085;&#1080;&#1079;&#1072;&#1094;&#1080;&#1103;_&#1048;&#1042;&#1050;_&#1048;&#1057;_&#1041;&#1052;&#1055;_&#1052;&#1077;&#1083;&#1080;&#1093;&#1086;&#1074;/&#1058;&#1050;&#1055;_055_26_&#1089;&#1090;&#1072;&#1090;&#1091;&#1089;.xlsm" TargetMode="External"/></Relationships>
</file>

<file path=xl/externalLinks/_rels/externalLink313.xml.rels><?xml version="1.0" encoding="UTF-8" standalone="yes"?>
<Relationships xmlns="http://schemas.openxmlformats.org/package/2006/relationships"><Relationship Id="rId1" Type="http://schemas.openxmlformats.org/officeDocument/2006/relationships/externalLinkPath" Target="file:///\\fserv\e\MERA\TKP\TKP2026\tkp2026_285_&#1060;&#1043;&#1040;&#1054;&#1059;%20&#1042;&#1054;%20&#1059;&#1088;&#1060;&#1059;_&#1089;&#1090;&#1077;&#1085;&#1076;%20&#1076;&#1083;&#1103;%20&#1080;&#1089;&#1087;&#1099;&#1090;&#1072;&#1085;&#1080;&#1081;%20&#1089;&#1077;&#1088;&#1074;&#1086;&#1087;&#1088;&#1080;&#1074;&#1086;&#1076;&#1086;&#1074;_&#1048;&#1074;&#1072;&#1085;&#1086;&#1074;&#1072;\&#1058;&#1050;&#1055;_285_26_&#1089;&#1090;&#1072;&#1090;&#1091;&#1089;.xlsm" TargetMode="External"/></Relationships>
</file>

<file path=xl/externalLinks/_rels/externalLink314.xml.rels><?xml version="1.0" encoding="UTF-8" standalone="yes"?>
<Relationships xmlns="http://schemas.openxmlformats.org/package/2006/relationships"><Relationship Id="rId1" Type="http://schemas.openxmlformats.org/officeDocument/2006/relationships/externalLinkPath" Target="/MERA/TKP/TKP2026/tkp2026_272_&#1057;&#1080;&#1083;&#1086;&#1074;&#1099;&#1077;%20&#1084;&#1072;&#1096;&#1080;&#1085;&#1099;_&#1056;&#1057;&#1057;_&#1044;&#1060;&#1052;%20&#1077;&#1084;&#1082;&#1086;&#1089;&#1090;&#1085;&#1099;&#1077;%20&#1076;&#1072;&#1090;&#1095;&#1080;&#1082;&#1080;_&#1052;&#1077;&#1083;&#1080;&#1093;&#1086;&#1074;/&#1058;&#1050;&#1055;_272_26_&#1089;&#1090;&#1072;&#1090;&#1091;&#1089;.xlsm" TargetMode="External"/></Relationships>
</file>

<file path=xl/externalLinks/_rels/externalLink315.xml.rels><?xml version="1.0" encoding="UTF-8" standalone="yes"?>
<Relationships xmlns="http://schemas.openxmlformats.org/package/2006/relationships"><Relationship Id="rId1" Type="http://schemas.openxmlformats.org/officeDocument/2006/relationships/externalLinkPath" Target="/MERA/TKP/TKP2025/tkp2025_611_&#1053;&#1055;&#1054;_&#1051;&#1072;&#1074;&#1086;&#1095;&#1082;&#1080;&#1085;&#1072;_&#1062;&#1080;&#1085;&#1090;&#1088;&#1080;&#1092;&#1091;&#1075;&#1072;_&#1057;&#1048;_(&#1073;&#1088;&#1086;&#1089;&#1082;&#1086;&#1074;&#1099;&#1077;_&#1080;&#1089;&#1087;&#1099;&#1090;&#1072;&#1085;&#1080;&#1103;)_&#1052;&#1072;&#1088;&#1090;&#1099;&#1085;&#1086;&#1074;/&#1058;&#1050;&#1055;_611_25_&#1089;&#1090;&#1072;&#1090;&#1091;&#1089;.xlsm" TargetMode="External"/></Relationships>
</file>

<file path=xl/externalLinks/_rels/externalLink316.xml.rels><?xml version="1.0" encoding="UTF-8" standalone="yes"?>
<Relationships xmlns="http://schemas.openxmlformats.org/package/2006/relationships"><Relationship Id="rId1" Type="http://schemas.openxmlformats.org/officeDocument/2006/relationships/externalLinkPath" Target="/MERA/TKP/TKP2025/tkp2025_610_&#1053;&#1055;&#1054;_&#1051;&#1072;&#1074;&#1086;&#1095;&#1082;&#1080;&#1085;&#1072;_&#1062;&#1080;&#1085;&#1090;&#1088;&#1080;&#1092;&#1091;&#1075;&#1072;_&#1057;&#1059;-268_&#1052;&#1072;&#1088;&#1090;&#1099;&#1085;&#1086;&#1074;/&#1058;&#1050;&#1055;_610_25_&#1089;&#1090;&#1072;&#1090;&#1091;&#1089;.xlsm" TargetMode="External"/></Relationships>
</file>

<file path=xl/externalLinks/_rels/externalLink317.xml.rels><?xml version="1.0" encoding="UTF-8" standalone="yes"?>
<Relationships xmlns="http://schemas.openxmlformats.org/package/2006/relationships"><Relationship Id="rId1" Type="http://schemas.openxmlformats.org/officeDocument/2006/relationships/externalLinkPath" Target="/MERA/TKP/TKP2026/tkp2026_284_&#1040;&#1101;&#1088;&#1086;&#1092;&#1083;&#1086;&#1090;_&#1044;&#1086;&#1087;._&#1086;&#1089;&#1085;&#1072;&#1089;&#1090;&#1082;&#1072;_&#1052;&#1048;&#1056;/&#1058;&#1050;&#1055;_284_26_&#1089;&#1090;&#1072;&#1090;&#1091;&#1089;.xlsm" TargetMode="External"/></Relationships>
</file>

<file path=xl/externalLinks/_rels/externalLink318.xml.rels><?xml version="1.0" encoding="UTF-8" standalone="yes"?>
<Relationships xmlns="http://schemas.openxmlformats.org/package/2006/relationships"><Relationship Id="rId1" Type="http://schemas.openxmlformats.org/officeDocument/2006/relationships/externalLinkPath" Target="/MERA/TKP/TKP2026/tkp2026_338_&#1050;&#1041;&#1061;&#1052;%20&#1056;&#1052;1_&#1056;&#1052;4_&#1056;&#1057;&#1057;/&#1058;&#1050;&#1055;_338_26_&#1089;&#1090;&#1072;&#1090;&#1091;&#1089;.xlsm" TargetMode="External"/></Relationships>
</file>

<file path=xl/externalLinks/_rels/externalLink319.xml.rels><?xml version="1.0" encoding="UTF-8" standalone="yes"?>
<Relationships xmlns="http://schemas.openxmlformats.org/package/2006/relationships"><Relationship Id="rId1" Type="http://schemas.openxmlformats.org/officeDocument/2006/relationships/externalLinkPath" Target="/MERA/TKP/TKP2026/tkp2026_311_&#1053;&#1048;&#1062;_&#1056;&#1050;&#1055;_&#1048;&#1057;-102_&#1040;&#1085;&#1090;&#1080;&#1087;&#1077;&#1085;&#1082;&#1086;/&#1058;&#1050;&#1055;_311_26_&#1089;&#1090;&#1072;&#1090;&#1091;&#1089;.xlsm" TargetMode="External"/></Relationships>
</file>

<file path=xl/externalLinks/_rels/externalLink320.xml.rels><?xml version="1.0" encoding="UTF-8" standalone="yes"?>
<Relationships xmlns="http://schemas.openxmlformats.org/package/2006/relationships"><Relationship Id="rId1" Type="http://schemas.openxmlformats.org/officeDocument/2006/relationships/externalLinkPath" Target="/MERA/TKP/TKP2026/tkp2026_320_&#1053;&#1045;%20&#1040;&#1050;&#1058;&#1059;&#1040;&#1051;&#1068;&#1053;&#1054;_&#1040;&#1054;%20&#171;&#1050;&#1086;&#1085;&#1094;&#1077;&#1088;&#1085;%20&#1056;&#1086;&#1089;&#1101;&#1085;&#1077;&#1088;&#1075;&#1086;&#1072;&#1090;&#1086;&#1084;&#187;_&#1057;&#1084;&#1086;&#1083;&#1077;&#1085;&#1089;&#1082;&#1072;&#1103;_&#1040;&#1069;&#1057;-2_&#1048;&#1074;&#1072;&#1085;&#1086;&#1074;&#1072;/&#1058;&#1050;&#1055;_320_26_&#1089;&#1090;&#1072;&#1090;&#1091;&#1089;.xlsm" TargetMode="External"/></Relationships>
</file>

<file path=xl/externalLinks/_rels/externalLink321.xml.rels><?xml version="1.0" encoding="UTF-8" standalone="yes"?>
<Relationships xmlns="http://schemas.openxmlformats.org/package/2006/relationships"><Relationship Id="rId1" Type="http://schemas.openxmlformats.org/officeDocument/2006/relationships/externalLinkPath" Target="/MERA/TKP/TKP2026/tkp2026_331_&#1050;&#1086;&#1084;&#1087;&#1083;&#1077;&#1082;&#1090;_&#1089;&#1080;&#1089;&#1090;&#1077;&#1084;&#1099;_&#1080;&#1079;&#1084;&#1077;&#1088;&#1077;&#1085;&#1080;&#1081;_&#1053;&#1048;&#1050;&#1048;&#1069;&#1058;_&#1040;&#1085;&#1090;&#1080;&#1087;&#1077;&#1085;&#1082;&#1086;/&#1058;&#1050;&#1055;_331_26_&#1089;&#1090;&#1072;&#1090;&#1091;&#1089;.xlsm" TargetMode="External"/></Relationships>
</file>

<file path=xl/externalLinks/_rels/externalLink322.xml.rels><?xml version="1.0" encoding="UTF-8" standalone="yes"?>
<Relationships xmlns="http://schemas.openxmlformats.org/package/2006/relationships"><Relationship Id="rId1" Type="http://schemas.openxmlformats.org/officeDocument/2006/relationships/externalLinkPath" Target="/MERA/TKP/TKP2026/tkp2026_265_&#1047;&#1080;&#1084;&#1077;&#1085;&#1089;_&#1071;&#1082;&#1072;&#1075;&#1072;&#1074;&#1072;_&#1057;&#1087;&#1077;&#1085;&#1076;_&#1040;&#1055;&#1044;_550_&#1052;&#1077;&#1083;&#1080;&#1093;&#1086;&#1074;/&#1058;&#1050;&#1055;_265_26_&#1089;&#1090;&#1072;&#1090;&#1091;&#1089;.xlsm" TargetMode="External"/></Relationships>
</file>

<file path=xl/externalLinks/_rels/externalLink323.xml.rels><?xml version="1.0" encoding="UTF-8" standalone="yes"?>
<Relationships xmlns="http://schemas.openxmlformats.org/package/2006/relationships"><Relationship Id="rId1" Type="http://schemas.openxmlformats.org/officeDocument/2006/relationships/externalLinkPath" Target="/MERA/TKP/TKP2026/tkp2026_342_&#1057;&#1080;&#1083;&#1086;&#1074;&#1099;&#1077;_&#1084;&#1072;&#1096;&#1080;&#1085;&#1099;_&#1050;&#1048;_&#1044;&#1060;&#1052;_&#1056;&#1057;&#1057;_&#1052;&#1077;&#1083;&#1080;&#1093;&#1086;&#1074;/&#1058;&#1050;&#1055;_342_26_&#1089;&#1090;&#1072;&#1090;&#1091;&#1089;.xlsm" TargetMode="External"/></Relationships>
</file>

<file path=xl/externalLinks/_rels/externalLink324.xml.rels><?xml version="1.0" encoding="UTF-8" standalone="yes"?>
<Relationships xmlns="http://schemas.openxmlformats.org/package/2006/relationships"><Relationship Id="rId1" Type="http://schemas.openxmlformats.org/officeDocument/2006/relationships/externalLinkPath" Target="/MERA/TKP/TKP2026/tkp2026_232_&#1056;&#1058;-&#1058;&#1077;&#1093;&#1087;&#1088;&#1080;&#1077;&#1084;&#1082;&#1072;_&#1052;&#1086;&#1073;&#1080;&#1083;&#1100;&#1085;&#1099;&#1081;_&#1089;&#1090;&#1077;&#1085;&#1076;&#1086;&#1074;&#1099;&#1081;_&#1082;&#1086;&#1084;&#1087;&#1083;&#1077;&#1082;&#1089;_&#1056;&#1057;&#1057;_&#1041;&#1091;&#1088;&#1103;&#1082;/&#1058;&#1050;&#1055;_232_26_&#1089;&#1090;&#1072;&#1090;&#1091;&#1089;.xlsm" TargetMode="External"/></Relationships>
</file>

<file path=xl/externalLinks/_rels/externalLink325.xml.rels><?xml version="1.0" encoding="UTF-8" standalone="yes"?>
<Relationships xmlns="http://schemas.openxmlformats.org/package/2006/relationships"><Relationship Id="rId1" Type="http://schemas.openxmlformats.org/officeDocument/2006/relationships/externalLinkPath" Target="/MERA/TKP/TKP2026/tkp2026_347_&#1056;&#1060;&#1071;&#1062;_&#1042;&#1053;&#1048;&#1048;&#1058;&#1060;_&#1040;&#1048;&#1057;_&#1040;&#1085;&#1090;&#1080;&#1087;&#1077;&#1085;&#1082;&#1086;/&#1058;&#1050;&#1055;_347_26_&#1089;&#1090;&#1072;&#1090;&#1091;&#1089;.xlsm" TargetMode="External"/></Relationships>
</file>

<file path=xl/externalLinks/_rels/externalLink326.xml.rels><?xml version="1.0" encoding="UTF-8" standalone="yes"?>
<Relationships xmlns="http://schemas.openxmlformats.org/package/2006/relationships"><Relationship Id="rId1" Type="http://schemas.openxmlformats.org/officeDocument/2006/relationships/externalLinkPath" Target="/MERA/TKP/TKP2026/tkp2026_347_&#1056;&#1060;&#1071;&#1062;_&#1042;&#1053;&#1048;&#1048;&#1058;&#1060;_&#1040;&#1048;&#1057;_&#1056;&#1057;&#1057;_&#1040;&#1085;&#1090;&#1080;&#1087;&#1077;&#1085;&#1082;&#1086;/&#1058;&#1050;&#1055;_347_26_&#1089;&#1090;&#1072;&#1090;&#1091;&#1089;.xlsm" TargetMode="External"/></Relationships>
</file>

<file path=xl/externalLinks/_rels/externalLink327.xml.rels><?xml version="1.0" encoding="UTF-8" standalone="yes"?>
<Relationships xmlns="http://schemas.openxmlformats.org/package/2006/relationships"><Relationship Id="rId1" Type="http://schemas.openxmlformats.org/officeDocument/2006/relationships/externalLinkPath" Target="/MERA/TKP/TKP2026/tkp2026_350_&#1050;&#1086;&#1084;&#1087;&#1083;&#1077;&#1082;&#1090;_&#1089;&#1080;&#1089;&#1090;&#1077;&#1084;&#1099;_&#1080;&#1079;&#1084;&#1077;&#1088;&#1077;&#1085;&#1080;&#1081;_&#1053;&#1077;&#1088;&#1072;&#1079;&#1088;&#1091;&#1096;&#1072;&#1102;&#1097;&#1080;&#1081;_&#1082;&#1086;&#1085;&#1090;&#1088;&#1086;&#1083;&#1100;_&#1040;&#1085;&#1090;&#1080;&#1087;&#1077;&#1085;&#1082;&#1086;/&#1058;&#1050;&#1055;_350_26_&#1089;&#1090;&#1072;&#1090;&#1091;&#1089;.xlsm" TargetMode="External"/></Relationships>
</file>

<file path=xl/externalLinks/_rels/externalLink328.xml.rels><?xml version="1.0" encoding="UTF-8" standalone="yes"?>
<Relationships xmlns="http://schemas.openxmlformats.org/package/2006/relationships"><Relationship Id="rId1" Type="http://schemas.openxmlformats.org/officeDocument/2006/relationships/externalLinkPath" Target="/MERA/TKP/TKP2026/tkp2026_359_&#1050;&#1041;&#1061;&#1052;_&#1084;&#1086;&#1076;&#1077;&#1088;&#1085;&#1080;&#1079;&#1072;&#1094;&#1080;&#1103;_&#1057;&#1048;&#1052;&#1052;&#1055;_&#1040;&#1085;&#1090;&#1080;&#1087;&#1077;&#1085;&#1082;&#1086;/&#1058;&#1050;&#1055;_359_26_&#1089;&#1090;&#1072;&#1090;&#1091;&#1089;.xlsm" TargetMode="External"/></Relationships>
</file>

<file path=xl/externalLinks/_rels/externalLink329.xml.rels><?xml version="1.0" encoding="UTF-8" standalone="yes"?>
<Relationships xmlns="http://schemas.openxmlformats.org/package/2006/relationships"><Relationship Id="rId1" Type="http://schemas.openxmlformats.org/officeDocument/2006/relationships/externalLinkPath" Target="/MERA/TKP/TKP2026/tkp2026_356_&#1053;&#1048;&#1062;_&#1056;&#1050;&#1055;_&#1048;&#1057;-102_&#1050;&#1088;&#1080;&#1086;&#1075;&#1077;&#1085;&#1084;&#1072;&#1096;_&#1040;&#1085;&#1090;&#1080;&#1087;&#1077;&#1085;&#1082;&#1086;/&#1058;&#1050;&#1055;_356_26_&#1089;&#1090;&#1072;&#1090;&#1091;&#1089;.xlsm" TargetMode="External"/></Relationships>
</file>

<file path=xl/externalLinks/_rels/externalLink330.xml.rels><?xml version="1.0" encoding="UTF-8" standalone="yes"?>
<Relationships xmlns="http://schemas.openxmlformats.org/package/2006/relationships"><Relationship Id="rId1" Type="http://schemas.openxmlformats.org/officeDocument/2006/relationships/externalLinkPath" Target="/MERA/TKP/TKP2024/tkp2024_046_&#1050;&#1041;&#1061;M_MIC-236_MIC-553_&#1045;&#1078;&#1086;&#1074;&#1072;/&#1058;&#1050;&#1055;_384_26_&#1089;&#1090;&#1072;&#1090;&#1091;&#1089;.xlsm" TargetMode="External"/></Relationships>
</file>

<file path=xl/externalLinks/_rels/externalLink331.xml.rels><?xml version="1.0" encoding="UTF-8" standalone="yes"?>
<Relationships xmlns="http://schemas.openxmlformats.org/package/2006/relationships"><Relationship Id="rId1" Type="http://schemas.openxmlformats.org/officeDocument/2006/relationships/externalLinkPath" Target="/MERA/TKP/TKP2026/tkp2026_401_&#1060;&#1053;&#1055;&#1062;%20&#1040;&#1083;&#1090;&#1072;&#1081;_&#1040;&#1085;&#1090;&#1080;&#1087;&#1077;&#1085;&#1082;&#1086;_&#1056;&#1057;&#1057;_&#1043;&#1088;&#1103;&#1079;&#1085;&#1077;&#1074;/&#1058;&#1050;&#1055;_401_26_&#1089;&#1090;&#1072;&#1090;&#1091;&#1089;.xlsm" TargetMode="External"/></Relationships>
</file>

<file path=xl/externalLinks/_rels/externalLink332.xml.rels><?xml version="1.0" encoding="UTF-8" standalone="yes"?>
<Relationships xmlns="http://schemas.openxmlformats.org/package/2006/relationships"><Relationship Id="rId1" Type="http://schemas.openxmlformats.org/officeDocument/2006/relationships/externalLinkPath" Target="/MERA/TKP/TKP2026/tkp2026_402_&#1043;&#1056;&#1062;_&#1052;&#1072;&#1082;&#1077;&#1077;&#1074;&#1072;_&#1048;&#1048;&#1057;_&#1089;&#1090;&#1077;&#1085;&#1076;&#1072;_&#1076;&#1080;&#1085;&#1072;&#1084;&#1080;&#1095;&#1077;&#1089;&#1082;&#1080;&#1093;_&#1080;&#1089;&#1087;&#1099;&#1090;&#1072;&#1085;&#1080;&#1081;_&#1056;&#1057;&#1057;_&#1041;&#1091;&#1088;&#1103;&#1082;/&#1058;&#1050;&#1055;_402_26_&#1089;&#1090;&#1072;&#1090;&#1091;&#1089;.xlsm" TargetMode="External"/></Relationships>
</file>

<file path=xl/externalLinks/_rels/externalLink333.xml.rels><?xml version="1.0" encoding="UTF-8" standalone="yes"?>
<Relationships xmlns="http://schemas.openxmlformats.org/package/2006/relationships"><Relationship Id="rId1" Type="http://schemas.openxmlformats.org/officeDocument/2006/relationships/externalLinkPath" Target="file:///\\Fserv\e\MERA\TKP\TKP2026\tkp2026_405_&#1051;&#1048;&#1048;&#1055;_&#1080;&#1084;._&#1043;&#1088;&#1080;&#1079;&#1086;&#1076;&#1091;&#1073;&#1086;&#1074;&#1086;&#1081;_&#1048;&#1089;&#1087;&#1099;&#1090;&#1072;&#1085;&#1080;&#1103;_&#1043;&#1058;&#1044;_&#1056;&#1057;&#1057;_&#1041;&#1091;&#1088;&#1103;&#1082;\&#1058;&#1050;&#1055;_405_26_&#1089;&#1090;&#1072;&#1090;&#1091;&#1089;.xlsm" TargetMode="External"/></Relationships>
</file>

<file path=xl/externalLinks/_rels/externalLink334.xml.rels><?xml version="1.0" encoding="UTF-8" standalone="yes"?>
<Relationships xmlns="http://schemas.openxmlformats.org/package/2006/relationships"><Relationship Id="rId1" Type="http://schemas.openxmlformats.org/officeDocument/2006/relationships/externalLinkPath" Target="/MERA/TKP/TKP2026/tkp2026_373_&#1054;&#1050;&#1041;%20&#1052;&#1080;&#1082;&#1086;&#1103;&#1085;&#1072;_&#1084;&#1086;&#1076;&#1072;&#1083;&#1100;&#1085;&#1099;&#1077;%20&#1080;&#1089;&#1087;&#1099;&#1090;&#1072;&#1085;&#1080;&#1103;_&#1056;&#1057;&#1057;/&#1058;&#1050;&#1055;_373_26_&#1089;&#1090;&#1072;&#1090;&#1091;&#1089;.xlsm" TargetMode="External"/></Relationships>
</file>

<file path=xl/externalLinks/_rels/externalLink335.xml.rels><?xml version="1.0" encoding="UTF-8" standalone="yes"?>
<Relationships xmlns="http://schemas.openxmlformats.org/package/2006/relationships"><Relationship Id="rId1" Type="http://schemas.openxmlformats.org/officeDocument/2006/relationships/externalLinkPath" Target="file:///\\fserv\e\MERA\TKP\TKP2026\tkp2026_415_&#1054;&#1054;&#1054;%20&#1047;&#1080;&#1083;&#1072;&#1085;&#1090;_&#1080;&#1089;&#1087;&#1099;&#1090;&#1072;&#1085;&#1080;&#1103;%20&#1058;&#1056;&#1044;_&#1056;&#1057;&#1057;_&#1048;&#1074;&#1072;&#1085;&#1086;&#1074;&#1072;\&#1058;&#1050;&#1055;_415_26_&#1089;&#1090;&#1072;&#1090;&#1091;&#1089;.xlsm" TargetMode="External"/></Relationships>
</file>

<file path=xl/externalLinks/_rels/externalLink336.xml.rels><?xml version="1.0" encoding="UTF-8" standalone="yes"?>
<Relationships xmlns="http://schemas.openxmlformats.org/package/2006/relationships"><Relationship Id="rId1" Type="http://schemas.openxmlformats.org/officeDocument/2006/relationships/externalLinkPath" Target="/MERA/TKP/TKP2026/tkp2026_417_&#1062;&#1048;&#1040;&#1052;_&#1055;&#1086;&#1088;&#1090;&#1072;&#1090;&#1080;&#1074;&#1085;&#1072;&#1103;%20&#1089;&#1080;&#1089;&#1090;&#1077;&#1084;&#1072;%20&#1080;&#1079;&#1084;&#1077;&#1088;&#1077;&#1085;&#1080;&#1103;/&#1058;&#1050;&#1055;_417_26_&#1089;&#1090;&#1072;&#1090;&#1091;&#1089;.xlsm" TargetMode="External"/></Relationships>
</file>

<file path=xl/externalLinks/_rels/externalLink337.xml.rels><?xml version="1.0" encoding="UTF-8" standalone="yes"?>
<Relationships xmlns="http://schemas.openxmlformats.org/package/2006/relationships"><Relationship Id="rId1" Type="http://schemas.openxmlformats.org/officeDocument/2006/relationships/externalLinkPath" Target="/MERA/TKP/TKP2026/tkp2026_427_&#1059;&#1047;&#1043;&#1040;_&#1064;&#1083;&#1102;&#1079;_CAN_2.0-Modbus_TCP_&#1056;&#1057;&#1057;_&#1041;&#1091;&#1088;&#1103;&#1082;/&#1058;&#1050;&#1055;_427_26_&#1089;&#1090;&#1072;&#1090;&#1091;&#1089;.xlsm" TargetMode="External"/></Relationships>
</file>

<file path=xl/externalLinks/_rels/externalLink338.xml.rels><?xml version="1.0" encoding="UTF-8" standalone="yes"?>
<Relationships xmlns="http://schemas.openxmlformats.org/package/2006/relationships"><Relationship Id="rId1" Type="http://schemas.openxmlformats.org/officeDocument/2006/relationships/externalLinkPath" Target="file:///\\Fserv\e\MERA\TKP\TKP2026\tkp2026_433_&#1050;&#1053;&#1048;&#1058;&#1059;-&#1050;&#1040;&#1048;_&#1048;&#1048;&#1057;_&#1089;&#1090;&#1077;&#1085;&#1076;&#1072;_&#1080;&#1089;&#1087;._&#1087;&#1086;&#1083;&#1086;&#1079;&#1082;&#1086;&#1074;&#1086;&#1075;&#1086;_&#1096;&#1072;&#1089;&#1089;&#1080;_&#1074;&#1077;&#1088;&#1090;&#1086;&#1083;&#1077;&#1090;&#1086;&#1074;_&#1056;&#1057;&#1057;_&#1041;&#1091;&#1088;&#1103;&#1082;\&#1058;&#1050;&#1055;_433_26_&#1089;&#1090;&#1072;&#1090;&#1091;&#1089;.xlsm" TargetMode="External"/></Relationships>
</file>

<file path=xl/externalLinks/_rels/externalLink339.xml.rels><?xml version="1.0" encoding="UTF-8" standalone="yes"?>
<Relationships xmlns="http://schemas.openxmlformats.org/package/2006/relationships"><Relationship Id="rId1" Type="http://schemas.openxmlformats.org/officeDocument/2006/relationships/externalLinkPath" Target="file:///\\Fserv\e\MERA\TKP\TKP2026\tkp2026_434_&#1059;&#1047;&#1043;&#1040;_&#1048;&#1048;&#1057;_&#1048;&#1057;_&#1084;&#1072;&#1083;&#1086;&#1088;&#1072;&#1079;&#1084;&#1077;&#1088;&#1085;&#1099;&#1093;_&#1043;&#1058;&#1044;_&#1056;&#1057;&#1057;_&#1041;&#1091;&#1088;&#1103;&#1082;\&#1058;&#1050;&#1055;_434_26_&#1089;&#1090;&#1072;&#1090;&#1091;&#1089;.xlsm" TargetMode="External"/></Relationships>
</file>

<file path=xl/externalLinks/_rels/externalLink340.xml.rels><?xml version="1.0" encoding="UTF-8" standalone="yes"?>
<Relationships xmlns="http://schemas.openxmlformats.org/package/2006/relationships"><Relationship Id="rId1" Type="http://schemas.openxmlformats.org/officeDocument/2006/relationships/externalLinkPath" Target="file:///\\fserv\e\MERA\TKP\TKP2024\tkp2024_293_&#1051;&#1052;&#1047;_&#1044;&#1086;&#1088;&#1072;&#1073;&#1086;&#1090;&#1082;&#1072;%20&#1055;&#1054;%20BladeBox_&#1051;&#1040;&#1069;&#1057;-2_&#1056;&#1057;&#1057;_&#1045;&#1078;&#1086;&#1074;&#1072;\&#1058;&#1050;&#1055;_293_24_&#1089;&#1090;&#1072;&#1090;&#1091;&#1089;.xlsm" TargetMode="External"/></Relationships>
</file>

<file path=xl/externalLinks/_rels/externalLink341.xml.rels><?xml version="1.0" encoding="UTF-8" standalone="yes"?>
<Relationships xmlns="http://schemas.openxmlformats.org/package/2006/relationships"><Relationship Id="rId1" Type="http://schemas.openxmlformats.org/officeDocument/2006/relationships/externalLinkPath" Target="file:///\\fserv\e\MERA\TKP\TKP2024\tkp2024_289_&#1062;&#1048;&#1040;&#1052;_&#1054;&#1042;&#1048;&#1057;&#1058;_&#1087;&#1088;&#1086;&#1077;&#1082;&#1090;&#1080;&#1088;&#1086;&#1074;&#1072;&#1085;&#1080;&#1077;_&#1041;&#1091;&#1088;&#1103;&#1082;\&#1058;&#1050;&#1055;_289_24_&#1089;&#1090;&#1072;&#1090;&#1091;&#1089;.xlsm" TargetMode="External"/></Relationships>
</file>

<file path=xl/externalLinks/_rels/externalLink342.xml.rels><?xml version="1.0" encoding="UTF-8" standalone="yes"?>
<Relationships xmlns="http://schemas.openxmlformats.org/package/2006/relationships"><Relationship Id="rId1" Type="http://schemas.openxmlformats.org/officeDocument/2006/relationships/externalLinkPath" Target="/MERA/TKP/TKP2023/tkp2023_479_&#1062;&#1048;&#1040;&#1052;_MIC-1200_&#1052;&#1072;&#1089;&#1083;&#1086;&#1074;&#1072;/&#1058;&#1050;&#1055;_479_23_&#1089;&#1090;&#1072;&#1090;&#1091;&#1089;.xlsm" TargetMode="External"/></Relationships>
</file>

<file path=xl/externalLinks/_rels/externalLink343.xml.rels><?xml version="1.0" encoding="UTF-8" standalone="yes"?>
<Relationships xmlns="http://schemas.openxmlformats.org/package/2006/relationships"><Relationship Id="rId1" Type="http://schemas.openxmlformats.org/officeDocument/2006/relationships/externalLinkPath" Target="/MERA/TKP/TKP2023/tkp2023_435_&#1057;&#1080;&#1083;&#1086;&#1074;&#1099;&#1077;%20&#1084;&#1072;&#1096;&#1080;&#1085;&#1099;_mic1200_&#1088;&#1089;&#1089;_&#1045;&#1078;&#1086;&#1074;&#1072;/&#1058;&#1050;&#1055;_435_23_&#1089;&#1090;&#1072;&#1090;&#1091;&#1089;.xlsm" TargetMode="External"/></Relationships>
</file>

<file path=xl/externalLinks/_rels/externalLink344.xml.rels><?xml version="1.0" encoding="UTF-8" standalone="yes"?>
<Relationships xmlns="http://schemas.openxmlformats.org/package/2006/relationships"><Relationship Id="rId1" Type="http://schemas.openxmlformats.org/officeDocument/2006/relationships/externalLinkPath" Target="/MERA/TKP/TKP2023/tkp2023_361_&#1057;&#1080;&#1083;&#1086;&#1074;&#1099;&#1077;_&#1084;&#1072;&#1096;&#1080;&#1085;&#1099;_MIC-1200_&#1082;&#1086;&#1084;&#1087;&#1088;&#1077;&#1089;&#1089;&#1086;&#1088;_&#1043;&#1058;&#1069;-65.1_&#1045;&#1078;&#1086;&#1074;&#1072;/&#1058;&#1050;&#1055;_361_23_&#1089;&#1090;&#1072;&#1090;&#1091;&#1089;.xlsm" TargetMode="External"/></Relationships>
</file>

<file path=xl/externalLinks/_rels/externalLink345.xml.rels><?xml version="1.0" encoding="UTF-8" standalone="yes"?>
<Relationships xmlns="http://schemas.openxmlformats.org/package/2006/relationships"><Relationship Id="rId1" Type="http://schemas.openxmlformats.org/officeDocument/2006/relationships/externalLinkPath" Target="/MERA/TKP/TKP2023/tkp2023_395_&#1062;&#1053;&#1048;&#1048;&#1052;&#1072;&#1096;_&#1057;&#1080;&#1089;&#1090;&#1077;&#1084;&#1072;_&#1080;&#1079;&#1084;&#1077;&#1088;&#1077;&#1085;&#1080;&#1081;_200_&#1082;&#1072;&#1085;&#1072;&#1083;&#1086;&#1074;_&#1056;&#1057;&#1057;_&#1052;&#1077;&#1083;&#1080;&#1093;&#1086;&#1074;/&#1058;&#1050;&#1055;_395_23_&#1089;&#1090;&#1072;&#1090;&#1091;&#1089;.xlsm" TargetMode="External"/></Relationships>
</file>

<file path=xl/externalLinks/_rels/externalLink346.xml.rels><?xml version="1.0" encoding="UTF-8" standalone="yes"?>
<Relationships xmlns="http://schemas.openxmlformats.org/package/2006/relationships"><Relationship Id="rId1" Type="http://schemas.openxmlformats.org/officeDocument/2006/relationships/externalLinkPath" Target="/MERA/TKP/TKP2023/tkp2023_505_&#1062;&#1053;&#1048;&#1048;&#1052;&#1040;&#1064;_&#1044;&#1086;&#1088;&#1072;&#1073;&#1086;&#1090;&#1082;&#1072;_&#1073;&#1072;&#1083;&#1083;&#1080;&#1089;&#1090;&#1080;&#1095;&#1077;&#1089;&#1082;&#1086;&#1075;&#1086;_&#1084;&#1072;&#1103;&#1090;&#1085;&#1080;&#1082;&#1072;_&#1052;&#1072;&#1088;&#1090;&#1099;&#1085;&#1086;&#1074;/&#1058;&#1050;&#1055;_505_23_&#1089;&#1090;&#1072;&#1090;&#1091;&#1089;.xlsm" TargetMode="External"/></Relationships>
</file>

<file path=xl/externalLinks/_rels/externalLink347.xml.rels><?xml version="1.0" encoding="UTF-8" standalone="yes"?>
<Relationships xmlns="http://schemas.openxmlformats.org/package/2006/relationships"><Relationship Id="rId1" Type="http://schemas.openxmlformats.org/officeDocument/2006/relationships/externalLinkPath" Target="/MERA/TKP/TKP2023/tkp2023_363_&#1062;&#1053;&#1048;&#1048;&#1052;&#1072;&#1096;_&#1084;&#1086;&#1076;&#1091;&#1083;&#1080;_&#1052;&#1072;&#1089;&#1083;&#1086;&#1074;&#1072;/&#1058;&#1050;&#1055;_363_23_&#1089;&#1090;&#1072;&#1090;&#1091;&#1089;.xlsm" TargetMode="External"/></Relationships>
</file>

<file path=xl/externalLinks/_rels/externalLink348.xml.rels><?xml version="1.0" encoding="UTF-8" standalone="yes"?>
<Relationships xmlns="http://schemas.openxmlformats.org/package/2006/relationships"><Relationship Id="rId1" Type="http://schemas.openxmlformats.org/officeDocument/2006/relationships/externalLinkPath" Target="file:///\\FSERV\MERA\TKP\TKP2023\tkp2023_183_&#1056;&#1086;&#1074;&#1077;&#1088;_&#1088;&#1072;&#1073;&#1086;&#1090;&#1099;_&#1057;&#1059;&#1054;&#1057;&#1050;_&#1045;&#1078;&#1086;&#1074;&#1072;\&#1058;&#1050;&#1055;_183_23_&#1089;&#1090;&#1072;&#1090;&#1091;&#1089;.xlsm" TargetMode="External"/></Relationships>
</file>

<file path=xl/externalLinks/_rels/externalLink349.xml.rels><?xml version="1.0" encoding="UTF-8" standalone="yes"?>
<Relationships xmlns="http://schemas.openxmlformats.org/package/2006/relationships"><Relationship Id="rId1" Type="http://schemas.openxmlformats.org/officeDocument/2006/relationships/externalLinkPath" Target="file:///\\FSERV\MERA\TKP\TKP2023\tkp2023_001_&#1043;&#1041;&#1048;&#1055;_MIC-355_&#1057;&#1085;&#1099;&#1075;&#1080;&#1085;&#1072;\&#1058;&#1050;&#1055;_001_23_&#1089;&#1090;&#1072;&#1090;&#1091;&#1089;.xlsm" TargetMode="External"/></Relationships>
</file>

<file path=xl/externalLinks/_rels/externalLink350.xml.rels><?xml version="1.0" encoding="UTF-8" standalone="yes"?>
<Relationships xmlns="http://schemas.openxmlformats.org/package/2006/relationships"><Relationship Id="rId1" Type="http://schemas.openxmlformats.org/officeDocument/2006/relationships/externalLinkPath" Target="file:///\\FSERV\MERA\TKP\TKP2023\tkp2023_139_&#1048;&#1088;&#1082;&#1091;&#1090;_&#1054;&#1050;&#1056;_&#1048;&#1042;&#1050;_&#1072;&#1085;&#1072;&#1083;&#1080;&#1079;_&#1082;&#1086;&#1088;&#1088;&#1086;&#1079;&#1080;&#1080;_&#1045;&#1078;&#1086;&#1074;&#1072;\&#1058;&#1050;&#1055;_139_23_&#1089;&#1090;&#1072;&#1090;&#1091;&#1089;.xlsm" TargetMode="External"/></Relationships>
</file>

<file path=xl/externalLinks/_rels/externalLink351.xml.rels><?xml version="1.0" encoding="UTF-8" standalone="yes"?>
<Relationships xmlns="http://schemas.openxmlformats.org/package/2006/relationships"><Relationship Id="rId1" Type="http://schemas.openxmlformats.org/officeDocument/2006/relationships/externalLinkPath" Target="file:///\\FSERV\MERA\TKP\TKP2023\tkp2023_221_&#1048;&#1083;-&#1040;&#1074;&#1080;&#1072;&#1089;&#1090;&#1072;&#1088;_4-&#1082;&#1072;&#1085;&#1072;&#1083;&#1100;&#1085;&#1072;&#1103;_&#1089;&#1080;&#1089;&#1090;&#1077;&#1084;&#1072;_&#1085;&#1072;&#1075;&#1088;&#1091;&#1078;&#1077;&#1085;&#1080;&#1103;_&#1052;&#1077;&#1083;&#1080;&#1093;&#1086;&#1074;\&#1058;&#1050;&#1055;_221_23_&#1089;&#1090;&#1072;&#1090;&#1091;&#1089;.xlsm" TargetMode="External"/></Relationships>
</file>

<file path=xl/externalLinks/_rels/externalLink352.xml.rels><?xml version="1.0" encoding="UTF-8" standalone="yes"?>
<Relationships xmlns="http://schemas.openxmlformats.org/package/2006/relationships"><Relationship Id="rId1" Type="http://schemas.openxmlformats.org/officeDocument/2006/relationships/externalLinkPath" Target="file:///\\FSERV\MERA\TKP\TKP2023\tkp2023_019_&#1048;&#1083;_&#1040;&#1074;&#1080;&#1072;&#1089;&#1090;&#1072;&#1088;_MIC-185_&#1057;&#1085;&#1099;&#1075;&#1080;&#1085;&#1072;\&#1058;&#1050;&#1055;_019_23_&#1089;&#1090;&#1072;&#1090;&#1091;&#1089;.xlsm" TargetMode="External"/></Relationships>
</file>

<file path=xl/externalLinks/_rels/externalLink353.xml.rels><?xml version="1.0" encoding="UTF-8" standalone="yes"?>
<Relationships xmlns="http://schemas.openxmlformats.org/package/2006/relationships"><Relationship Id="rId1" Type="http://schemas.openxmlformats.org/officeDocument/2006/relationships/externalLinkPath" Target="/MERA/TKP/TKP2023/tkp2023_230_&#1058;&#1077;&#1093;&#1085;&#1086;&#1089;&#1090;&#1080;&#1083;&#1100;_&#1057;&#1087;&#1080;&#1088;&#1080;&#1076;&#1086;&#1085;&#1089;&#1082;&#1080;&#1081;_&#1056;&#1057;&#1057;/&#1058;&#1050;&#1055;_230_23_&#1089;&#1090;&#1072;&#1090;&#1091;&#1089;.xlsm" TargetMode="External"/></Relationships>
</file>

<file path=xl/externalLinks/_rels/externalLink354.xml.rels><?xml version="1.0" encoding="UTF-8" standalone="yes"?>
<Relationships xmlns="http://schemas.openxmlformats.org/package/2006/relationships"><Relationship Id="rId1" Type="http://schemas.openxmlformats.org/officeDocument/2006/relationships/externalLinkPath" Target="file:///\\FSERV\MERA\TKP\TKP2022\tkp2022_212_&#1050;&#1091;&#1079;&#1085;&#1077;&#1094;&#1086;&#1074;_&#1042;&#1080;&#1085;&#1090;&#1072;&#1081;_&#1040;&#1057;&#1048;_&#1041;&#1052;&#1055;_&#1057;&#1087;&#1080;&#1088;&#1080;&#1076;&#1086;&#1085;&#1089;&#1082;&#1080;&#1081;_&#1056;&#1057;&#1057;\&#1058;&#1050;&#1055;_212_22_&#1089;&#1090;&#1072;&#1090;&#1091;&#1089;.xlsm" TargetMode="External"/></Relationships>
</file>

<file path=xl/externalLinks/_rels/externalLink355.xml.rels><?xml version="1.0" encoding="UTF-8" standalone="yes"?>
<Relationships xmlns="http://schemas.openxmlformats.org/package/2006/relationships"><Relationship Id="rId1" Type="http://schemas.openxmlformats.org/officeDocument/2006/relationships/externalLinkPath" Target="file:///\\FSERV\MERA\TKP\TKP2023\tkp2023_026_&#1062;&#1053;&#1048;&#1048;&#1052;&#1040;&#1064;_&#1056;&#1057;&#1057;\&#1058;&#1050;&#1055;_026_23_&#1089;&#1090;&#1072;&#1090;&#1091;&#1089;.xlsm" TargetMode="External"/></Relationships>
</file>

<file path=xl/externalLinks/_rels/externalLink356.xml.rels><?xml version="1.0" encoding="UTF-8" standalone="yes"?>
<Relationships xmlns="http://schemas.openxmlformats.org/package/2006/relationships"><Relationship Id="rId1" Type="http://schemas.openxmlformats.org/officeDocument/2006/relationships/externalLinkPath" Target="file:///\\FSERV\MERA\TKP\TKP2023\tkp2023_182_&#1062;&#1048;&#1040;&#1052;_&#1040;&#1057;&#1059;_&#1058;&#1055;_&#1062;17&#1043;3_&#1045;&#1078;&#1086;&#1074;&#1072;\&#1058;&#1050;&#1055;_182_23_&#1089;&#1090;&#1072;&#1090;&#1091;&#1089;.xlsm" TargetMode="External"/></Relationships>
</file>

<file path=xl/externalLinks/_rels/externalLink357.xml.rels><?xml version="1.0" encoding="UTF-8" standalone="yes"?>
<Relationships xmlns="http://schemas.openxmlformats.org/package/2006/relationships"><Relationship Id="rId1" Type="http://schemas.openxmlformats.org/officeDocument/2006/relationships/externalLinkPath" Target="file:///\\FSERV\MERA\TKP\TKP2022\tkp2022_541_%20&#1050;&#1091;&#1088;&#1075;&#1072;&#1085;&#1052;&#1072;&#1096;&#1047;&#1072;&#1074;&#1086;&#1076;_8%20&#1089;&#1090;&#1077;&#1085;&#1076;&#1086;&#1074;_&#1056;&#1057;&#1057;_&#1052;&#1077;&#1083;&#1080;&#1093;&#1086;&#1074;\&#1058;&#1050;&#1055;_541_22_&#1089;&#1090;&#1072;&#1090;&#1091;&#1089;.xlsm" TargetMode="External"/></Relationships>
</file>

<file path=xl/externalLinks/_rels/externalLink358.xml.rels><?xml version="1.0" encoding="UTF-8" standalone="yes"?>
<Relationships xmlns="http://schemas.openxmlformats.org/package/2006/relationships"><Relationship Id="rId1" Type="http://schemas.openxmlformats.org/officeDocument/2006/relationships/externalLinkPath" Target="file:///\\FSERV\MERA\TKP\TKP2022\tkp2022_596_&#1059;&#1052;&#1055;&#1054;_&#1057;&#1090;&#1077;&#1085;&#1076;_&#1080;&#1089;&#1087;&#1099;&#1090;&#1072;&#1085;&#1080;&#1103;_&#1040;&#1055;&#1044;_&#1052;&#1077;&#1083;&#1080;&#1093;&#1086;&#1074;_&#1047;&#1077;&#1084;&#1089;&#1082;&#1080;&#1093;\&#1058;&#1050;&#1055;_596_22_&#1089;&#1090;&#1072;&#1090;&#1091;&#1089;.xlsm" TargetMode="External"/></Relationships>
</file>

<file path=xl/externalLinks/_rels/externalLink359.xml.rels><?xml version="1.0" encoding="UTF-8" standalone="yes"?>
<Relationships xmlns="http://schemas.openxmlformats.org/package/2006/relationships"><Relationship Id="rId1" Type="http://schemas.openxmlformats.org/officeDocument/2006/relationships/externalLinkPath" Target="file:///\\FSERV\MERA\TKP\TKP2023\tkp2023_547_&#1055;&#1053;&#1045;&#1042;&#1052;&#1040;&#1050;&#1057;_&#1057;&#1048;&#1057;&#1058;&#1045;&#1052;&#1067;_&#1048;&#1042;&#1050;_MIC-236_&#1052;&#1077;&#1083;&#1080;&#1093;&#1086;&#1074;\&#1058;&#1050;&#1055;_547_23_&#1089;&#1090;&#1072;&#1090;&#1091;&#1089;%20.xlsm" TargetMode="External"/></Relationships>
</file>

<file path=xl/externalLinks/_rels/externalLink360.xml.rels><?xml version="1.0" encoding="UTF-8" standalone="yes"?>
<Relationships xmlns="http://schemas.openxmlformats.org/package/2006/relationships"><Relationship Id="rId1" Type="http://schemas.openxmlformats.org/officeDocument/2006/relationships/externalLinkPath" Target="/MERA/TKP/TKP2023/tkp2023_569_&#1055;&#1085;&#1077;&#1074;&#1084;&#1072;&#1082;&#1089;_&#1052;&#1043;&#1058;&#1059;%20&#1041;&#1072;&#1091;&#1084;&#1072;&#1085;&#1072;_&#1089;&#1090;&#1072;&#1090;&#1079;&#1072;&#1083;%20&#1082;&#1072;&#1073;&#1080;&#1085;&#1072;_&#1056;&#1057;&#1057;_&#1055;&#1086;&#1090;&#1086;&#1083;&#1086;&#1095;&#1080;&#1085;/&#1058;&#1050;&#1055;_569_23_&#1089;&#1090;&#1072;&#1090;&#1091;&#1089;.xlsm" TargetMode="External"/></Relationships>
</file>

<file path=xl/externalLinks/_rels/externalLink361.xml.rels><?xml version="1.0" encoding="UTF-8" standalone="yes"?>
<Relationships xmlns="http://schemas.openxmlformats.org/package/2006/relationships"><Relationship Id="rId1" Type="http://schemas.openxmlformats.org/officeDocument/2006/relationships/externalLinkPath" Target="file:///\\fserv\e\MERA\TKP\TKP2024\tkp2024_003_&#1059;&#1088;&#1072;&#1083;&#1100;&#1089;&#1082;&#1080;&#1081;%20&#1090;&#1091;&#1088;&#1073;&#1080;&#1085;&#1085;&#1099;&#1081;%20&#1079;&#1072;&#1074;&#1086;&#1076;_&#1076;&#1080;&#1072;&#1092;&#1088;&#1072;&#1075;&#1084;&#1099;%20&#1087;&#1088;&#1086;&#1075;&#1080;&#1073;_&#1052;&#1072;&#1089;&#1083;&#1086;&#1074;&#1072;\&#1058;&#1050;&#1055;_003_24_&#1089;&#1090;&#1072;&#1090;&#1091;&#1089;.xlsm" TargetMode="External"/></Relationships>
</file>

<file path=xl/externalLinks/_rels/externalLink362.xml.rels><?xml version="1.0" encoding="UTF-8" standalone="yes"?>
<Relationships xmlns="http://schemas.openxmlformats.org/package/2006/relationships"><Relationship Id="rId1" Type="http://schemas.openxmlformats.org/officeDocument/2006/relationships/externalLinkPath" Target="file:///\\FSERV\MERA\TKP\TKP2022\tkp2022_568_&#1042;&#1052;&#1047;_&#1059;&#1089;&#1090;&#1072;&#1083;&#1086;&#1089;&#1090;&#1085;&#1099;&#1077;%20&#1080;&#1089;&#1087;&#1099;&#1090;&#1072;&#1085;&#1080;&#1103;_&#1056;&#1057;&#1057;_&#1060;&#1080;&#1083;&#1080;&#1084;&#1086;&#1085;&#1086;&#1074;\&#1058;&#1050;&#1055;_568_22_&#1089;&#1090;&#1072;&#1090;&#1091;&#108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Расчет"/>
      <sheetName val="Приложение1"/>
      <sheetName val="История"/>
    </sheetNames>
    <sheetDataSet>
      <sheetData sheetId="0">
        <row r="38">
          <cell r="F38" t="str">
            <v>Евро</v>
          </cell>
        </row>
        <row r="41">
          <cell r="G41">
            <v>700000</v>
          </cell>
        </row>
        <row r="42">
          <cell r="G42">
            <v>700000</v>
          </cell>
        </row>
      </sheetData>
      <sheetData sheetId="1">
        <row r="3">
          <cell r="D3" t="str">
            <v>Прайс PXI</v>
          </cell>
        </row>
        <row r="4">
          <cell r="G4">
            <v>0</v>
          </cell>
          <cell r="L4" t="str">
            <v>БГ</v>
          </cell>
          <cell r="M4">
            <v>0.08</v>
          </cell>
          <cell r="N4" t="str">
            <v>Военные</v>
          </cell>
          <cell r="O4">
            <v>0</v>
          </cell>
          <cell r="P4" t="str">
            <v>Скрытое</v>
          </cell>
          <cell r="Q4">
            <v>0</v>
          </cell>
        </row>
        <row r="5">
          <cell r="K5">
            <v>0</v>
          </cell>
          <cell r="L5">
            <v>0</v>
          </cell>
          <cell r="M5">
            <v>0</v>
          </cell>
          <cell r="N5">
            <v>0</v>
          </cell>
          <cell r="O5">
            <v>0</v>
          </cell>
          <cell r="P5" t="str">
            <v>Цена без БГ</v>
          </cell>
          <cell r="Q5">
            <v>35837431.148241758</v>
          </cell>
          <cell r="R5">
            <v>0</v>
          </cell>
          <cell r="S5">
            <v>0</v>
          </cell>
          <cell r="T5">
            <v>0</v>
          </cell>
          <cell r="U5">
            <v>0</v>
          </cell>
          <cell r="V5">
            <v>0</v>
          </cell>
          <cell r="W5">
            <v>0</v>
          </cell>
          <cell r="X5">
            <v>0</v>
          </cell>
          <cell r="Y5">
            <v>0</v>
          </cell>
        </row>
        <row r="6">
          <cell r="G6" t="str">
            <v>tkp2024-063/5.1</v>
          </cell>
          <cell r="K6">
            <v>0</v>
          </cell>
          <cell r="L6">
            <v>0</v>
          </cell>
          <cell r="M6">
            <v>0</v>
          </cell>
          <cell r="N6">
            <v>0</v>
          </cell>
          <cell r="O6">
            <v>0</v>
          </cell>
          <cell r="P6" t="str">
            <v>Полная цена</v>
          </cell>
          <cell r="Q6">
            <v>37704070.49537392</v>
          </cell>
        </row>
        <row r="7">
          <cell r="G7">
            <v>0</v>
          </cell>
          <cell r="K7">
            <v>0</v>
          </cell>
          <cell r="O7">
            <v>0</v>
          </cell>
          <cell r="P7">
            <v>0</v>
          </cell>
          <cell r="Q7" t="str">
            <v>КД 
кросс</v>
          </cell>
          <cell r="R7" t="str">
            <v>КД 
констр</v>
          </cell>
          <cell r="S7" t="str">
            <v>Метролог</v>
          </cell>
          <cell r="T7" t="str">
            <v>ПО</v>
          </cell>
          <cell r="U7" t="str">
            <v>Ведение проекта</v>
          </cell>
          <cell r="V7" t="str">
            <v>ПСИ / АИ</v>
          </cell>
          <cell r="W7" t="str">
            <v>ПНР</v>
          </cell>
          <cell r="X7" t="str">
            <v>ЭД</v>
          </cell>
          <cell r="Y7" t="str">
            <v>Монтаж</v>
          </cell>
        </row>
        <row r="8">
          <cell r="G8" t="str">
            <v>Цена ед-цы, руб.</v>
          </cell>
          <cell r="K8" t="str">
            <v>КЗ</v>
          </cell>
          <cell r="L8" t="str">
            <v>Покупн</v>
          </cell>
          <cell r="M8" t="str">
            <v>Прайс</v>
          </cell>
          <cell r="N8" t="str">
            <v>Категория</v>
          </cell>
          <cell r="O8" t="str">
            <v>Цена за шт / за материалы</v>
          </cell>
          <cell r="P8" t="str">
            <v>Резерв на 1 шт</v>
          </cell>
          <cell r="Q8">
            <v>0</v>
          </cell>
          <cell r="R8">
            <v>0</v>
          </cell>
          <cell r="S8">
            <v>0</v>
          </cell>
          <cell r="T8">
            <v>0</v>
          </cell>
          <cell r="U8">
            <v>0</v>
          </cell>
          <cell r="V8">
            <v>0</v>
          </cell>
          <cell r="W8">
            <v>0</v>
          </cell>
          <cell r="X8">
            <v>0</v>
          </cell>
          <cell r="Y8">
            <v>0</v>
          </cell>
        </row>
        <row r="9">
          <cell r="G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row>
        <row r="10">
          <cell r="G10">
            <v>2042859.66</v>
          </cell>
          <cell r="K10">
            <v>1.35</v>
          </cell>
          <cell r="L10">
            <v>0</v>
          </cell>
          <cell r="M10">
            <v>1</v>
          </cell>
          <cell r="N10" t="str">
            <v>Серия</v>
          </cell>
          <cell r="O10">
            <v>1731237</v>
          </cell>
          <cell r="P10">
            <v>311622.65999999997</v>
          </cell>
          <cell r="Q10">
            <v>0</v>
          </cell>
          <cell r="R10">
            <v>0</v>
          </cell>
          <cell r="S10">
            <v>0</v>
          </cell>
          <cell r="T10">
            <v>0</v>
          </cell>
          <cell r="U10">
            <v>0</v>
          </cell>
          <cell r="V10">
            <v>0</v>
          </cell>
          <cell r="W10">
            <v>0</v>
          </cell>
          <cell r="X10">
            <v>0</v>
          </cell>
          <cell r="Y10">
            <v>0</v>
          </cell>
        </row>
        <row r="11">
          <cell r="G11">
            <v>482384.62439700001</v>
          </cell>
          <cell r="K11">
            <v>1.35</v>
          </cell>
          <cell r="L11">
            <v>0</v>
          </cell>
          <cell r="M11">
            <v>1</v>
          </cell>
          <cell r="N11" t="str">
            <v>Серия</v>
          </cell>
          <cell r="O11">
            <v>408800.52915000002</v>
          </cell>
          <cell r="P11">
            <v>73584.095247000005</v>
          </cell>
          <cell r="Q11">
            <v>0</v>
          </cell>
          <cell r="R11">
            <v>0</v>
          </cell>
          <cell r="S11">
            <v>0</v>
          </cell>
          <cell r="T11">
            <v>0</v>
          </cell>
          <cell r="U11">
            <v>0</v>
          </cell>
          <cell r="V11">
            <v>0</v>
          </cell>
          <cell r="W11">
            <v>0</v>
          </cell>
          <cell r="X11">
            <v>0</v>
          </cell>
          <cell r="Y11">
            <v>0</v>
          </cell>
        </row>
        <row r="12">
          <cell r="G12">
            <v>299786.08</v>
          </cell>
          <cell r="K12">
            <v>1.35</v>
          </cell>
          <cell r="L12">
            <v>0</v>
          </cell>
          <cell r="M12">
            <v>1</v>
          </cell>
          <cell r="N12" t="str">
            <v>Серия</v>
          </cell>
          <cell r="O12">
            <v>254056</v>
          </cell>
          <cell r="P12">
            <v>45730.080000000002</v>
          </cell>
          <cell r="Q12">
            <v>0</v>
          </cell>
          <cell r="R12">
            <v>0</v>
          </cell>
          <cell r="S12">
            <v>0</v>
          </cell>
          <cell r="T12">
            <v>0</v>
          </cell>
          <cell r="U12">
            <v>0</v>
          </cell>
          <cell r="V12">
            <v>0</v>
          </cell>
          <cell r="W12">
            <v>0</v>
          </cell>
          <cell r="X12">
            <v>0</v>
          </cell>
          <cell r="Y12">
            <v>0</v>
          </cell>
        </row>
        <row r="13">
          <cell r="G13">
            <v>209023.43</v>
          </cell>
          <cell r="K13">
            <v>1.35</v>
          </cell>
          <cell r="L13">
            <v>0</v>
          </cell>
          <cell r="M13">
            <v>1</v>
          </cell>
          <cell r="N13" t="str">
            <v>Серия</v>
          </cell>
          <cell r="O13">
            <v>177138.5</v>
          </cell>
          <cell r="P13">
            <v>31884.93</v>
          </cell>
          <cell r="Q13">
            <v>0</v>
          </cell>
          <cell r="R13">
            <v>0</v>
          </cell>
          <cell r="S13">
            <v>0</v>
          </cell>
          <cell r="T13">
            <v>0</v>
          </cell>
          <cell r="U13">
            <v>0</v>
          </cell>
          <cell r="V13">
            <v>0</v>
          </cell>
          <cell r="W13">
            <v>0</v>
          </cell>
          <cell r="X13">
            <v>0</v>
          </cell>
          <cell r="Y13">
            <v>0</v>
          </cell>
        </row>
        <row r="14">
          <cell r="G14">
            <v>76679</v>
          </cell>
          <cell r="K14">
            <v>1.35</v>
          </cell>
          <cell r="L14">
            <v>0</v>
          </cell>
          <cell r="M14">
            <v>1</v>
          </cell>
          <cell r="N14" t="str">
            <v>Серия</v>
          </cell>
          <cell r="O14">
            <v>76679</v>
          </cell>
          <cell r="P14">
            <v>0</v>
          </cell>
          <cell r="Q14">
            <v>0</v>
          </cell>
          <cell r="R14">
            <v>0</v>
          </cell>
          <cell r="S14">
            <v>0</v>
          </cell>
          <cell r="T14">
            <v>0</v>
          </cell>
          <cell r="U14">
            <v>0</v>
          </cell>
          <cell r="V14">
            <v>0</v>
          </cell>
          <cell r="W14">
            <v>0</v>
          </cell>
          <cell r="X14">
            <v>0</v>
          </cell>
          <cell r="Y14">
            <v>0</v>
          </cell>
        </row>
        <row r="15">
          <cell r="G15">
            <v>0</v>
          </cell>
          <cell r="L15">
            <v>0</v>
          </cell>
          <cell r="M15">
            <v>0</v>
          </cell>
          <cell r="N15">
            <v>0</v>
          </cell>
          <cell r="O15">
            <v>0</v>
          </cell>
          <cell r="P15">
            <v>0</v>
          </cell>
          <cell r="Q15">
            <v>0</v>
          </cell>
          <cell r="R15">
            <v>0</v>
          </cell>
          <cell r="S15">
            <v>0</v>
          </cell>
          <cell r="T15">
            <v>0</v>
          </cell>
          <cell r="U15">
            <v>0</v>
          </cell>
          <cell r="V15">
            <v>0</v>
          </cell>
          <cell r="W15">
            <v>0</v>
          </cell>
          <cell r="X15">
            <v>0</v>
          </cell>
        </row>
        <row r="16">
          <cell r="G16">
            <v>0</v>
          </cell>
          <cell r="K16">
            <v>0</v>
          </cell>
          <cell r="L16">
            <v>0</v>
          </cell>
          <cell r="M16">
            <v>0</v>
          </cell>
          <cell r="N16">
            <v>0</v>
          </cell>
          <cell r="Q16">
            <v>0</v>
          </cell>
          <cell r="R16">
            <v>0</v>
          </cell>
          <cell r="S16">
            <v>0</v>
          </cell>
          <cell r="T16">
            <v>0</v>
          </cell>
          <cell r="U16">
            <v>0</v>
          </cell>
          <cell r="V16">
            <v>0</v>
          </cell>
          <cell r="W16">
            <v>0</v>
          </cell>
          <cell r="X16">
            <v>0</v>
          </cell>
          <cell r="Y16">
            <v>0</v>
          </cell>
        </row>
        <row r="17">
          <cell r="G17">
            <v>1003518.5887999998</v>
          </cell>
          <cell r="K17">
            <v>1.35</v>
          </cell>
          <cell r="L17">
            <v>0</v>
          </cell>
          <cell r="M17">
            <v>1</v>
          </cell>
          <cell r="N17" t="str">
            <v>Кросс</v>
          </cell>
          <cell r="O17">
            <v>895998.73999999987</v>
          </cell>
          <cell r="P17">
            <v>107519.84879999998</v>
          </cell>
          <cell r="Q17">
            <v>0</v>
          </cell>
          <cell r="R17">
            <v>0</v>
          </cell>
          <cell r="S17">
            <v>0</v>
          </cell>
          <cell r="T17">
            <v>0</v>
          </cell>
          <cell r="U17">
            <v>0</v>
          </cell>
          <cell r="V17">
            <v>0</v>
          </cell>
          <cell r="W17">
            <v>0</v>
          </cell>
          <cell r="X17">
            <v>0</v>
          </cell>
          <cell r="Y17">
            <v>0</v>
          </cell>
        </row>
        <row r="18">
          <cell r="G18">
            <v>529152</v>
          </cell>
          <cell r="K18">
            <v>1.35</v>
          </cell>
          <cell r="L18">
            <v>0</v>
          </cell>
          <cell r="M18">
            <v>1</v>
          </cell>
          <cell r="N18" t="str">
            <v>Кросс</v>
          </cell>
          <cell r="O18">
            <v>499200</v>
          </cell>
          <cell r="P18">
            <v>29952</v>
          </cell>
          <cell r="Q18">
            <v>0</v>
          </cell>
          <cell r="R18">
            <v>0</v>
          </cell>
          <cell r="S18">
            <v>0</v>
          </cell>
          <cell r="T18">
            <v>0</v>
          </cell>
          <cell r="U18">
            <v>0</v>
          </cell>
          <cell r="V18">
            <v>0</v>
          </cell>
          <cell r="W18">
            <v>0</v>
          </cell>
          <cell r="X18">
            <v>0</v>
          </cell>
          <cell r="Y18">
            <v>0</v>
          </cell>
        </row>
        <row r="19">
          <cell r="G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row>
        <row r="20">
          <cell r="G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row>
        <row r="21">
          <cell r="G21">
            <v>337500</v>
          </cell>
          <cell r="K21">
            <v>1.35</v>
          </cell>
          <cell r="L21">
            <v>1</v>
          </cell>
          <cell r="M21">
            <v>0</v>
          </cell>
          <cell r="N21" t="str">
            <v>Покупное</v>
          </cell>
          <cell r="O21">
            <v>250000</v>
          </cell>
          <cell r="P21">
            <v>0</v>
          </cell>
          <cell r="Q21">
            <v>0</v>
          </cell>
          <cell r="R21">
            <v>0</v>
          </cell>
          <cell r="S21">
            <v>0</v>
          </cell>
          <cell r="T21">
            <v>0</v>
          </cell>
          <cell r="U21">
            <v>0</v>
          </cell>
          <cell r="V21">
            <v>0</v>
          </cell>
          <cell r="W21">
            <v>0</v>
          </cell>
          <cell r="X21">
            <v>0</v>
          </cell>
          <cell r="Y21">
            <v>0</v>
          </cell>
        </row>
        <row r="22">
          <cell r="G22">
            <v>163350</v>
          </cell>
          <cell r="K22">
            <v>1.35</v>
          </cell>
          <cell r="L22">
            <v>1</v>
          </cell>
          <cell r="M22">
            <v>0</v>
          </cell>
          <cell r="N22" t="str">
            <v>Покупное</v>
          </cell>
          <cell r="O22">
            <v>121000</v>
          </cell>
          <cell r="P22">
            <v>0</v>
          </cell>
          <cell r="Q22">
            <v>0</v>
          </cell>
          <cell r="R22">
            <v>0</v>
          </cell>
          <cell r="S22">
            <v>0</v>
          </cell>
          <cell r="T22">
            <v>0</v>
          </cell>
          <cell r="U22">
            <v>0</v>
          </cell>
          <cell r="V22">
            <v>0</v>
          </cell>
          <cell r="W22">
            <v>0</v>
          </cell>
          <cell r="X22">
            <v>0</v>
          </cell>
          <cell r="Y22">
            <v>0</v>
          </cell>
        </row>
        <row r="23">
          <cell r="G23">
            <v>491588.46</v>
          </cell>
          <cell r="K23">
            <v>1.35</v>
          </cell>
          <cell r="L23">
            <v>1</v>
          </cell>
          <cell r="M23">
            <v>0</v>
          </cell>
          <cell r="N23" t="str">
            <v>Покупное</v>
          </cell>
          <cell r="O23">
            <v>364139.6</v>
          </cell>
          <cell r="P23">
            <v>0</v>
          </cell>
          <cell r="Q23">
            <v>0</v>
          </cell>
          <cell r="R23">
            <v>0</v>
          </cell>
          <cell r="S23">
            <v>0</v>
          </cell>
          <cell r="T23">
            <v>0</v>
          </cell>
          <cell r="U23">
            <v>0</v>
          </cell>
          <cell r="V23">
            <v>0</v>
          </cell>
          <cell r="W23">
            <v>0</v>
          </cell>
          <cell r="X23">
            <v>0</v>
          </cell>
          <cell r="Y23">
            <v>0</v>
          </cell>
        </row>
        <row r="24">
          <cell r="G24">
            <v>60750.000000000007</v>
          </cell>
          <cell r="K24">
            <v>1.35</v>
          </cell>
          <cell r="L24">
            <v>1</v>
          </cell>
          <cell r="M24">
            <v>0</v>
          </cell>
          <cell r="N24" t="str">
            <v>Покупное</v>
          </cell>
          <cell r="O24">
            <v>45000</v>
          </cell>
          <cell r="P24">
            <v>0</v>
          </cell>
          <cell r="Q24">
            <v>0</v>
          </cell>
          <cell r="R24">
            <v>0</v>
          </cell>
          <cell r="S24">
            <v>0</v>
          </cell>
          <cell r="T24">
            <v>0</v>
          </cell>
          <cell r="U24">
            <v>0</v>
          </cell>
          <cell r="V24">
            <v>0</v>
          </cell>
          <cell r="W24">
            <v>0</v>
          </cell>
          <cell r="X24">
            <v>0</v>
          </cell>
          <cell r="Y24">
            <v>0</v>
          </cell>
        </row>
        <row r="25">
          <cell r="G25">
            <v>0</v>
          </cell>
          <cell r="K25">
            <v>1.35</v>
          </cell>
          <cell r="L25">
            <v>0</v>
          </cell>
          <cell r="M25">
            <v>0</v>
          </cell>
          <cell r="N25" t="str">
            <v>Покупное</v>
          </cell>
          <cell r="O25">
            <v>0</v>
          </cell>
          <cell r="P25">
            <v>0</v>
          </cell>
          <cell r="Q25">
            <v>0</v>
          </cell>
          <cell r="R25">
            <v>0</v>
          </cell>
          <cell r="S25">
            <v>0</v>
          </cell>
          <cell r="T25">
            <v>0</v>
          </cell>
          <cell r="U25">
            <v>0</v>
          </cell>
          <cell r="V25">
            <v>0</v>
          </cell>
          <cell r="W25">
            <v>0</v>
          </cell>
          <cell r="X25">
            <v>0</v>
          </cell>
          <cell r="Y25">
            <v>0</v>
          </cell>
        </row>
        <row r="26">
          <cell r="G26">
            <v>0</v>
          </cell>
          <cell r="K26">
            <v>0</v>
          </cell>
          <cell r="L26">
            <v>0</v>
          </cell>
          <cell r="M26">
            <v>0</v>
          </cell>
          <cell r="N26">
            <v>0</v>
          </cell>
          <cell r="O26">
            <v>0</v>
          </cell>
          <cell r="P26">
            <v>0</v>
          </cell>
          <cell r="X26">
            <v>0</v>
          </cell>
          <cell r="Y26">
            <v>0</v>
          </cell>
          <cell r="Z26" t="str">
            <v>Материал</v>
          </cell>
          <cell r="AA26" t="str">
            <v>Р1,$</v>
          </cell>
          <cell r="AB26" t="str">
            <v>пин</v>
          </cell>
          <cell r="AC26" t="str">
            <v>мат, $</v>
          </cell>
          <cell r="AD26" t="str">
            <v>L</v>
          </cell>
          <cell r="AE26" t="str">
            <v>Р2,$</v>
          </cell>
          <cell r="AF26" t="str">
            <v>Разделка разъемов</v>
          </cell>
        </row>
        <row r="27">
          <cell r="G27">
            <v>0</v>
          </cell>
          <cell r="K27">
            <v>0</v>
          </cell>
          <cell r="L27">
            <v>0</v>
          </cell>
          <cell r="M27">
            <v>0</v>
          </cell>
          <cell r="N27">
            <v>0</v>
          </cell>
          <cell r="O27">
            <v>0</v>
          </cell>
          <cell r="P27">
            <v>0</v>
          </cell>
          <cell r="X27">
            <v>0</v>
          </cell>
          <cell r="Y27">
            <v>0</v>
          </cell>
          <cell r="Z27">
            <v>0</v>
          </cell>
          <cell r="AA27">
            <v>0</v>
          </cell>
          <cell r="AB27">
            <v>0</v>
          </cell>
          <cell r="AC27">
            <v>0</v>
          </cell>
          <cell r="AD27">
            <v>0</v>
          </cell>
          <cell r="AE27">
            <v>0</v>
          </cell>
          <cell r="AF27">
            <v>0</v>
          </cell>
        </row>
        <row r="28">
          <cell r="G28">
            <v>28600</v>
          </cell>
          <cell r="K28">
            <v>1.35</v>
          </cell>
          <cell r="L28">
            <v>0</v>
          </cell>
          <cell r="M28">
            <v>1</v>
          </cell>
          <cell r="N28" t="str">
            <v>Кабель</v>
          </cell>
          <cell r="O28">
            <v>28600</v>
          </cell>
          <cell r="P28">
            <v>0</v>
          </cell>
          <cell r="Q28">
            <v>0</v>
          </cell>
          <cell r="R28">
            <v>0</v>
          </cell>
          <cell r="S28">
            <v>0</v>
          </cell>
          <cell r="T28">
            <v>0</v>
          </cell>
          <cell r="U28">
            <v>0</v>
          </cell>
          <cell r="V28">
            <v>0</v>
          </cell>
          <cell r="W28">
            <v>0</v>
          </cell>
          <cell r="X28">
            <v>0</v>
          </cell>
          <cell r="Y28">
            <v>0</v>
          </cell>
          <cell r="Z28" t="str">
            <v>8xRG-58</v>
          </cell>
          <cell r="AA28">
            <v>54</v>
          </cell>
          <cell r="AB28">
            <v>24</v>
          </cell>
          <cell r="AC28">
            <v>21.6</v>
          </cell>
          <cell r="AD28">
            <v>5</v>
          </cell>
          <cell r="AE28">
            <v>5</v>
          </cell>
          <cell r="AF28">
            <v>45</v>
          </cell>
        </row>
        <row r="29">
          <cell r="G29">
            <v>28600</v>
          </cell>
          <cell r="K29">
            <v>1.35</v>
          </cell>
          <cell r="L29">
            <v>0</v>
          </cell>
          <cell r="M29">
            <v>1</v>
          </cell>
          <cell r="N29" t="str">
            <v>Кабель</v>
          </cell>
          <cell r="O29">
            <v>28600</v>
          </cell>
          <cell r="P29">
            <v>0</v>
          </cell>
          <cell r="Q29">
            <v>0</v>
          </cell>
          <cell r="R29">
            <v>0</v>
          </cell>
          <cell r="S29">
            <v>0</v>
          </cell>
          <cell r="T29">
            <v>0</v>
          </cell>
          <cell r="U29">
            <v>0</v>
          </cell>
          <cell r="V29">
            <v>0</v>
          </cell>
          <cell r="W29">
            <v>0</v>
          </cell>
          <cell r="X29">
            <v>0</v>
          </cell>
          <cell r="Y29">
            <v>0</v>
          </cell>
          <cell r="Z29" t="str">
            <v>8xRG-58</v>
          </cell>
          <cell r="AA29">
            <v>54</v>
          </cell>
          <cell r="AB29">
            <v>24</v>
          </cell>
          <cell r="AC29">
            <v>21.6</v>
          </cell>
          <cell r="AD29">
            <v>5</v>
          </cell>
          <cell r="AE29">
            <v>5</v>
          </cell>
          <cell r="AF29">
            <v>45</v>
          </cell>
        </row>
        <row r="30">
          <cell r="G30">
            <v>5280</v>
          </cell>
          <cell r="K30">
            <v>1.35</v>
          </cell>
          <cell r="L30">
            <v>0</v>
          </cell>
          <cell r="M30">
            <v>1</v>
          </cell>
          <cell r="N30" t="str">
            <v>Кабель</v>
          </cell>
          <cell r="O30">
            <v>5280</v>
          </cell>
          <cell r="P30">
            <v>0</v>
          </cell>
          <cell r="Q30">
            <v>0</v>
          </cell>
          <cell r="R30">
            <v>0</v>
          </cell>
          <cell r="S30">
            <v>0</v>
          </cell>
          <cell r="T30">
            <v>0</v>
          </cell>
          <cell r="U30">
            <v>0</v>
          </cell>
          <cell r="V30">
            <v>0</v>
          </cell>
          <cell r="W30">
            <v>0</v>
          </cell>
          <cell r="X30">
            <v>0</v>
          </cell>
          <cell r="Y30">
            <v>0</v>
          </cell>
          <cell r="Z30" t="str">
            <v>8xRG-58</v>
          </cell>
          <cell r="AA30">
            <v>20.25</v>
          </cell>
          <cell r="AB30">
            <v>3</v>
          </cell>
          <cell r="AC30">
            <v>1.35</v>
          </cell>
          <cell r="AD30">
            <v>5</v>
          </cell>
          <cell r="AE30">
            <v>5</v>
          </cell>
          <cell r="AF30">
            <v>10</v>
          </cell>
        </row>
        <row r="31">
          <cell r="G31">
            <v>8415</v>
          </cell>
          <cell r="K31">
            <v>1.35</v>
          </cell>
          <cell r="L31">
            <v>0</v>
          </cell>
          <cell r="M31">
            <v>1</v>
          </cell>
          <cell r="N31" t="str">
            <v>Кабель</v>
          </cell>
          <cell r="O31">
            <v>8415</v>
          </cell>
          <cell r="P31">
            <v>0</v>
          </cell>
          <cell r="Q31">
            <v>0</v>
          </cell>
          <cell r="R31">
            <v>0</v>
          </cell>
          <cell r="S31">
            <v>0</v>
          </cell>
          <cell r="T31">
            <v>0</v>
          </cell>
          <cell r="U31">
            <v>0</v>
          </cell>
          <cell r="V31">
            <v>0</v>
          </cell>
          <cell r="W31">
            <v>0</v>
          </cell>
          <cell r="X31">
            <v>0</v>
          </cell>
          <cell r="Y31">
            <v>0</v>
          </cell>
          <cell r="Z31" t="str">
            <v>8xRG-58</v>
          </cell>
          <cell r="AA31">
            <v>6.75</v>
          </cell>
          <cell r="AB31">
            <v>24</v>
          </cell>
          <cell r="AC31">
            <v>1.35</v>
          </cell>
          <cell r="AD31">
            <v>5</v>
          </cell>
          <cell r="AE31">
            <v>5</v>
          </cell>
          <cell r="AF31">
            <v>10</v>
          </cell>
        </row>
        <row r="32">
          <cell r="G32">
            <v>12127.5</v>
          </cell>
          <cell r="K32">
            <v>1.35</v>
          </cell>
          <cell r="L32">
            <v>0</v>
          </cell>
          <cell r="M32">
            <v>1</v>
          </cell>
          <cell r="N32" t="str">
            <v>Кабель</v>
          </cell>
          <cell r="O32">
            <v>12127.5</v>
          </cell>
          <cell r="P32">
            <v>0</v>
          </cell>
          <cell r="Q32">
            <v>0</v>
          </cell>
          <cell r="R32">
            <v>0</v>
          </cell>
          <cell r="S32">
            <v>0</v>
          </cell>
          <cell r="T32">
            <v>0</v>
          </cell>
          <cell r="U32">
            <v>0</v>
          </cell>
          <cell r="V32">
            <v>0</v>
          </cell>
          <cell r="W32">
            <v>0</v>
          </cell>
          <cell r="X32">
            <v>0</v>
          </cell>
          <cell r="Y32">
            <v>0</v>
          </cell>
          <cell r="Z32" t="str">
            <v>8xRG-58</v>
          </cell>
          <cell r="AA32">
            <v>33.75</v>
          </cell>
          <cell r="AB32">
            <v>24</v>
          </cell>
          <cell r="AC32">
            <v>2.7</v>
          </cell>
          <cell r="AD32">
            <v>5</v>
          </cell>
          <cell r="AE32">
            <v>5</v>
          </cell>
          <cell r="AF32">
            <v>10</v>
          </cell>
        </row>
        <row r="33">
          <cell r="G33">
            <v>14355</v>
          </cell>
          <cell r="K33">
            <v>1.35</v>
          </cell>
          <cell r="L33">
            <v>0</v>
          </cell>
          <cell r="M33">
            <v>1</v>
          </cell>
          <cell r="N33" t="str">
            <v>Кабель</v>
          </cell>
          <cell r="O33">
            <v>14355</v>
          </cell>
          <cell r="P33">
            <v>0</v>
          </cell>
          <cell r="Q33">
            <v>0</v>
          </cell>
          <cell r="R33">
            <v>0</v>
          </cell>
          <cell r="S33">
            <v>0</v>
          </cell>
          <cell r="T33">
            <v>0</v>
          </cell>
          <cell r="U33">
            <v>0</v>
          </cell>
          <cell r="V33">
            <v>0</v>
          </cell>
          <cell r="W33">
            <v>0</v>
          </cell>
          <cell r="X33">
            <v>0</v>
          </cell>
          <cell r="Y33">
            <v>0</v>
          </cell>
          <cell r="Z33" t="str">
            <v>8xRG-58</v>
          </cell>
          <cell r="AA33">
            <v>33.75</v>
          </cell>
          <cell r="AB33">
            <v>24</v>
          </cell>
          <cell r="AC33">
            <v>6.75</v>
          </cell>
          <cell r="AD33">
            <v>5</v>
          </cell>
          <cell r="AE33">
            <v>5</v>
          </cell>
          <cell r="AF33">
            <v>10</v>
          </cell>
        </row>
        <row r="34">
          <cell r="G34">
            <v>0</v>
          </cell>
          <cell r="K34">
            <v>1.35</v>
          </cell>
          <cell r="L34">
            <v>0</v>
          </cell>
          <cell r="M34">
            <v>1</v>
          </cell>
          <cell r="N34" t="str">
            <v>Кабель</v>
          </cell>
          <cell r="O34">
            <v>1500000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row>
        <row r="35">
          <cell r="G35">
            <v>0</v>
          </cell>
          <cell r="K35">
            <v>0</v>
          </cell>
          <cell r="L35">
            <v>0</v>
          </cell>
          <cell r="M35">
            <v>0</v>
          </cell>
          <cell r="O35">
            <v>0</v>
          </cell>
          <cell r="P35">
            <v>0</v>
          </cell>
          <cell r="Q35">
            <v>0</v>
          </cell>
          <cell r="R35">
            <v>0</v>
          </cell>
          <cell r="S35">
            <v>0</v>
          </cell>
          <cell r="T35">
            <v>0</v>
          </cell>
          <cell r="U35">
            <v>0</v>
          </cell>
          <cell r="V35">
            <v>0</v>
          </cell>
          <cell r="W35">
            <v>0</v>
          </cell>
          <cell r="X35">
            <v>0</v>
          </cell>
        </row>
        <row r="36">
          <cell r="G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row>
        <row r="37">
          <cell r="G37">
            <v>120000</v>
          </cell>
          <cell r="K37">
            <v>1.35</v>
          </cell>
          <cell r="L37">
            <v>0</v>
          </cell>
          <cell r="M37">
            <v>1</v>
          </cell>
          <cell r="N37" t="str">
            <v>Доставка</v>
          </cell>
          <cell r="O37">
            <v>120000</v>
          </cell>
          <cell r="P37">
            <v>0</v>
          </cell>
          <cell r="Q37">
            <v>0</v>
          </cell>
          <cell r="R37">
            <v>0</v>
          </cell>
          <cell r="S37">
            <v>0</v>
          </cell>
          <cell r="T37">
            <v>0</v>
          </cell>
          <cell r="U37">
            <v>0</v>
          </cell>
          <cell r="V37">
            <v>0</v>
          </cell>
          <cell r="W37">
            <v>0</v>
          </cell>
          <cell r="X37">
            <v>0</v>
          </cell>
          <cell r="Y37">
            <v>0</v>
          </cell>
        </row>
        <row r="38">
          <cell r="G38">
            <v>3500000</v>
          </cell>
          <cell r="K38">
            <v>1.35</v>
          </cell>
          <cell r="L38">
            <v>0</v>
          </cell>
          <cell r="M38">
            <v>1</v>
          </cell>
          <cell r="N38">
            <v>0</v>
          </cell>
          <cell r="O38">
            <v>0</v>
          </cell>
          <cell r="P38">
            <v>0</v>
          </cell>
          <cell r="Q38">
            <v>0</v>
          </cell>
          <cell r="R38">
            <v>0</v>
          </cell>
          <cell r="S38">
            <v>0</v>
          </cell>
          <cell r="T38">
            <v>5</v>
          </cell>
          <cell r="U38">
            <v>0</v>
          </cell>
          <cell r="V38">
            <v>0</v>
          </cell>
          <cell r="W38">
            <v>0</v>
          </cell>
          <cell r="X38">
            <v>0</v>
          </cell>
          <cell r="Y38">
            <v>0</v>
          </cell>
        </row>
        <row r="39">
          <cell r="G39">
            <v>3150000</v>
          </cell>
          <cell r="K39">
            <v>1.35</v>
          </cell>
          <cell r="L39">
            <v>0</v>
          </cell>
          <cell r="M39">
            <v>1</v>
          </cell>
          <cell r="N39">
            <v>0</v>
          </cell>
          <cell r="O39">
            <v>0</v>
          </cell>
          <cell r="P39">
            <v>0</v>
          </cell>
          <cell r="Q39">
            <v>1.5</v>
          </cell>
          <cell r="R39">
            <v>0</v>
          </cell>
          <cell r="S39">
            <v>0</v>
          </cell>
          <cell r="T39">
            <v>0</v>
          </cell>
          <cell r="U39">
            <v>0</v>
          </cell>
          <cell r="V39">
            <v>0</v>
          </cell>
          <cell r="W39">
            <v>0</v>
          </cell>
          <cell r="X39">
            <v>3</v>
          </cell>
          <cell r="Y39">
            <v>0</v>
          </cell>
        </row>
        <row r="40">
          <cell r="G40">
            <v>700000</v>
          </cell>
          <cell r="K40">
            <v>1.35</v>
          </cell>
          <cell r="L40">
            <v>0</v>
          </cell>
          <cell r="M40">
            <v>1</v>
          </cell>
          <cell r="N40">
            <v>0</v>
          </cell>
          <cell r="O40">
            <v>0</v>
          </cell>
          <cell r="P40">
            <v>0</v>
          </cell>
          <cell r="Q40">
            <v>0</v>
          </cell>
          <cell r="R40">
            <v>0</v>
          </cell>
          <cell r="S40">
            <v>0</v>
          </cell>
          <cell r="T40">
            <v>0</v>
          </cell>
          <cell r="U40">
            <v>0</v>
          </cell>
          <cell r="V40">
            <v>0</v>
          </cell>
          <cell r="W40">
            <v>1</v>
          </cell>
          <cell r="X40">
            <v>0</v>
          </cell>
          <cell r="Y40">
            <v>0</v>
          </cell>
        </row>
        <row r="41">
          <cell r="G41">
            <v>2800000</v>
          </cell>
          <cell r="K41">
            <v>1.35</v>
          </cell>
          <cell r="L41">
            <v>0</v>
          </cell>
          <cell r="M41">
            <v>1</v>
          </cell>
          <cell r="N41">
            <v>0</v>
          </cell>
          <cell r="O41">
            <v>0</v>
          </cell>
          <cell r="P41">
            <v>0</v>
          </cell>
          <cell r="Q41">
            <v>0</v>
          </cell>
          <cell r="R41">
            <v>0</v>
          </cell>
          <cell r="S41">
            <v>0</v>
          </cell>
          <cell r="T41">
            <v>0</v>
          </cell>
          <cell r="U41">
            <v>3</v>
          </cell>
          <cell r="V41">
            <v>1</v>
          </cell>
          <cell r="W41">
            <v>0</v>
          </cell>
          <cell r="X41">
            <v>0</v>
          </cell>
          <cell r="Y41">
            <v>0</v>
          </cell>
          <cell r="Z41" t="str">
            <v>Кол-во недель</v>
          </cell>
          <cell r="AA41" t="str">
            <v>Гостиница</v>
          </cell>
          <cell r="AB41" t="str">
            <v>Проезд туда-обратно</v>
          </cell>
          <cell r="AC41" t="str">
            <v>Суточные</v>
          </cell>
          <cell r="AD41" t="str">
            <v>За 1 неделю</v>
          </cell>
          <cell r="AE41" t="str">
            <v>Итого</v>
          </cell>
        </row>
        <row r="42">
          <cell r="G42">
            <v>55000</v>
          </cell>
          <cell r="K42">
            <v>1.35</v>
          </cell>
          <cell r="L42">
            <v>0</v>
          </cell>
          <cell r="M42">
            <v>1</v>
          </cell>
          <cell r="N42" t="str">
            <v>Комманд. расходы</v>
          </cell>
          <cell r="O42">
            <v>55000</v>
          </cell>
          <cell r="P42">
            <v>0</v>
          </cell>
          <cell r="Q42">
            <v>0</v>
          </cell>
          <cell r="R42">
            <v>0</v>
          </cell>
          <cell r="S42">
            <v>0</v>
          </cell>
          <cell r="T42">
            <v>0</v>
          </cell>
          <cell r="U42">
            <v>0</v>
          </cell>
          <cell r="V42">
            <v>0</v>
          </cell>
          <cell r="W42">
            <v>0</v>
          </cell>
          <cell r="X42">
            <v>0</v>
          </cell>
          <cell r="Y42">
            <v>0</v>
          </cell>
          <cell r="Z42">
            <v>5</v>
          </cell>
          <cell r="AA42">
            <v>0</v>
          </cell>
          <cell r="AB42">
            <v>1500</v>
          </cell>
          <cell r="AC42">
            <v>700</v>
          </cell>
          <cell r="AD42">
            <v>11000</v>
          </cell>
          <cell r="AE42">
            <v>55000</v>
          </cell>
        </row>
        <row r="43">
          <cell r="G43">
            <v>0</v>
          </cell>
          <cell r="K43">
            <v>0</v>
          </cell>
          <cell r="L43">
            <v>0</v>
          </cell>
          <cell r="M43">
            <v>0</v>
          </cell>
          <cell r="N43">
            <v>0</v>
          </cell>
          <cell r="O43">
            <v>0</v>
          </cell>
          <cell r="P43">
            <v>0</v>
          </cell>
          <cell r="Q43">
            <v>0</v>
          </cell>
          <cell r="R43">
            <v>0</v>
          </cell>
          <cell r="S43">
            <v>0</v>
          </cell>
          <cell r="T43">
            <v>0</v>
          </cell>
          <cell r="U43">
            <v>0</v>
          </cell>
          <cell r="V43">
            <v>0</v>
          </cell>
          <cell r="W43">
            <v>0</v>
          </cell>
          <cell r="X43">
            <v>0</v>
          </cell>
        </row>
        <row r="44">
          <cell r="G44">
            <v>0</v>
          </cell>
          <cell r="K44">
            <v>0</v>
          </cell>
          <cell r="L44">
            <v>0</v>
          </cell>
          <cell r="M44">
            <v>0</v>
          </cell>
          <cell r="N44">
            <v>0</v>
          </cell>
          <cell r="O44">
            <v>0</v>
          </cell>
          <cell r="P44">
            <v>0</v>
          </cell>
          <cell r="Q44">
            <v>0</v>
          </cell>
          <cell r="R44">
            <v>0</v>
          </cell>
          <cell r="S44">
            <v>0</v>
          </cell>
          <cell r="T44">
            <v>0</v>
          </cell>
          <cell r="U44">
            <v>0</v>
          </cell>
          <cell r="V44">
            <v>0</v>
          </cell>
          <cell r="W44">
            <v>0</v>
          </cell>
          <cell r="X44">
            <v>0</v>
          </cell>
        </row>
        <row r="45">
          <cell r="G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row>
        <row r="46">
          <cell r="G46">
            <v>2492831.1071321596</v>
          </cell>
          <cell r="H46">
            <v>2492831.1071321596</v>
          </cell>
          <cell r="K46">
            <v>0</v>
          </cell>
          <cell r="L46">
            <v>0</v>
          </cell>
          <cell r="M46">
            <v>0</v>
          </cell>
          <cell r="N46" t="str">
            <v>БГ</v>
          </cell>
          <cell r="O46">
            <v>0</v>
          </cell>
          <cell r="P46">
            <v>0</v>
          </cell>
          <cell r="Q46">
            <v>0</v>
          </cell>
          <cell r="R46">
            <v>0</v>
          </cell>
          <cell r="S46">
            <v>0</v>
          </cell>
          <cell r="T46">
            <v>0</v>
          </cell>
          <cell r="U46">
            <v>0</v>
          </cell>
          <cell r="V46">
            <v>0</v>
          </cell>
          <cell r="W46">
            <v>0</v>
          </cell>
          <cell r="X46">
            <v>0</v>
          </cell>
          <cell r="Y46">
            <v>0</v>
          </cell>
        </row>
        <row r="47">
          <cell r="G47">
            <v>3116038.8839151999</v>
          </cell>
          <cell r="K47">
            <v>0</v>
          </cell>
          <cell r="L47">
            <v>0</v>
          </cell>
          <cell r="M47">
            <v>0</v>
          </cell>
          <cell r="N47" t="str">
            <v>Резерв</v>
          </cell>
          <cell r="O47">
            <v>0</v>
          </cell>
          <cell r="P47">
            <v>0</v>
          </cell>
          <cell r="Q47">
            <v>0</v>
          </cell>
          <cell r="R47">
            <v>0</v>
          </cell>
          <cell r="S47">
            <v>0</v>
          </cell>
          <cell r="T47">
            <v>0</v>
          </cell>
          <cell r="U47">
            <v>0</v>
          </cell>
          <cell r="V47">
            <v>0</v>
          </cell>
          <cell r="W47">
            <v>0</v>
          </cell>
          <cell r="X47">
            <v>0</v>
          </cell>
          <cell r="Y47">
            <v>0</v>
          </cell>
        </row>
        <row r="48">
          <cell r="G48">
            <v>934811.66517455992</v>
          </cell>
          <cell r="H48">
            <v>934811.66517455992</v>
          </cell>
          <cell r="K48">
            <v>0</v>
          </cell>
          <cell r="L48">
            <v>0</v>
          </cell>
          <cell r="M48">
            <v>0</v>
          </cell>
          <cell r="N48" t="str">
            <v>ВТК</v>
          </cell>
          <cell r="O48">
            <v>934811.66517455992</v>
          </cell>
          <cell r="P48">
            <v>0</v>
          </cell>
          <cell r="Q48">
            <v>0</v>
          </cell>
          <cell r="R48">
            <v>0</v>
          </cell>
          <cell r="S48">
            <v>0</v>
          </cell>
          <cell r="T48">
            <v>0</v>
          </cell>
          <cell r="U48">
            <v>0</v>
          </cell>
          <cell r="V48">
            <v>0</v>
          </cell>
          <cell r="W48">
            <v>0</v>
          </cell>
          <cell r="X48">
            <v>0</v>
          </cell>
          <cell r="Y48">
            <v>0</v>
          </cell>
        </row>
        <row r="49">
          <cell r="G49">
            <v>0</v>
          </cell>
          <cell r="H49">
            <v>6543681.6562219197</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row>
        <row r="50">
          <cell r="G50">
            <v>0</v>
          </cell>
          <cell r="H50">
            <v>37704070.49537392</v>
          </cell>
          <cell r="K50">
            <v>0</v>
          </cell>
          <cell r="L50">
            <v>0</v>
          </cell>
          <cell r="M50">
            <v>0</v>
          </cell>
          <cell r="N50">
            <v>0</v>
          </cell>
          <cell r="O50">
            <v>0</v>
          </cell>
          <cell r="P50">
            <v>0</v>
          </cell>
          <cell r="Q50">
            <v>1.5</v>
          </cell>
          <cell r="R50">
            <v>0</v>
          </cell>
          <cell r="S50">
            <v>0</v>
          </cell>
          <cell r="T50">
            <v>5</v>
          </cell>
          <cell r="U50">
            <v>3</v>
          </cell>
          <cell r="V50">
            <v>1</v>
          </cell>
          <cell r="W50">
            <v>1</v>
          </cell>
          <cell r="X50">
            <v>3</v>
          </cell>
          <cell r="Y50">
            <v>0</v>
          </cell>
        </row>
        <row r="51">
          <cell r="G51">
            <v>0</v>
          </cell>
          <cell r="H51">
            <v>0</v>
          </cell>
          <cell r="K51">
            <v>0</v>
          </cell>
          <cell r="M51">
            <v>0</v>
          </cell>
        </row>
        <row r="52">
          <cell r="G52">
            <v>0</v>
          </cell>
          <cell r="H52">
            <v>0</v>
          </cell>
          <cell r="Z52">
            <v>0</v>
          </cell>
        </row>
        <row r="53">
          <cell r="G53">
            <v>0</v>
          </cell>
          <cell r="Z53">
            <v>0</v>
          </cell>
        </row>
        <row r="54">
          <cell r="Z54">
            <v>0</v>
          </cell>
        </row>
        <row r="55">
          <cell r="Z55">
            <v>0</v>
          </cell>
        </row>
        <row r="56">
          <cell r="Z56">
            <v>0</v>
          </cell>
        </row>
        <row r="57">
          <cell r="Z57">
            <v>0</v>
          </cell>
        </row>
        <row r="58">
          <cell r="Z58">
            <v>0</v>
          </cell>
        </row>
        <row r="59">
          <cell r="Z59">
            <v>0</v>
          </cell>
        </row>
      </sheetData>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45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20.11.23_x000D_
ТКП Отправлено, пауза</v>
          </cell>
        </row>
        <row r="14">
          <cell r="D14">
            <v>0</v>
          </cell>
        </row>
      </sheetData>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34_23_статус"/>
    </sheetNames>
    <definedNames>
      <definedName name="Результат_число" refersTo="='Лист1'!$D$14"/>
      <definedName name="Статус" refersTo="='Лист1'!$B$6"/>
    </definedNames>
    <sheetDataSet>
      <sheetData sheetId="0">
        <row r="6">
          <cell r="B6" t="str">
            <v>21.04.23
отправлено заказчику 10.04.23</v>
          </cell>
        </row>
        <row r="14">
          <cell r="D14">
            <v>0</v>
          </cell>
        </row>
      </sheetData>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1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19.05.25_x000D_
ОП - требуется обновление ТКП до 14.05.25</v>
          </cell>
        </row>
        <row r="14">
          <cell r="D14">
            <v>0</v>
          </cell>
        </row>
      </sheetData>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6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BFR</v>
          </cell>
        </row>
        <row r="6">
          <cell r="B6" t="str">
            <v>07.10.25_x000D_
АДМ РТ запрашивают официальную версию ТКП по заданной форме</v>
          </cell>
        </row>
        <row r="14">
          <cell r="D14">
            <v>-1</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89_23_статус"/>
    </sheetNames>
    <definedNames>
      <definedName name="Результат_число" refersTo="='Лист1'!$D$14"/>
      <definedName name="Статус" refersTo="='Лист1'!$B$6"/>
    </definedNames>
    <sheetDataSet>
      <sheetData sheetId="0">
        <row r="6">
          <cell r="B6" t="str">
            <v>19.03.24_x000D_
Второй приоритет. Вернемся после 15.04.24</v>
          </cell>
        </row>
        <row r="14">
          <cell r="D14">
            <v>-1</v>
          </cell>
        </row>
      </sheetData>
      <sheetData sheetId="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25_23_статус"/>
    </sheetNames>
    <definedNames>
      <definedName name="ТКП_Тематика" refersTo="='Лист1'!$F$3"/>
    </definedNames>
    <sheetDataSet>
      <sheetData sheetId="0" refreshError="1">
        <row r="3">
          <cell r="F3">
            <v>0</v>
          </cell>
        </row>
      </sheetData>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91_21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v>
          </cell>
        </row>
        <row r="6">
          <cell r="B6" t="str">
            <v>28.09.23_x000D_
Оплачено</v>
          </cell>
        </row>
        <row r="14">
          <cell r="D14">
            <v>0</v>
          </cell>
        </row>
      </sheetData>
      <sheetData sheetId="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48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FR</v>
          </cell>
        </row>
        <row r="6">
          <cell r="B6" t="str">
            <v>05.10.23_x000D_
от ОМ: требуется отправка до 06.10.23</v>
          </cell>
        </row>
        <row r="14">
          <cell r="D14">
            <v>-1</v>
          </cell>
        </row>
      </sheetData>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72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NFB</v>
          </cell>
        </row>
        <row r="6">
          <cell r="B6" t="str">
            <v>13.02.25_x000D_
ОМ: Отправлено. Требуется пересчет резерва</v>
          </cell>
        </row>
        <row r="14">
          <cell r="D14">
            <v>0</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02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29.08.23_x000D_
asdasdasdasdsd</v>
          </cell>
        </row>
        <row r="14">
          <cell r="D14"/>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20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BFMR</v>
          </cell>
        </row>
        <row r="6">
          <cell r="B6" t="str">
            <v>30.05.24_x000D_
РСС: ТКП расчитано_x000D_
ОМ: оформление и отправка до 03.06.24</v>
          </cell>
        </row>
        <row r="14">
          <cell r="D14">
            <v>0</v>
          </cell>
        </row>
      </sheetData>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2"/>
      <sheetName val="ТКП_412_22_статус"/>
    </sheetNames>
    <definedNames>
      <definedName name="Результат_число" refersTo="='Лист2'!$D$14"/>
      <definedName name="Статус" refersTo="='Лист2'!$B$6"/>
    </definedNames>
    <sheetDataSet>
      <sheetData sheetId="0">
        <row r="6">
          <cell r="B6" t="str">
            <v>05.04.23
Отправлено</v>
          </cell>
        </row>
        <row r="14">
          <cell r="D14">
            <v>0</v>
          </cell>
        </row>
      </sheetData>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81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27.10.23_x000D_
РСС: проработка до 20.11.23</v>
          </cell>
        </row>
        <row r="14">
          <cell r="D14"/>
        </row>
      </sheetData>
      <sheetData sheetId="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80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17.04.23_x000D_
от ОМ: требуется согласование и отправка</v>
          </cell>
        </row>
        <row r="14">
          <cell r="D14">
            <v>0</v>
          </cell>
        </row>
      </sheetData>
      <sheetData sheetId="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33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v>
          </cell>
        </row>
        <row r="6">
          <cell r="B6" t="str">
            <v>21.04.23_x000D_
от РСC: нет ответа по сист. Охл (можно пробовать сделать сами), заказчик не отвечает на вопросы по двигателю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
Вероятно откажемся</v>
          </cell>
        </row>
        <row r="14">
          <cell r="D14">
            <v>-1</v>
          </cell>
        </row>
      </sheetData>
      <sheetData sheetId="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2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17.04.23_x000D_
от ОМ: согласование и отправка до 12.04.23</v>
          </cell>
        </row>
        <row r="14">
          <cell r="D14">
            <v>0</v>
          </cell>
        </row>
      </sheetData>
      <sheetData sheetId="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64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17.04.23_x000D_
РСС: отправлены вопросы (ждем ответ) Проработка до 07.04.23</v>
          </cell>
        </row>
        <row r="14">
          <cell r="D14">
            <v>0</v>
          </cell>
        </row>
      </sheetData>
      <sheetData sheetId="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Копия ТКП_163_23_статус_BU"/>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-1</v>
          </cell>
        </row>
      </sheetData>
      <sheetData sheetId="1"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40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DRF</v>
          </cell>
        </row>
        <row r="6">
          <cell r="B6" t="str">
            <v>28.09.23_x000D_
Оплачен</v>
          </cell>
        </row>
        <row r="14">
          <cell r="D14">
            <v>0</v>
          </cell>
        </row>
      </sheetData>
      <sheetData sheetId="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11_22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BJL</v>
          </cell>
        </row>
        <row r="6">
          <cell r="B6" t="str">
            <v>06.11.24_x000D_
ОМ: отправлено 01.10.24? Уточнить у заказчика пришло/ требуется что то поменять?</v>
          </cell>
        </row>
        <row r="14">
          <cell r="D14">
            <v>-1</v>
          </cell>
        </row>
      </sheetData>
      <sheetData sheetId="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73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BIRF</v>
          </cell>
        </row>
        <row r="6">
          <cell r="B6" t="str">
            <v>16.02.24_x000D_
РСС: проведен ВКС, заказчику отправлены вопросы и формы для заполнения исходных данных. от заказчика на следующей неделе отправлю - ожидаем данные от заказчика до 22.02.24</v>
          </cell>
        </row>
        <row r="14">
          <cell r="D14">
            <v>-1</v>
          </cell>
        </row>
      </sheetData>
      <sheetData sheetId="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01_ООО_23_статус"/>
    </sheetNames>
    <definedNames>
      <definedName name="Статус" refersTo="='Лист1'!$B$6"/>
      <definedName name="ТКП_Тематика" refersTo="='Лист1'!$F$3"/>
    </definedNames>
    <sheetDataSet>
      <sheetData sheetId="0">
        <row r="3">
          <cell r="F3" t="str">
            <v>E</v>
          </cell>
        </row>
        <row r="6">
          <cell r="B6" t="str">
            <v>17.04.23_x000D_
РСС: Заказчику сообщили цены по телефону, ответили по технике. Заказчик обещал написать при необходимости. По голосу - цена смутила</v>
          </cell>
        </row>
      </sheetData>
      <sheetData sheetId="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7_23_статус"/>
    </sheetNames>
    <definedNames>
      <definedName name="Результат_число" refersTo="='Лист1'!$D$14"/>
      <definedName name="Статус" refersTo="='Лист1'!$B$6"/>
    </definedNames>
    <sheetDataSet>
      <sheetData sheetId="0">
        <row r="6">
          <cell r="B6" t="str">
            <v>04.05.2023
ОМ: требуется отправка</v>
          </cell>
        </row>
        <row r="14">
          <cell r="D14">
            <v>0</v>
          </cell>
        </row>
      </sheetData>
      <sheetData sheetId="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88_22_статус"/>
    </sheetNames>
    <definedNames>
      <definedName name="Результат_число" refersTo="='Лист1'!$D$14"/>
      <definedName name="ТКП_Тематика" refersTo="='Лист1'!$F$3"/>
    </definedNames>
    <sheetDataSet>
      <sheetData sheetId="0">
        <row r="3">
          <cell r="F3"/>
        </row>
        <row r="14">
          <cell r="D14">
            <v>-1</v>
          </cell>
        </row>
      </sheetData>
      <sheetData sheetId="1"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1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t="str">
            <v>29.03.23
Отправлено заказчику</v>
          </cell>
        </row>
        <row r="14">
          <cell r="D14">
            <v>0</v>
          </cell>
        </row>
      </sheetData>
      <sheetData sheetId="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2"/>
      <sheetName val="ТКП_176_23_статус"/>
    </sheetNames>
    <definedNames>
      <definedName name="Результат_число" refersTo="='Лист2'!$D$14"/>
      <definedName name="Статус" refersTo="='Лист2'!$B$6"/>
    </definedNames>
    <sheetDataSet>
      <sheetData sheetId="0">
        <row r="6">
          <cell r="B6" t="str">
            <v>04.04.23
офиц. запрос. Уточнение цены да рабочую станцию и официальный ответ</v>
          </cell>
        </row>
        <row r="14">
          <cell r="D14">
            <v>0</v>
          </cell>
        </row>
      </sheetData>
      <sheetData sheetId="1"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2"/>
      <sheetName val="ТКП_175_23_статус"/>
    </sheetNames>
    <definedNames>
      <definedName name="Результат_число" refersTo="='Лист2'!$D$14"/>
    </definedNames>
    <sheetDataSet>
      <sheetData sheetId="0">
        <row r="14">
          <cell r="D14">
            <v>0</v>
          </cell>
        </row>
      </sheetData>
      <sheetData sheetId="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2"/>
      <sheetName val="ТКП_187_23_статус"/>
    </sheetNames>
    <definedNames>
      <definedName name="Статус" refersTo="='Лист2'!$B$6"/>
    </definedNames>
    <sheetDataSet>
      <sheetData sheetId="0">
        <row r="6">
          <cell r="B6" t="str">
            <v>10.04.23
отправлено</v>
          </cell>
        </row>
        <row r="14">
          <cell r="D14">
            <v>0</v>
          </cell>
        </row>
      </sheetData>
      <sheetData sheetId="1"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89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20.04.23_x000D_
РСС: отказываемся (сложно/ не выгодно/ не наша тема)</v>
          </cell>
        </row>
        <row r="14">
          <cell r="D14">
            <v>-1</v>
          </cell>
        </row>
      </sheetData>
      <sheetData sheetId="1"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31_23_статус"/>
    </sheetNames>
    <definedNames>
      <definedName name="Статус" refersTo="='Лист1'!$B$6"/>
      <definedName name="ТКП_Тематика" refersTo="='Лист1'!$F$3"/>
    </definedNames>
    <sheetDataSet>
      <sheetData sheetId="0">
        <row r="3">
          <cell r="F3">
            <v>0</v>
          </cell>
        </row>
        <row r="6">
          <cell r="B6" t="str">
            <v>04.05.23_x000D_
РСС: Проработка до 18.05.23</v>
          </cell>
        </row>
      </sheetData>
      <sheetData sheetId="1"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26_23_статус"/>
    </sheetNames>
    <definedNames>
      <definedName name="Статус" refersTo="='Лист1'!$B$6"/>
      <definedName name="ТКП_Тематика" refersTo="='Лист1'!$F$3"/>
    </definedNames>
    <sheetDataSet>
      <sheetData sheetId="0">
        <row r="3">
          <cell r="F3" t="str">
            <v>ПО</v>
          </cell>
        </row>
        <row r="6">
          <cell r="B6" t="str">
            <v>04.05.23_x000D_
РСС: в теч. 2-3 недели пробуем сделать LV пример с PXI модулем_x000D_
ОМ: требуется отправка ТКП без учета LabView (считаем что ПО существует, но в сопроводиловке предупреждаем, что делаем пример, который надо протестировать в системе заказчика)</v>
          </cell>
        </row>
      </sheetData>
      <sheetData sheetId="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9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JB</v>
          </cell>
        </row>
        <row r="6">
          <cell r="B6" t="str">
            <v>20.11.23_x000D_
РСС: Все материалы переданы для оформления в УМП</v>
          </cell>
        </row>
        <row r="14">
          <cell r="D14">
            <v>0</v>
          </cell>
        </row>
      </sheetData>
      <sheetData sheetId="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31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Виброконтроль</v>
          </cell>
        </row>
        <row r="6">
          <cell r="B6" t="str">
            <v>20.11.23_x000D_
РСС: Проработка до 18.05.23_x000D_
РСС: отказ из-за отсутствия сертификата на сейсмостойкость</v>
          </cell>
        </row>
        <row r="14">
          <cell r="D14">
            <v>-1</v>
          </cell>
        </row>
      </sheetData>
      <sheetData sheetId="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22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FK</v>
          </cell>
        </row>
        <row r="6">
          <cell r="B6" t="str">
            <v>07.09.23_x000D_
РСС: подготовлена схема, спецификация с ПО, сделана таблица оборудования_x000D_
ОМ: Требуется согласование и отправка ТКП</v>
          </cell>
        </row>
        <row r="14">
          <cell r="D14">
            <v>0</v>
          </cell>
        </row>
      </sheetData>
      <sheetData sheetId="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05_23_статус"/>
    </sheetNames>
    <definedNames>
      <definedName name="Статус" refersTo="='Лист1'!$B$6"/>
      <definedName name="ТКП_Тематика" refersTo="='Лист1'!$F$3"/>
    </definedNames>
    <sheetDataSet>
      <sheetData sheetId="0">
        <row r="3">
          <cell r="F3"/>
        </row>
        <row r="6">
          <cell r="B6" t="str">
            <v>20.04.23_x000D_
отправлено заказчику</v>
          </cell>
        </row>
      </sheetData>
      <sheetData sheetId="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44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09.06.23_x000D_
от ОМ: требуется ответ на письмо 722_ооо_23. Отвечаем, что готовы провести встречу обсудить возм. Сотрудничества</v>
          </cell>
        </row>
        <row r="14">
          <cell r="D14">
            <v>0</v>
          </cell>
        </row>
      </sheetData>
      <sheetData sheetId="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02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BRMJF</v>
          </cell>
        </row>
        <row r="6">
          <cell r="B6" t="str">
            <v>19.02.24_x000D_
РСС: отправка ориентировочных сроков и укрупненного ТКП дляопределения настроя заказчика до 16.02.24. Все сроки ориентировоные ТКП на 2 сстенда +климатика+на всё остальное: гидравлика +СИ+видео выданы Сныгиной 9.02.24. потом ещё давали разъяснения про то что это рабочий вариант для обсуждения и их предварительной оценки. После требуется обсуждение-ВКС</v>
          </cell>
        </row>
        <row r="14">
          <cell r="D14">
            <v>-1</v>
          </cell>
        </row>
      </sheetData>
      <sheetData sheetId="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53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 xml:space="preserve">08.06.23_x000D_
РСС: проработка до 30.05.23_x000D_
отправлено  </v>
          </cell>
        </row>
        <row r="14">
          <cell r="D14">
            <v>0</v>
          </cell>
        </row>
      </sheetData>
      <sheetData sheetId="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84_23_статус"/>
    </sheetNames>
    <definedNames>
      <definedName name="Статус" refersTo="='Лист1'!$B$6"/>
      <definedName name="ТКП_Тематика" refersTo="='Лист1'!$F$3"/>
    </definedNames>
    <sheetDataSet>
      <sheetData sheetId="0">
        <row r="3">
          <cell r="F3" t="str">
            <v>FL</v>
          </cell>
        </row>
        <row r="6">
          <cell r="B6" t="str">
            <v>09.06.23_x000D_
РСС: подготовл6ена схема_x000D_
ОМ: подготовить ТКП до 14.06.23, отправка</v>
          </cell>
        </row>
      </sheetData>
      <sheetData sheetId="1"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60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FBM</v>
          </cell>
        </row>
        <row r="6">
          <cell r="B6" t="str">
            <v>16.07.24_x000D_
РСС: на паузе/ 25й год</v>
          </cell>
        </row>
        <row r="14">
          <cell r="D14">
            <v>-1</v>
          </cell>
        </row>
      </sheetData>
      <sheetData sheetId="1"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93_23_статус"/>
    </sheetNames>
    <definedNames>
      <definedName name="Статус" refersTo="='Лист1'!$B$6"/>
      <definedName name="ТКП_Тематика" refersTo="='Лист1'!$F$3"/>
    </definedNames>
    <sheetDataSet>
      <sheetData sheetId="0">
        <row r="3">
          <cell r="F3"/>
        </row>
        <row r="6">
          <cell r="B6" t="str">
            <v>13.06.23_x000D_
0</v>
          </cell>
        </row>
      </sheetData>
      <sheetData sheetId="1"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4_22_статус"/>
    </sheetNames>
    <definedNames>
      <definedName name="Результат_число" refersTo="='Лист1'!$D$14"/>
      <definedName name="Статус" refersTo="='Лист1'!$B$6"/>
    </definedNames>
    <sheetDataSet>
      <sheetData sheetId="0">
        <row r="6">
          <cell r="B6" t="str">
            <v>03.09.24_x000D_
ОМ: конкурс конец сентября,</v>
          </cell>
        </row>
        <row r="14">
          <cell r="D14">
            <v>0</v>
          </cell>
        </row>
      </sheetData>
      <sheetData sheetId="1"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46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22.05.23_x000D_
от ОМ: отправить каталог, письмо описание, брошюры, ответить на текущий запрос (серийное оборудование), написать сопроводиловку с предложением о встрече (презентация)</v>
          </cell>
        </row>
        <row r="14">
          <cell r="D14">
            <v>0</v>
          </cell>
        </row>
      </sheetData>
      <sheetData sheetId="1"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1_23_статус"/>
    </sheetNames>
    <definedNames>
      <definedName name="Статус" refersTo="='Лист1'!$B$6"/>
    </definedNames>
    <sheetDataSet>
      <sheetData sheetId="0">
        <row r="6">
          <cell r="B6" t="str">
            <v>02.08.23_x000D_
ОМ: отказное письмо с указанием что готовы сделать кусочек ТЗ в части измерения БМП</v>
          </cell>
        </row>
      </sheetData>
      <sheetData sheetId="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62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J</v>
          </cell>
        </row>
        <row r="6">
          <cell r="B6"/>
        </row>
        <row r="14">
          <cell r="D14">
            <v>0</v>
          </cell>
        </row>
      </sheetData>
      <sheetData sheetId="1"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42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BFR</v>
          </cell>
        </row>
        <row r="6">
          <cell r="B6" t="str">
            <v>16.01.24_x000D_
РСС: Красмаш СИУ выигран конкурс, запустила строку формуляра, дог. ждём 18.01 на площадке</v>
          </cell>
        </row>
        <row r="14">
          <cell r="D14">
            <v>0</v>
          </cell>
        </row>
      </sheetData>
      <sheetData sheetId="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58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02.08.23_x000D_
РСС: заказчику отправлен протокол встречи. Согласно протоколу ждем исх. Данные</v>
          </cell>
        </row>
        <row r="14">
          <cell r="D14">
            <v>0</v>
          </cell>
        </row>
      </sheetData>
      <sheetData sheetId="1"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91_22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v>
          </cell>
        </row>
        <row r="6">
          <cell r="B6" t="str">
            <v>24.04.23_x000D_
от ОМ отправка ТКП</v>
          </cell>
        </row>
        <row r="14">
          <cell r="D14">
            <v>-1</v>
          </cell>
        </row>
      </sheetData>
      <sheetData sheetId="1"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86_23_статус"/>
    </sheetNames>
    <definedNames>
      <definedName name="Статус" refersTo="='Лист1'!$B$6"/>
      <definedName name="ТКП_Тематика" refersTo="='Лист1'!$F$3"/>
    </definedNames>
    <sheetDataSet>
      <sheetData sheetId="0">
        <row r="3">
          <cell r="F3">
            <v>0</v>
          </cell>
        </row>
        <row r="6">
          <cell r="B6" t="str">
            <v>17.10.23_x000D_
ОМ: Требуется отправка заказчику</v>
          </cell>
        </row>
      </sheetData>
      <sheetData sheetId="1"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2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IR</v>
          </cell>
        </row>
        <row r="6">
          <cell r="B6" t="str">
            <v>07.09.23_x000D_
Подготовка ТКП до 12.09.23</v>
          </cell>
        </row>
        <row r="14">
          <cell r="D14">
            <v>0</v>
          </cell>
        </row>
      </sheetData>
      <sheetData sheetId="1"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86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10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K</v>
          </cell>
        </row>
        <row r="6">
          <cell r="B6" t="str">
            <v>25.08.23_x000D_
Запрос по телефону от Данилова Д.Б. 24.08.23_x000D_
РСС: проработано 24.08.23_x000D_
ОМ: требуется отправка в укрупненном виде</v>
          </cell>
        </row>
        <row r="14">
          <cell r="D14">
            <v>0</v>
          </cell>
        </row>
      </sheetData>
      <sheetData sheetId="1"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00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22.08.23_x000D_
Заказчик сориентировался на датчики Овен</v>
          </cell>
        </row>
        <row r="14">
          <cell r="D14">
            <v>-1</v>
          </cell>
        </row>
      </sheetData>
      <sheetData sheetId="1"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21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row>
        <row r="14">
          <cell r="D14">
            <v>0</v>
          </cell>
        </row>
      </sheetData>
      <sheetData sheetId="1"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4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-1</v>
          </cell>
        </row>
      </sheetData>
      <sheetData sheetId="1"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18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RREF</v>
          </cell>
        </row>
        <row r="6">
          <cell r="B6" t="str">
            <v>17.11.23_x000D_
РСС: проработано_x000D_
ОМ: отправка ТКП</v>
          </cell>
        </row>
        <row r="14">
          <cell r="D14">
            <v>0</v>
          </cell>
        </row>
      </sheetData>
      <sheetData sheetId="1"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23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row>
        <row r="14">
          <cell r="D14">
            <v>0</v>
          </cell>
        </row>
      </sheetData>
      <sheetData sheetId="1"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09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v>
          </cell>
        </row>
        <row r="6">
          <cell r="B6" t="str">
            <v>04.03.25_x000D_
26.02.25 - направлен ответ на ЭТП</v>
          </cell>
        </row>
        <row r="14">
          <cell r="D14">
            <v>0</v>
          </cell>
        </row>
      </sheetData>
      <sheetData sheetId="1"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15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ED</v>
          </cell>
        </row>
        <row r="6">
          <cell r="B6" t="str">
            <v>03.11.23_x000D_
ОМ: серийное КП на MIC-185, добавить WinПОС</v>
          </cell>
        </row>
        <row r="14">
          <cell r="D14">
            <v>0</v>
          </cell>
        </row>
      </sheetData>
      <sheetData sheetId="1"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17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NF</v>
          </cell>
        </row>
        <row r="6">
          <cell r="B6"/>
        </row>
        <row r="14">
          <cell r="D14">
            <v>0</v>
          </cell>
        </row>
      </sheetData>
      <sheetData sheetId="1"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40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v>
          </cell>
        </row>
        <row r="6">
          <cell r="B6"/>
        </row>
        <row r="14">
          <cell r="D14">
            <v>0</v>
          </cell>
        </row>
      </sheetData>
      <sheetData sheetId="1"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26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AFI</v>
          </cell>
        </row>
        <row r="6">
          <cell r="B6"/>
        </row>
        <row r="14">
          <cell r="D14">
            <v>0</v>
          </cell>
        </row>
      </sheetData>
      <sheetData sheetId="1"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92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21.11.23_x000D_
отправлено 09.11.23</v>
          </cell>
        </row>
        <row r="14">
          <cell r="D14">
            <v>0</v>
          </cell>
        </row>
      </sheetData>
      <sheetData sheetId="1"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06_22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EF</v>
          </cell>
        </row>
        <row r="6">
          <cell r="B6" t="str">
            <v>20.11.23_x000D_
РСС: Разработка ТЗ на ПО совместно с заказчиком до 31.12.23</v>
          </cell>
        </row>
        <row r="14">
          <cell r="D14">
            <v>-1</v>
          </cell>
        </row>
      </sheetData>
      <sheetData sheetId="1"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71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FRB</v>
          </cell>
        </row>
        <row r="6">
          <cell r="B6" t="str">
            <v>26.01.24_x000D_
заказчик не отвечает</v>
          </cell>
        </row>
        <row r="14">
          <cell r="D14">
            <v>-1</v>
          </cell>
        </row>
      </sheetData>
      <sheetData sheetId="1"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4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IC</v>
          </cell>
        </row>
        <row r="6">
          <cell r="B6" t="str">
            <v>09.07.24_x000D_
ОМ: Уточнить - пошло в работу?</v>
          </cell>
        </row>
        <row r="14">
          <cell r="D14">
            <v>0</v>
          </cell>
        </row>
      </sheetData>
      <sheetData sheetId="1"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39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22.05.23_x000D_
РСС: вероятно отказ, возможно удасться предложить сделать в КТМ Ритм</v>
          </cell>
        </row>
        <row r="14">
          <cell r="D14">
            <v>-1</v>
          </cell>
        </row>
      </sheetData>
      <sheetData sheetId="1"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16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row>
        <row r="14">
          <cell r="D14">
            <v>0</v>
          </cell>
        </row>
      </sheetData>
      <sheetData sheetId="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98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C</v>
          </cell>
        </row>
        <row r="6">
          <cell r="B6" t="str">
            <v>15.09.25_x000D_
MIC-356 отправлен._x000D_
ОМ: отправка ТКП на MIC-1150 (Мелихов) до 24.09.25</v>
          </cell>
        </row>
        <row r="14">
          <cell r="D14">
            <v>0</v>
          </cell>
        </row>
      </sheetData>
      <sheetData sheetId="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55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DN</v>
          </cell>
        </row>
        <row r="6">
          <cell r="B6" t="str">
            <v>20.03.24_x000D_
РСС: отправлены доп. вопросы заказчику 28.02.24_x000D_. Проиграли заказ dewesoft. В качестве причины называется сдвоенный АЦП и якобы эта тема важна. Стоимость отказались назвать. Имеет смысл съездить к заказчику через некоторое время_x000D_</v>
          </cell>
        </row>
        <row r="14">
          <cell r="D14">
            <v>-1</v>
          </cell>
        </row>
      </sheetData>
      <sheetData sheetId="1"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81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IFC</v>
          </cell>
        </row>
        <row r="6">
          <cell r="B6" t="str">
            <v>16.02.24_x000D_
ОМ: отправлено.Отправлена заказчику уточненная справка 12.02.24. Ждем реакцию</v>
          </cell>
        </row>
        <row r="14">
          <cell r="D14">
            <v>0</v>
          </cell>
        </row>
      </sheetData>
      <sheetData sheetId="1"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1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v>
          </cell>
        </row>
        <row r="6">
          <cell r="B6" t="str">
            <v>15.09.25_x000D_
ОМ: Запрос обновить цену старого ТКП (450_23). Требуется актуализация и отправка ТКП (до 19.09.25)</v>
          </cell>
        </row>
        <row r="14">
          <cell r="D14">
            <v>0</v>
          </cell>
        </row>
      </sheetData>
      <sheetData sheetId="1"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97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v>
          </cell>
        </row>
        <row r="6">
          <cell r="B6" t="str">
            <v>09.01.24_x000D_
ОМ: Требуется отправка ТКП</v>
          </cell>
        </row>
        <row r="14">
          <cell r="D14">
            <v>0</v>
          </cell>
        </row>
      </sheetData>
      <sheetData sheetId="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8_22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-1</v>
          </cell>
        </row>
      </sheetData>
      <sheetData sheetId="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26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t="str">
            <v>31.01.24_x000D_
РСС: ТКП проработано_x000D_
ОМ:Требуется отправка ТКП до 05.02.24</v>
          </cell>
        </row>
        <row r="14">
          <cell r="D14">
            <v>0</v>
          </cell>
        </row>
      </sheetData>
      <sheetData sheetId="1"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12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t="str">
            <v>05.08.24_x000D_
0</v>
          </cell>
        </row>
        <row r="14">
          <cell r="D14">
            <v>0</v>
          </cell>
        </row>
      </sheetData>
      <sheetData sheetId="1"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22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ND</v>
          </cell>
        </row>
        <row r="6">
          <cell r="B6" t="str">
            <v>09.02.24_x000D_
РСС: проработано_x000D_
ОМ: требуется согласование и отправка</v>
          </cell>
        </row>
        <row r="14">
          <cell r="D14">
            <v>0</v>
          </cell>
        </row>
      </sheetData>
      <sheetData sheetId="1"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25_24_статус"/>
    </sheetNames>
    <definedNames>
      <definedName name="Результат_число" refersTo="='Лист1'!$D$14"/>
      <definedName name="Статус" refersTo="='Лист1'!$B$6"/>
      <definedName name="ТКП_Тематика" refersTo="='Лист1'!$F$3"/>
    </definedNames>
    <sheetDataSet>
      <sheetData sheetId="0">
        <row r="3">
          <cell r="F3">
            <v>0</v>
          </cell>
        </row>
        <row r="6">
          <cell r="B6" t="str">
            <v>06.11.24_x000D_
ОМ: решение о запуске формуляра?</v>
          </cell>
        </row>
        <row r="14">
          <cell r="D14">
            <v>0</v>
          </cell>
        </row>
      </sheetData>
      <sheetData sheetId="1"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55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IBFJ</v>
          </cell>
        </row>
        <row r="6">
          <cell r="B6" t="str">
            <v>02.10.24_x000D_
РСС: неактуально. Заказчик не реагирует на запросы исходных данных (не знает как ответить). Планируем вернуться к вопросу после проработки заказа с тормозным устройством АПД-500 (УЗГА)</v>
          </cell>
        </row>
        <row r="14">
          <cell r="D14">
            <v>-1</v>
          </cell>
        </row>
      </sheetData>
      <sheetData sheetId="1"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46_24_статус"/>
    </sheetNames>
    <definedNames>
      <definedName name="Результат_число" refersTo="='Лист1'!$D$14"/>
      <definedName name="Статус" refersTo="='Лист1'!$B$6"/>
    </definedNames>
    <sheetDataSet>
      <sheetData sheetId="0">
        <row r="6">
          <cell r="B6" t="str">
            <v>01.03.24_x000D_
ОМ: отправка ТКП до 08.03.24</v>
          </cell>
        </row>
        <row r="14">
          <cell r="D14">
            <v>0</v>
          </cell>
        </row>
      </sheetData>
      <sheetData sheetId="1"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4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JB</v>
          </cell>
        </row>
        <row r="6">
          <cell r="B6" t="str">
            <v>21.02.24_x000D_
Проработка РСС до 29.02.24 (требуются доп созвон с заказчиками по исх. данным)</v>
          </cell>
        </row>
        <row r="14">
          <cell r="D14">
            <v>-1</v>
          </cell>
        </row>
      </sheetData>
      <sheetData sheetId="1"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47_24_статус"/>
    </sheetNames>
    <definedNames>
      <definedName name="Результат_число" refersTo="='Лист1'!$D$14"/>
      <definedName name="Статус" refersTo="='Лист1'!$B$6"/>
    </definedNames>
    <sheetDataSet>
      <sheetData sheetId="0">
        <row r="6">
          <cell r="B6" t="str">
            <v>01.03.24_x000D_
ОМ: отправка ТКП до 08.03.24</v>
          </cell>
        </row>
        <row r="14">
          <cell r="D14">
            <v>0</v>
          </cell>
        </row>
      </sheetData>
      <sheetData sheetId="1"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56_22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BFR</v>
          </cell>
        </row>
        <row r="6">
          <cell r="B6" t="str">
            <v>10.04.24_x000D_
УМП: подготовка договора с ТРВ до 20.04.24</v>
          </cell>
        </row>
        <row r="14">
          <cell r="D14">
            <v>0</v>
          </cell>
        </row>
      </sheetData>
      <sheetData sheetId="1"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33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19.03.24_x000D_
РСС: сделана черновая проработка и отправлена заказчику 19 млрд.</v>
          </cell>
        </row>
        <row r="14">
          <cell r="D14">
            <v>0</v>
          </cell>
        </row>
      </sheetData>
      <sheetData sheetId="1"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5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IN</v>
          </cell>
        </row>
        <row r="6">
          <cell r="B6" t="str">
            <v>05.05.25_x000D_
Ждем от Сатурна результатов проверки нашей версии договора и РКМ?</v>
          </cell>
        </row>
        <row r="14">
          <cell r="D14">
            <v>0</v>
          </cell>
        </row>
      </sheetData>
      <sheetData sheetId="1"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58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6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v>
          </cell>
        </row>
        <row r="6">
          <cell r="B6" t="str">
            <v>26.05.25_x000D_
проведение конкурса до 05.06.25_x000D_?_x000D_
- ОП процелура предзапуска?</v>
          </cell>
        </row>
        <row r="14">
          <cell r="D14">
            <v>0</v>
          </cell>
        </row>
      </sheetData>
      <sheetData sheetId="1"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81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RBF</v>
          </cell>
        </row>
        <row r="6">
          <cell r="B6" t="str">
            <v>11.11.24_x000D_
ОМ: требуется отправка ТКП</v>
          </cell>
        </row>
        <row r="14">
          <cell r="D14">
            <v>0</v>
          </cell>
        </row>
      </sheetData>
      <sheetData sheetId="1"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75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BFJR</v>
          </cell>
        </row>
        <row r="6">
          <cell r="B6" t="str">
            <v>19.03.24_x000D_
ОМ: согласование и отправка до 22.03.24</v>
          </cell>
        </row>
        <row r="14">
          <cell r="D14">
            <v>0</v>
          </cell>
        </row>
      </sheetData>
      <sheetData sheetId="1"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0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BFI</v>
          </cell>
        </row>
        <row r="6">
          <cell r="B6" t="str">
            <v>20.01.25_x000D_
РСС: обновление до 24.01.25 (правки ТЗ и обновление ТКП)</v>
          </cell>
        </row>
        <row r="14">
          <cell r="D14">
            <v>-1</v>
          </cell>
        </row>
      </sheetData>
      <sheetData sheetId="1"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94_22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25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DI</v>
          </cell>
        </row>
        <row r="6">
          <cell r="B6" t="str">
            <v>11.04.24_x000D_
Отправлено</v>
          </cell>
        </row>
        <row r="14">
          <cell r="D14">
            <v>0</v>
          </cell>
        </row>
      </sheetData>
      <sheetData sheetId="1"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51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v>
          </cell>
        </row>
        <row r="6">
          <cell r="B6" t="str">
            <v>07.02.24-подготовка КП</v>
          </cell>
        </row>
        <row r="14">
          <cell r="D14">
            <v>0</v>
          </cell>
        </row>
      </sheetData>
      <sheetData sheetId="1"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34_24_статус"/>
    </sheetNames>
    <definedNames>
      <definedName name="Статус" refersTo="='Лист1'!$B$6"/>
    </definedNames>
    <sheetDataSet>
      <sheetData sheetId="0">
        <row r="6">
          <cell r="B6" t="str">
            <v>08.04.24_x000D_
РСС: выданы замечания_x000D_ 05.04.24_x000D_
ОМ: требуется отправка</v>
          </cell>
        </row>
      </sheetData>
      <sheetData sheetId="1"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47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10.04.24_x000D_
Заказчик: доформирование требований._x000D_
РСС: сделана черновая проработка и отправлена заказчику 19 млрд.</v>
          </cell>
        </row>
        <row r="14">
          <cell r="D14">
            <v>0</v>
          </cell>
        </row>
      </sheetData>
      <sheetData sheetId="1"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16_24_статус"/>
    </sheetNames>
    <definedNames>
      <definedName name="Статус" refersTo="='Лист1'!$B$6"/>
    </definedNames>
    <sheetDataSet>
      <sheetData sheetId="0">
        <row r="6">
          <cell r="B6"/>
        </row>
      </sheetData>
      <sheetData sheetId="1"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24_24_статус"/>
    </sheetNames>
    <definedNames>
      <definedName name="Статус" refersTo="='Лист1'!$B$6"/>
    </definedNames>
    <sheetDataSet>
      <sheetData sheetId="0">
        <row r="6">
          <cell r="B6" t="str">
            <v>11.04.24_x000D_
Отправлено</v>
          </cell>
        </row>
      </sheetData>
      <sheetData sheetId="1"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4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BFI</v>
          </cell>
        </row>
        <row r="6">
          <cell r="B6" t="str">
            <v>02.10.24_x000D_
Отправлено заказчику 2315/1 от 02.10.24</v>
          </cell>
        </row>
        <row r="14">
          <cell r="D14">
            <v>0</v>
          </cell>
        </row>
      </sheetData>
      <sheetData sheetId="1"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65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NDF</v>
          </cell>
        </row>
        <row r="6">
          <cell r="B6" t="str">
            <v>15.04.24_x000D_
352 канала динамики. Принципиально наличие LabView RT (linux)</v>
          </cell>
        </row>
        <row r="14">
          <cell r="D14">
            <v>0</v>
          </cell>
        </row>
      </sheetData>
      <sheetData sheetId="1"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66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DN</v>
          </cell>
        </row>
        <row r="6">
          <cell r="B6" t="str">
            <v>11.04.24_x000D_
ОМ: отправка до 15.04.24</v>
          </cell>
        </row>
        <row r="14">
          <cell r="D14">
            <v>0</v>
          </cell>
        </row>
      </sheetData>
      <sheetData sheetId="1"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6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v>
          </cell>
        </row>
        <row r="6">
          <cell r="B6" t="str">
            <v>17.09.24_x000D_
отправлено заказчику 04.09.24</v>
          </cell>
        </row>
        <row r="14">
          <cell r="D14">
            <v>0</v>
          </cell>
        </row>
      </sheetData>
      <sheetData sheetId="1"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3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BFI</v>
          </cell>
        </row>
        <row r="6">
          <cell r="B6" t="str">
            <v>24.07.24_x000D_
РСС: Проработка ТЗ до 30.07.24 (Скрипник Ар)</v>
          </cell>
        </row>
        <row r="14">
          <cell r="D14">
            <v>-1</v>
          </cell>
        </row>
      </sheetData>
      <sheetData sheetId="1"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35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03.06.24_x000D_
Проработана и отправлена измерительная часть</v>
          </cell>
        </row>
        <row r="14">
          <cell r="D14">
            <v>-1</v>
          </cell>
        </row>
      </sheetData>
      <sheetData sheetId="1"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89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02.05.24_x000D_
0</v>
          </cell>
        </row>
        <row r="14">
          <cell r="D14">
            <v>-1</v>
          </cell>
        </row>
      </sheetData>
      <sheetData sheetId="1"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90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BJ</v>
          </cell>
        </row>
        <row r="6">
          <cell r="B6" t="str">
            <v>06.05.24_x000D_
РСС: проработано, заданы вопросы заказчику_x000D_
ОМ: подготовка предварительного ТКП до 20.05.24</v>
          </cell>
        </row>
        <row r="14">
          <cell r="D14">
            <v>0</v>
          </cell>
        </row>
      </sheetData>
      <sheetData sheetId="1"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4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FLK</v>
          </cell>
        </row>
        <row r="6">
          <cell r="B6"/>
        </row>
        <row r="14">
          <cell r="D14">
            <v>-1</v>
          </cell>
        </row>
      </sheetData>
      <sheetData sheetId="1"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3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7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row>
        <row r="14">
          <cell r="D14">
            <v>0</v>
          </cell>
        </row>
      </sheetData>
      <sheetData sheetId="1"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6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BJM</v>
          </cell>
        </row>
        <row r="6">
          <cell r="B6" t="str">
            <v>06.05.24_x000D_
РСС: созвон, уточнить мнение до 15.05.24</v>
          </cell>
        </row>
        <row r="14">
          <cell r="D14">
            <v>0</v>
          </cell>
        </row>
      </sheetData>
      <sheetData sheetId="1"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5_24_статус"/>
    </sheetNames>
    <definedNames>
      <definedName name="Статус" refersTo="='Лист1'!$B$6"/>
    </definedNames>
    <sheetDataSet>
      <sheetData sheetId="0">
        <row r="6">
          <cell r="B6" t="str">
            <v>20.05.24_x000D_
РСС: Согласование матрицы отв. с заказчиком/ обсудить ТКП с А.Мамоновым до 24.05.024</v>
          </cell>
        </row>
      </sheetData>
      <sheetData sheetId="1"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81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v>
          </cell>
        </row>
        <row r="6">
          <cell r="B6" t="str">
            <v>06.05.24_x000D_
ОМ: оформление и отправка ТКП до 20.05.24</v>
          </cell>
        </row>
        <row r="14">
          <cell r="D14">
            <v>0</v>
          </cell>
        </row>
      </sheetData>
      <sheetData sheetId="1"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86_24_статус"/>
    </sheetNames>
    <definedNames>
      <definedName name="Результат_число" refersTo="='Лист1'!$D$14"/>
      <definedName name="Статус" refersTo="='Лист1'!$B$6"/>
      <definedName name="Сумма" refersTo="='Лист1'!$C$8"/>
      <definedName name="ТКП_Тематика" refersTo="='Лист1'!$F$3"/>
    </definedNames>
    <sheetDataSet>
      <sheetData sheetId="0">
        <row r="3">
          <cell r="F3" t="str">
            <v>FR</v>
          </cell>
        </row>
        <row r="6">
          <cell r="B6" t="str">
            <v>14.05.24_x000D_
ОМ: требуется учесть ПО</v>
          </cell>
        </row>
        <row r="8">
          <cell r="C8">
            <v>3900000</v>
          </cell>
        </row>
        <row r="14">
          <cell r="D14">
            <v>0</v>
          </cell>
        </row>
      </sheetData>
      <sheetData sheetId="1"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52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17.06.24_x000D_
Отказ_x000D_. отсутствуют наши работы</v>
          </cell>
        </row>
        <row r="14">
          <cell r="D14">
            <v>-1</v>
          </cell>
        </row>
      </sheetData>
      <sheetData sheetId="1"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47_22_статус"/>
    </sheetNames>
    <definedNames>
      <definedName name="Результат_число" refersTo="='Лист1'!$D$14"/>
      <definedName name="Статус" refersTo="='Лист1'!$B$6"/>
    </definedNames>
    <sheetDataSet>
      <sheetData sheetId="0">
        <row r="6">
          <cell r="B6" t="str">
            <v>11.09.24_x000D_
ОМ: конкурс не состоялся_x000D_
ожидаем правки ТЗ?</v>
          </cell>
        </row>
        <row r="14">
          <cell r="D14">
            <v>-1</v>
          </cell>
        </row>
      </sheetData>
      <sheetData sheetId="1"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1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Тензостатика</v>
          </cell>
        </row>
        <row r="6">
          <cell r="B6" t="str">
            <v>09.07.24_x000D_
РСС: эскиз , передан в умп для расчета ТКП - 11.06.24_x000D_
ОМ: расчет ТКП до 17.06.24</v>
          </cell>
        </row>
        <row r="14">
          <cell r="D14">
            <v>0</v>
          </cell>
        </row>
      </sheetData>
      <sheetData sheetId="1"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92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KFN</v>
          </cell>
        </row>
        <row r="6">
          <cell r="B6" t="str">
            <v>04.07.25_x000D_
Согласно созвону от 04.07.25 ОКБ Африкантова ожидает что мы запускаем по одному экземпляру оборудования. Гарантийное письмо до 20.07.25</v>
          </cell>
        </row>
        <row r="14">
          <cell r="D14">
            <v>0</v>
          </cell>
        </row>
      </sheetData>
      <sheetData sheetId="1"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6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t="str">
            <v>25.06.24_x000D_
РСС: проведен созвон с заказчиком. Подготовлена схема._x000D_
ОМ: подготовка ТКП до 26.06.24</v>
          </cell>
        </row>
        <row r="14">
          <cell r="D14">
            <v>0</v>
          </cell>
        </row>
      </sheetData>
      <sheetData sheetId="1"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76_24_статус"/>
    </sheetNames>
    <definedNames>
      <definedName name="Результат_число" refersTo="='Лист1'!$D$14"/>
      <definedName name="Статус" refersTo="='Лист1'!$B$6"/>
    </definedNames>
    <sheetDataSet>
      <sheetData sheetId="0">
        <row r="6">
          <cell r="B6" t="str">
            <v>26.08.24_x000D_
РСС: Созвонились с Заказчиком проект на паузе, пока до конца года.</v>
          </cell>
        </row>
        <row r="14">
          <cell r="D14">
            <v>-1</v>
          </cell>
        </row>
      </sheetData>
      <sheetData sheetId="1" refreshError="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80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23.07.24_x000D_
ОМ: Письмо об исходных данных заказчику: о применении кабеля - какие расстояния, кто встраивает кабель в датчик, чьи датчики;</v>
          </cell>
        </row>
        <row r="14">
          <cell r="D14">
            <v>-1</v>
          </cell>
        </row>
      </sheetData>
      <sheetData sheetId="1"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4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23.07.24_x000D_
ОМ: Согласование ТКП и договора; Передать чертежи в проработку в КО (пункт ТЗ №3 - исходные данные) (По ТЗ мы должны согласовать с заказчиком схему размещения датчиков)</v>
          </cell>
        </row>
        <row r="14">
          <cell r="D14">
            <v>0</v>
          </cell>
        </row>
      </sheetData>
      <sheetData sheetId="1" refreshError="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34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row>
        <row r="14">
          <cell r="D14">
            <v>0</v>
          </cell>
        </row>
      </sheetData>
      <sheetData sheetId="1"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94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23.07.24_x000D_
РСС: Схема - подготовлена. Подготовить тензисы - что нужно от ЦР для разработки ПО Linux до 30.07.24_x000D_ (драйвера MIC-1200 под Linux)_x000D_
ОМ: ТКП с Linux и без+ сопровод. Сопровод. письмо (Linux + 1 год на разработку ПО). Лист согласования с ЦР по Linux ДФМ (разработка)</v>
          </cell>
        </row>
        <row r="14">
          <cell r="D14">
            <v>0</v>
          </cell>
        </row>
      </sheetData>
      <sheetData sheetId="1"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06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26.07.24_x000D_
ОМ: обновить и отправить</v>
          </cell>
        </row>
        <row r="14">
          <cell r="D14">
            <v>0</v>
          </cell>
        </row>
      </sheetData>
      <sheetData sheetId="1"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10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BDF</v>
          </cell>
        </row>
        <row r="6">
          <cell r="B6" t="str">
            <v>26.07.24_x000D_
ОМ: 29.07.2024 поступило на подсчёт и выдачу ТКП</v>
          </cell>
        </row>
        <row r="14">
          <cell r="D14">
            <v>0</v>
          </cell>
        </row>
      </sheetData>
      <sheetData sheetId="1"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02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04.07.25_x000D_
в проработке у ОКС</v>
          </cell>
        </row>
        <row r="14">
          <cell r="D14">
            <v>-1</v>
          </cell>
        </row>
      </sheetData>
      <sheetData sheetId="1"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BIRF</v>
          </cell>
        </row>
        <row r="6">
          <cell r="B6" t="str">
            <v>03.10.24_x000D_
РСС: много опций программного обеспечения которые не реализуем. Не реализуются часть требований по тензоканалам</v>
          </cell>
        </row>
        <row r="14">
          <cell r="D14">
            <v>-1</v>
          </cell>
        </row>
      </sheetData>
      <sheetData sheetId="1"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61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FR</v>
          </cell>
        </row>
        <row r="6">
          <cell r="B6" t="str">
            <v>05.12.24_x000D_
_x000D_получены кп от НИЦ_РКП на часть ситемы управления_x000D_ (обновлены длины кабелей, убрана подсистема ПЗ, сегмент на УВК&gt;&gt;кросс панель стенда будет использован существующий)_x000D_
27.11.28 - получены от Голубева ЧТЗ и мелкие правки_x000D_
РСС: сверка с ЧТЗ произведена, ЧТЗ переправлено в ОСП на согласование_x000D_
ОМ: согласование и отправка ТКП</v>
          </cell>
        </row>
        <row r="14">
          <cell r="D14">
            <v>0</v>
          </cell>
        </row>
      </sheetData>
      <sheetData sheetId="1" refreshError="1"/>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2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FRB</v>
          </cell>
        </row>
        <row r="6">
          <cell r="B6" t="str">
            <v>29.04.26_x000D_
РСС: пересчет ТКП (есть инсайд о преддожении Протон ПМ ~65-70 млн)</v>
          </cell>
        </row>
        <row r="14">
          <cell r="D14">
            <v>-1</v>
          </cell>
        </row>
      </sheetData>
      <sheetData sheetId="1"/>
      <sheetData sheetId="2"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7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DH</v>
          </cell>
        </row>
        <row r="6">
          <cell r="B6" t="str">
            <v>06.11.24_x000D_
ОМ: отправлено/ уточнить состояние?</v>
          </cell>
        </row>
        <row r="14">
          <cell r="D14">
            <v>0</v>
          </cell>
        </row>
      </sheetData>
      <sheetData sheetId="1"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60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28.11.24_x000D_
РСС: подготовлена схема_x000D_
ОМ: требуется расчет и отправка</v>
          </cell>
        </row>
        <row r="14">
          <cell r="D14">
            <v>-1</v>
          </cell>
        </row>
      </sheetData>
      <sheetData sheetId="1"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52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EI</v>
          </cell>
        </row>
        <row r="6">
          <cell r="B6" t="str">
            <v>02.09.24_x000D_
-отправлено предварительное ТКП. Заказчик просит согласовать опцию 2 - 1/4 дополнения_x000D_
- РСС согласовать 2x1/4 мостовых дополнения</v>
          </cell>
        </row>
        <row r="14">
          <cell r="D14">
            <v>0</v>
          </cell>
        </row>
      </sheetData>
      <sheetData sheetId="1"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05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row>
        <row r="14">
          <cell r="D14">
            <v>0</v>
          </cell>
        </row>
      </sheetData>
      <sheetData sheetId="1" refreshError="1"/>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0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t="str">
            <v>03.09.24_x000D_
РСС: согласовано_x000D_
ОМ: требуется отправка</v>
          </cell>
        </row>
        <row r="14">
          <cell r="D14">
            <v>0</v>
          </cell>
        </row>
      </sheetData>
      <sheetData sheetId="1" refreshError="1"/>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16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FKN</v>
          </cell>
        </row>
        <row r="6">
          <cell r="B6" t="str">
            <v>08.06.26_x000D_
Отправлено 05.06.26</v>
          </cell>
        </row>
        <row r="14">
          <cell r="D14">
            <v>0</v>
          </cell>
        </row>
      </sheetData>
      <sheetData sheetId="1"/>
      <sheetData sheetId="2" refreshError="1"/>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72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v>
          </cell>
        </row>
        <row r="6">
          <cell r="B6" t="str">
            <v>06.11.24_x000D_
ОМ -  отправлено на ЭТП</v>
          </cell>
        </row>
        <row r="14">
          <cell r="D14">
            <v>0</v>
          </cell>
        </row>
      </sheetData>
      <sheetData sheetId="1"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73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 xml:space="preserve">04.03.25_x000D_
Заказчик хочет быстро/ дешево, плохое ТЗ СЧ ОКР. На попытку донести, что ТЗ необходимо править (есть риски/ ошибки в ТЗ) отмахиваются на после заключения договора._x000D_ Сейчас у заказчика используется MIC-300 - планируют замену с модернизацией. Желателен вариант уговорить их на поставку без СЧ ОКР._x000D_
РСС: работы приостановлены </v>
          </cell>
        </row>
        <row r="14">
          <cell r="D14">
            <v>-1</v>
          </cell>
        </row>
      </sheetData>
      <sheetData sheetId="1"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58_22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06.11.24</v>
          </cell>
        </row>
        <row r="14">
          <cell r="D14">
            <v>0</v>
          </cell>
        </row>
      </sheetData>
      <sheetData sheetId="1" refreshError="1"/>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80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IF</v>
          </cell>
        </row>
        <row r="6">
          <cell r="B6" t="str">
            <v>03.10.24_x000D_
РСС: не реализуются требования - PXI, фильтры 2-о порядка 2000 каналов, программные фичи</v>
          </cell>
        </row>
        <row r="14">
          <cell r="D14">
            <v>-1</v>
          </cell>
        </row>
      </sheetData>
      <sheetData sheetId="1"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64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BD</v>
          </cell>
        </row>
        <row r="6">
          <cell r="B6" t="str">
            <v>28.12.24_x000D_
РСС:  произведен расчет стоимости системы ~45 млн. Заказчик запрашивает 25. 11.11.24 Сообщили по телефону, что дешевле 40 не сможем сделать если не убрать из ТЗ механическую часть. Идет согласование с заказчиком сферы ответственности для сокращения стоимости_x000D_
РСС: 20.12.24 Получено письмо от заказчика с просьбой обновить предложение с учетом лимита в 25 млн</v>
          </cell>
        </row>
        <row r="14">
          <cell r="D14">
            <v>0</v>
          </cell>
        </row>
      </sheetData>
      <sheetData sheetId="1"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10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06.11.24_x000D_
Заказчик решил делать самостоятельно. Не актуально (работа с ВП/ стройка)_x000D_
Возможно будет новое ТЗ, но минимизировано</v>
          </cell>
        </row>
        <row r="14">
          <cell r="D14">
            <v>-1</v>
          </cell>
        </row>
      </sheetData>
      <sheetData sheetId="1"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13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t="str">
            <v>11.11.24_x000D_
11.11.24 Направленно заказчику</v>
          </cell>
        </row>
        <row r="14">
          <cell r="D14">
            <v>0</v>
          </cell>
        </row>
      </sheetData>
      <sheetData sheetId="1" refreshError="1"/>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1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BFRH</v>
          </cell>
        </row>
        <row r="6">
          <cell r="B6" t="str">
            <v>06.11.24_x000D_
РСС: Проверка до 07.11.24</v>
          </cell>
        </row>
        <row r="14">
          <cell r="D14">
            <v>0</v>
          </cell>
        </row>
      </sheetData>
      <sheetData sheetId="1"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55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28.11.24_x000D_
РСС: подготовка цпецификации ТКП (ждем ответ от Альфагидро по гидравлике)</v>
          </cell>
        </row>
        <row r="14">
          <cell r="D14">
            <v>-1</v>
          </cell>
        </row>
      </sheetData>
      <sheetData sheetId="1"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77_24_статус"/>
    </sheetNames>
    <definedNames>
      <definedName name="Статус" refersTo="='Лист1'!$B$6"/>
      <definedName name="ТКП_Тематика" refersTo="='Лист1'!$F$3"/>
    </definedNames>
    <sheetDataSet>
      <sheetData sheetId="0">
        <row r="3">
          <cell r="F3"/>
        </row>
        <row r="6">
          <cell r="B6" t="str">
            <v>28.12.24_x000D_
проработка тех. решений проведена_x000D_
РСС: обсуждение с заказчиком вариантов урезания ТКП до 10 млн до 30.01.24 (ориентировочно - есть несоответствие бюджета и цены ТКП)</v>
          </cell>
        </row>
      </sheetData>
      <sheetData sheetId="1"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FBH</v>
          </cell>
        </row>
        <row r="6">
          <cell r="B6" t="str">
            <v>07.10.25_x000D_
ОМ: отправлено согл. ТЗ заказчику, состояние по договору???</v>
          </cell>
        </row>
        <row r="14">
          <cell r="D14">
            <v>0</v>
          </cell>
        </row>
      </sheetData>
      <sheetData sheetId="1"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65_24_статус"/>
    </sheetNames>
    <definedNames>
      <definedName name="Результат_число" refersTo="='Лист1'!$D$14"/>
      <definedName name="Статус" refersTo="='Лист1'!$B$6"/>
      <definedName name="ТКП_Тематика" refersTo="='Лист1'!$F$3"/>
    </definedNames>
    <sheetDataSet>
      <sheetData sheetId="0">
        <row r="3">
          <cell r="F3">
            <v>0</v>
          </cell>
        </row>
        <row r="6">
          <cell r="B6">
            <v>0</v>
          </cell>
        </row>
        <row r="14">
          <cell r="D14">
            <v>0</v>
          </cell>
        </row>
      </sheetData>
      <sheetData sheetId="1" refreshError="1"/>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4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v>
          </cell>
        </row>
        <row r="6">
          <cell r="B6" t="str">
            <v>06.11.24_x000D_
ОМ: сформировать презентацию по пультовым секциям. 3 варианта - легкий, средний, тяжелый. Подготовка брошюры аналог Knurr, формулы по ценам для ориентировочного расчета (цена за метр/ рабочее место). До 30.11.24</v>
          </cell>
        </row>
        <row r="14">
          <cell r="D14">
            <v>-1</v>
          </cell>
        </row>
      </sheetData>
      <sheetData sheetId="1"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40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13.11.24_x000D_
Отказ</v>
          </cell>
        </row>
        <row r="14">
          <cell r="D14">
            <v>-1</v>
          </cell>
        </row>
      </sheetData>
      <sheetData sheetId="1"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3_24_статус"/>
    </sheetNames>
    <definedNames>
      <definedName name="Статус" refersTo="='Лист1'!$B$6"/>
      <definedName name="ТКП_Тематика" refersTo="='Лист1'!$F$3"/>
    </definedNames>
    <sheetDataSet>
      <sheetData sheetId="0">
        <row r="3">
          <cell r="F3" t="str">
            <v>B</v>
          </cell>
        </row>
        <row r="6">
          <cell r="B6" t="str">
            <v>28.11.24_x000D_
РСС: Ждем приезда представителя к нам. Не знают, что хоят. Много сложных вопросов мало денег. Проработка в рекламных целях, вероятно превратится в переносной mic и пару модулей</v>
          </cell>
        </row>
      </sheetData>
      <sheetData sheetId="1"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56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DI</v>
          </cell>
        </row>
        <row r="6">
          <cell r="B6" t="str">
            <v>19.05.25_x000D_
неактуально т.к. требуется с ВП/ ОКР документация (не вкладываемся в цены)</v>
          </cell>
        </row>
        <row r="14">
          <cell r="D14">
            <v>-1</v>
          </cell>
        </row>
      </sheetData>
      <sheetData sheetId="1" refreshError="1"/>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60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13.11.24_x000D_
не удалось дозвонится +7-912-489-77-32</v>
          </cell>
        </row>
        <row r="14">
          <cell r="D14">
            <v>-1</v>
          </cell>
        </row>
      </sheetData>
      <sheetData sheetId="1" refreshError="1"/>
    </sheetDataSet>
  </externalBook>
</externalLink>
</file>

<file path=xl/externalLinks/externalLink1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05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-1</v>
          </cell>
        </row>
      </sheetData>
      <sheetData sheetId="1" refreshError="1"/>
    </sheetDataSet>
  </externalBook>
</externalLink>
</file>

<file path=xl/externalLinks/externalLink1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51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22.11.24_x000D_
не актуально.</v>
          </cell>
        </row>
        <row r="14">
          <cell r="D14">
            <v>-1</v>
          </cell>
        </row>
      </sheetData>
      <sheetData sheetId="1" refreshError="1"/>
    </sheetDataSet>
  </externalBook>
</externalLink>
</file>

<file path=xl/externalLinks/externalLink1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1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BR</v>
          </cell>
        </row>
        <row r="6">
          <cell r="B6" t="str">
            <v>20.12.24_x000D_
РСС: В проработке до 25.12.24</v>
          </cell>
        </row>
        <row r="14">
          <cell r="D14">
            <v>0</v>
          </cell>
        </row>
      </sheetData>
      <sheetData sheetId="1" refreshError="1"/>
    </sheetDataSet>
  </externalBook>
</externalLink>
</file>

<file path=xl/externalLinks/externalLink1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74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02.12.24_x000D_
не актуально. Согласно созвону от 02.11 - уже купили оборудование</v>
          </cell>
        </row>
        <row r="14">
          <cell r="D14">
            <v>-1</v>
          </cell>
        </row>
      </sheetData>
      <sheetData sheetId="1" refreshError="1"/>
    </sheetDataSet>
  </externalBook>
</externalLink>
</file>

<file path=xl/externalLinks/externalLink1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53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28.12.24_x000D_
Согласно протоколу с заказчиком на паузе (стенд разукомплекутован у заказчика)</v>
          </cell>
        </row>
        <row r="14">
          <cell r="D14">
            <v>-1</v>
          </cell>
        </row>
      </sheetData>
      <sheetData sheetId="1" refreshError="1"/>
    </sheetDataSet>
  </externalBook>
</externalLink>
</file>

<file path=xl/externalLinks/externalLink1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01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A</v>
          </cell>
        </row>
        <row r="6">
          <cell r="B6" t="str">
            <v xml:space="preserve">06.02.25_x000D_
Заказчик подтвердил что предоставленной инф-ии достаточно, ждем обратной связи_x000D_
</v>
          </cell>
        </row>
        <row r="14">
          <cell r="D14">
            <v>-1</v>
          </cell>
        </row>
      </sheetData>
      <sheetData sheetId="1" refreshError="1"/>
    </sheetDataSet>
  </externalBook>
</externalLink>
</file>

<file path=xl/externalLinks/externalLink1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04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 xml:space="preserve">28.12.24_x000D_
РСС: отправлены список вопросов заказчику (19.12.24)_x000D_
ответили в ватсап , обновлён эскиз по результатам (23.12.24)_x000D_
добавлены вопросы + ткп уже было  </v>
          </cell>
        </row>
        <row r="14">
          <cell r="D14">
            <v>-1</v>
          </cell>
        </row>
      </sheetData>
      <sheetData sheetId="1" refreshError="1"/>
    </sheetDataSet>
  </externalBook>
</externalLink>
</file>

<file path=xl/externalLinks/externalLink1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0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BFJ</v>
          </cell>
        </row>
        <row r="6">
          <cell r="B6" t="str">
            <v>17.01.25_x000D_
отправлено 16.01.24_x000D_
Созвон РСС до 20.01.25</v>
          </cell>
        </row>
        <row r="14">
          <cell r="D14">
            <v>0</v>
          </cell>
        </row>
      </sheetData>
      <sheetData sheetId="1" refreshError="1"/>
    </sheetDataSet>
  </externalBook>
</externalLink>
</file>

<file path=xl/externalLinks/externalLink1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96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24.12.24_x000D_
рсс: таблица спецификации подготовлена._x000D_
ОМ: требуется согласование и отправка ТКП</v>
          </cell>
        </row>
        <row r="14">
          <cell r="D14">
            <v>0</v>
          </cell>
        </row>
      </sheetData>
      <sheetData sheetId="1" refreshError="1"/>
    </sheetDataSet>
  </externalBook>
</externalLink>
</file>

<file path=xl/externalLinks/externalLink1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11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DIB</v>
          </cell>
        </row>
        <row r="6">
          <cell r="B6" t="str">
            <v>05.05.25_x000D_
Результаты конкурса?</v>
          </cell>
        </row>
        <row r="14">
          <cell r="D14">
            <v>0</v>
          </cell>
        </row>
      </sheetData>
      <sheetData sheetId="1" refreshError="1"/>
    </sheetDataSet>
  </externalBook>
</externalLink>
</file>

<file path=xl/externalLinks/externalLink1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18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BJ</v>
          </cell>
        </row>
        <row r="6">
          <cell r="B6" t="str">
            <v>07.10.25_x000D_
ОМ: Обновить ТКП_x000D_ до 15.10.25_x000D_</v>
          </cell>
        </row>
        <row r="14">
          <cell r="D14">
            <v>0</v>
          </cell>
        </row>
      </sheetData>
      <sheetData sheetId="1" refreshError="1"/>
    </sheetDataSet>
  </externalBook>
</externalLink>
</file>

<file path=xl/externalLinks/externalLink1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02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AFN</v>
          </cell>
        </row>
        <row r="6">
          <cell r="B6" t="str">
            <v>20.01.25_x000D_
- получены предложения от Висом и Zetlab._x000D_
ТКП отправлено скорее но поздно (за час до проведения конкурса)</v>
          </cell>
        </row>
        <row r="14">
          <cell r="D14">
            <v>-1</v>
          </cell>
        </row>
      </sheetData>
      <sheetData sheetId="1" refreshError="1"/>
    </sheetDataSet>
  </externalBook>
</externalLink>
</file>

<file path=xl/externalLinks/externalLink1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06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FC</v>
          </cell>
        </row>
        <row r="6">
          <cell r="B6" t="str">
            <v>16.01.25_x000D_
Не выполняется техника. Запрос на аналог DTS (микромодули). Ранее поставлял Safran</v>
          </cell>
        </row>
        <row r="14">
          <cell r="D14">
            <v>-1</v>
          </cell>
        </row>
      </sheetData>
      <sheetData sheetId="1" refreshError="1"/>
    </sheetDataSet>
  </externalBook>
</externalLink>
</file>

<file path=xl/externalLinks/externalLink1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0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BFR</v>
          </cell>
        </row>
        <row r="6">
          <cell r="B6" t="str">
            <v>16.01.25_x000D_
Отказ. Не наш профиль</v>
          </cell>
        </row>
        <row r="14">
          <cell r="D14">
            <v>-1</v>
          </cell>
        </row>
      </sheetData>
      <sheetData sheetId="1" refreshError="1"/>
    </sheetDataSet>
  </externalBook>
</externalLink>
</file>

<file path=xl/externalLinks/externalLink1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13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AF</v>
          </cell>
        </row>
        <row r="6">
          <cell r="B6" t="str">
            <v>20.01.25_x000D_
РСС: проработка схемы до 24.01.25</v>
          </cell>
        </row>
        <row r="14">
          <cell r="D14">
            <v>0</v>
          </cell>
        </row>
      </sheetData>
      <sheetData sheetId="1" refreshError="1"/>
    </sheetDataSet>
  </externalBook>
</externalLink>
</file>

<file path=xl/externalLinks/externalLink1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1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E</v>
          </cell>
        </row>
        <row r="6">
          <cell r="B6" t="str">
            <v>16.01.25_x000D_
РСС: не выполняется техника (ТЗ написано под HBM - мультивходы с поддержкой всех типов сигналов включая LVDT и тензонесущая)</v>
          </cell>
        </row>
        <row r="14">
          <cell r="D14">
            <v>-1</v>
          </cell>
        </row>
      </sheetData>
      <sheetData sheetId="1" refreshError="1"/>
    </sheetDataSet>
  </externalBook>
</externalLink>
</file>

<file path=xl/externalLinks/externalLink1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48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FB</v>
          </cell>
        </row>
        <row r="6">
          <cell r="B6" t="str">
            <v>31.01.25_x000D_
Отказ. Просят аналог AVL модуля для подогрева воздуха совместимый с ПО AVL</v>
          </cell>
        </row>
        <row r="14">
          <cell r="D14">
            <v>-1</v>
          </cell>
        </row>
      </sheetData>
      <sheetData sheetId="1" refreshError="1"/>
    </sheetDataSet>
  </externalBook>
</externalLink>
</file>

<file path=xl/externalLinks/externalLink1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2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v>
          </cell>
        </row>
        <row r="6">
          <cell r="B6" t="str">
            <v xml:space="preserve">29.01.25_x000D_
РСС: </v>
          </cell>
        </row>
        <row r="14">
          <cell r="D14">
            <v>-1</v>
          </cell>
        </row>
      </sheetData>
      <sheetData sheetId="1" refreshError="1"/>
    </sheetDataSet>
  </externalBook>
</externalLink>
</file>

<file path=xl/externalLinks/externalLink1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30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DF</v>
          </cell>
        </row>
        <row r="6">
          <cell r="B6" t="str">
            <v>31.01.25_x000D_
Отправлено?</v>
          </cell>
        </row>
        <row r="14">
          <cell r="D14">
            <v>0</v>
          </cell>
        </row>
      </sheetData>
      <sheetData sheetId="1" refreshError="1"/>
    </sheetDataSet>
  </externalBook>
</externalLink>
</file>

<file path=xl/externalLinks/externalLink1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31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A</v>
          </cell>
        </row>
        <row r="6">
          <cell r="B6" t="str">
            <v>31.01.25_x000D_
Отправлено?_x000D_
Запрошен отзыв на тз у висом и zlab</v>
          </cell>
        </row>
        <row r="14">
          <cell r="D14">
            <v>0</v>
          </cell>
        </row>
      </sheetData>
      <sheetData sheetId="1" refreshError="1"/>
    </sheetDataSet>
  </externalBook>
</externalLink>
</file>

<file path=xl/externalLinks/externalLink1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40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DN</v>
          </cell>
        </row>
        <row r="6">
          <cell r="B6" t="str">
            <v>13.02.25_x000D_
Отказ. Не выполняется ТЗ</v>
          </cell>
        </row>
        <row r="14">
          <cell r="D14">
            <v>-1</v>
          </cell>
        </row>
      </sheetData>
      <sheetData sheetId="1" refreshError="1"/>
    </sheetDataSet>
  </externalBook>
</externalLink>
</file>

<file path=xl/externalLinks/externalLink1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43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FRB</v>
          </cell>
        </row>
        <row r="6">
          <cell r="B6" t="str">
            <v>31.01.25_x000D_
В проработке РСС до 07.02.25</v>
          </cell>
        </row>
        <row r="14">
          <cell r="D14">
            <v>0</v>
          </cell>
        </row>
      </sheetData>
      <sheetData sheetId="1" refreshError="1"/>
    </sheetDataSet>
  </externalBook>
</externalLink>
</file>

<file path=xl/externalLinks/externalLink1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37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RF</v>
          </cell>
        </row>
        <row r="6">
          <cell r="B6" t="str">
            <v>11.06.25_x000D_
ОП: подготовить ТКП согласно сводной Общая_v4 (3 варианта -дорогой; с объединением РМ; убрано троирование)</v>
          </cell>
        </row>
        <row r="14">
          <cell r="D14">
            <v>0</v>
          </cell>
        </row>
      </sheetData>
      <sheetData sheetId="1" refreshError="1"/>
    </sheetDataSet>
  </externalBook>
</externalLink>
</file>

<file path=xl/externalLinks/externalLink1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хронология"/>
      <sheetName val="ТКП_063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R</v>
          </cell>
        </row>
        <row r="6">
          <cell r="B6" t="str">
            <v>11.03.26_x000D_
10.03.25 запрос от Голубева пересчитать только РВК - сравниться с ТЗ</v>
          </cell>
        </row>
        <row r="14">
          <cell r="D14">
            <v>-1</v>
          </cell>
        </row>
      </sheetData>
      <sheetData sheetId="1"/>
      <sheetData sheetId="2" refreshError="1"/>
    </sheetDataSet>
  </externalBook>
</externalLink>
</file>

<file path=xl/externalLinks/externalLink1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66_25_статус"/>
    </sheetNames>
    <definedNames>
      <definedName name="Статус" refersTo="='Лист1'!$B$6"/>
    </definedNames>
    <sheetDataSet>
      <sheetData sheetId="0">
        <row r="6">
          <cell r="B6" t="str">
            <v>10.08.26_x000D_
Подписан договор. Запущен в изготовление</v>
          </cell>
        </row>
      </sheetData>
      <sheetData sheetId="1" refreshError="1"/>
    </sheetDataSet>
  </externalBook>
</externalLink>
</file>

<file path=xl/externalLinks/externalLink17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66_25_статус"/>
    </sheetNames>
    <definedNames>
      <definedName name="Результат_число" refersTo="='Лист1'!$D$14"/>
      <definedName name="ТКП_Тематика" refersTo="='Лист1'!$F$3"/>
    </definedNames>
    <sheetDataSet>
      <sheetData sheetId="0">
        <row r="3">
          <cell r="F3" t="str">
            <v>D</v>
          </cell>
        </row>
        <row r="14">
          <cell r="D14">
            <v>0</v>
          </cell>
        </row>
      </sheetData>
      <sheetData sheetId="1" refreshError="1"/>
    </sheetDataSet>
  </externalBook>
</externalLink>
</file>

<file path=xl/externalLinks/externalLink17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6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BFR</v>
          </cell>
        </row>
        <row r="6">
          <cell r="B6" t="str">
            <v>28.04.25_x000D_
РСС:отправлено заказчику вилкой 210-270 млн (789_ООО_25) от 11.04.25</v>
          </cell>
        </row>
        <row r="14">
          <cell r="D14">
            <v>-1</v>
          </cell>
        </row>
      </sheetData>
      <sheetData sheetId="1" refreshError="1"/>
    </sheetDataSet>
  </externalBook>
</externalLink>
</file>

<file path=xl/externalLinks/externalLink18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76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NI</v>
          </cell>
        </row>
        <row r="6">
          <cell r="B6" t="str">
            <v>04.03.25_x000D_
ОМ: требуется подготовить ТКП и отправка заказчику</v>
          </cell>
        </row>
        <row r="14">
          <cell r="D14">
            <v>1</v>
          </cell>
        </row>
      </sheetData>
      <sheetData sheetId="1" refreshError="1"/>
    </sheetDataSet>
  </externalBook>
</externalLink>
</file>

<file path=xl/externalLinks/externalLink18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71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18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12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05.03.25_x000D_
_x000D_ Созвонились с представителем заказчика - Болотов А.В., модернизируют стоечную систему. Ждем данные по частотам опроса, предварительно подсказали заказчику о возможности использовать каналы MR-114 с клемника XT01</v>
          </cell>
        </row>
        <row r="14">
          <cell r="D14">
            <v>-1</v>
          </cell>
        </row>
      </sheetData>
      <sheetData sheetId="1" refreshError="1"/>
    </sheetDataSet>
  </externalBook>
</externalLink>
</file>

<file path=xl/externalLinks/externalLink18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80_25_статус"/>
    </sheetNames>
    <definedNames>
      <definedName name="Результат_число" refersTo="='Лист1'!$D$14"/>
    </definedNames>
    <sheetDataSet>
      <sheetData sheetId="0">
        <row r="14">
          <cell r="D14">
            <v>0</v>
          </cell>
        </row>
      </sheetData>
      <sheetData sheetId="1" refreshError="1"/>
    </sheetDataSet>
  </externalBook>
</externalLink>
</file>

<file path=xl/externalLinks/externalLink18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81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ARF</v>
          </cell>
        </row>
        <row r="6">
          <cell r="B6"/>
        </row>
        <row r="14">
          <cell r="D14">
            <v>-1</v>
          </cell>
        </row>
      </sheetData>
      <sheetData sheetId="1" refreshError="1"/>
    </sheetDataSet>
  </externalBook>
</externalLink>
</file>

<file path=xl/externalLinks/externalLink18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98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19.03.25_x000D_
Согласован с ГД - 18.03.25</v>
          </cell>
        </row>
        <row r="14">
          <cell r="D14">
            <v>0</v>
          </cell>
        </row>
      </sheetData>
      <sheetData sheetId="1" refreshError="1"/>
    </sheetDataSet>
  </externalBook>
</externalLink>
</file>

<file path=xl/externalLinks/externalLink18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17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22.05.25_x000D_
проиграли конкурс Zetlab???_x000D_
ОМ: согалсование с заказчиком новых сроков в ТЗ (перв. Раз. Отказ от конкурса т.к. не вписывались в сроки по ГР)</v>
          </cell>
        </row>
        <row r="14">
          <cell r="D14">
            <v>0</v>
          </cell>
        </row>
      </sheetData>
      <sheetData sheetId="1" refreshError="1"/>
    </sheetDataSet>
  </externalBook>
</externalLink>
</file>

<file path=xl/externalLinks/externalLink18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2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row>
        <row r="14">
          <cell r="D14">
            <v>0</v>
          </cell>
        </row>
      </sheetData>
      <sheetData sheetId="1" refreshError="1"/>
    </sheetDataSet>
  </externalBook>
</externalLink>
</file>

<file path=xl/externalLinks/externalLink18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26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DI</v>
          </cell>
        </row>
        <row r="6">
          <cell r="B6" t="str">
            <v>18.03.25_x000D_
РСС проработало системы и передало ТКП на проверку ОМ_x000D_
ОМ: отправить ТКП Заказчику на 2 стенда</v>
          </cell>
        </row>
        <row r="14">
          <cell r="D14">
            <v>0</v>
          </cell>
        </row>
      </sheetData>
      <sheetData sheetId="1" refreshError="1"/>
    </sheetDataSet>
  </externalBook>
</externalLink>
</file>

<file path=xl/externalLinks/externalLink18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3_25_статус"/>
    </sheetNames>
    <definedNames>
      <definedName name="Статус" refersTo="='Лист1'!$B$6"/>
      <definedName name="ТКП_Тематика" refersTo="='Лист1'!$F$3"/>
    </definedNames>
    <sheetDataSet>
      <sheetData sheetId="0">
        <row r="3">
          <cell r="F3" t="str">
            <v>BRF</v>
          </cell>
        </row>
        <row r="6">
          <cell r="B6" t="str">
            <v>21.03.25_x000D_
Передано в ОКП для проработки (ждем ответ, берут или нет)</v>
          </cell>
        </row>
      </sheetData>
      <sheetData sheetId="1" refreshError="1"/>
    </sheetDataSet>
  </externalBook>
</externalLink>
</file>

<file path=xl/externalLinks/externalLink19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4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v>
          </cell>
        </row>
        <row r="6">
          <cell r="B6" t="str">
            <v>20.03.25_x000D_
Запрос пришел по телефону. Просят оборудование для расширения ст.9 (заказ 1600)_x000D_
_x000D_РСС: проработана схема и спецификация_x000D_ - 20.03.25_x000D_
ОМ: требуется согласование и отправка ТКП</v>
          </cell>
        </row>
        <row r="14">
          <cell r="D14">
            <v>0</v>
          </cell>
        </row>
      </sheetData>
      <sheetData sheetId="1" refreshError="1"/>
    </sheetDataSet>
  </externalBook>
</externalLink>
</file>

<file path=xl/externalLinks/externalLink19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27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DFI</v>
          </cell>
        </row>
        <row r="6">
          <cell r="B6" t="str">
            <v>28.04.25_x000D_
заказчику переданы схемы и вопросы, примерно названа стоимость подобных систем, передан пример ТЗ (рыба). Ждем реакции</v>
          </cell>
        </row>
        <row r="14">
          <cell r="D14">
            <v>-1</v>
          </cell>
        </row>
      </sheetData>
      <sheetData sheetId="1" refreshError="1"/>
    </sheetDataSet>
  </externalBook>
</externalLink>
</file>

<file path=xl/externalLinks/externalLink19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4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BFI</v>
          </cell>
        </row>
        <row r="6">
          <cell r="B6" t="str">
            <v>20.01.25_x000D_
УМП: подготовка договора до,</v>
          </cell>
        </row>
        <row r="14">
          <cell r="D14">
            <v>0</v>
          </cell>
        </row>
      </sheetData>
      <sheetData sheetId="1" refreshError="1"/>
    </sheetDataSet>
  </externalBook>
</externalLink>
</file>

<file path=xl/externalLinks/externalLink19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38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21.03.25_x000D_
РСС: отправлена схема заказчику 13.03.25 (ждем ответ)
17.04. Созвонились заказчик пока схему не в состоянии посмотреть большая загрузка.</v>
          </cell>
        </row>
        <row r="14">
          <cell r="D14">
            <v>0</v>
          </cell>
        </row>
      </sheetData>
      <sheetData sheetId="1" refreshError="1"/>
    </sheetDataSet>
  </externalBook>
</externalLink>
</file>

<file path=xl/externalLinks/externalLink19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40_25_статус"/>
    </sheetNames>
    <definedNames>
      <definedName name="Статус" refersTo="='Лист1'!$B$6"/>
    </definedNames>
    <sheetDataSet>
      <sheetData sheetId="0">
        <row r="6">
          <cell r="B6" t="str">
            <v>21.03.25_x000D_
РСС: Проведен созвон с потенциальным поставщиком гидротормоза (Протон ПМ)_x000D_
План созвон с заказчиком до 24.03.25</v>
          </cell>
        </row>
      </sheetData>
      <sheetData sheetId="1" refreshError="1"/>
    </sheetDataSet>
  </externalBook>
</externalLink>
</file>

<file path=xl/externalLinks/externalLink19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6_25_статус"/>
    </sheetNames>
    <definedNames>
      <definedName name="Результат_число" refersTo="='Лист1'!$D$14"/>
      <definedName name="Статус" refersTo="='Лист1'!$B$6"/>
      <definedName name="ТКП_Тематика" refersTo="='Лист1'!$F$3"/>
    </definedNames>
    <sheetDataSet>
      <sheetData sheetId="0">
        <row r="3">
          <cell r="F3">
            <v>0</v>
          </cell>
        </row>
        <row r="6">
          <cell r="B6">
            <v>0</v>
          </cell>
        </row>
        <row r="14">
          <cell r="D14">
            <v>-1</v>
          </cell>
        </row>
      </sheetData>
      <sheetData sheetId="1" refreshError="1"/>
    </sheetDataSet>
  </externalBook>
</externalLink>
</file>

<file path=xl/externalLinks/externalLink19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91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v>
          </cell>
        </row>
        <row r="6">
          <cell r="B6" t="str">
            <v>28.04.25_x000D_
планируем поездку в Энергомаш до 30.05.25 с целью посмотреть аналогичный стенд, для того же изделия</v>
          </cell>
        </row>
        <row r="14">
          <cell r="D14">
            <v>-1</v>
          </cell>
        </row>
      </sheetData>
      <sheetData sheetId="1" refreshError="1"/>
    </sheetDataSet>
  </externalBook>
</externalLink>
</file>

<file path=xl/externalLinks/externalLink19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59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-1</v>
          </cell>
        </row>
      </sheetData>
      <sheetData sheetId="1" refreshError="1"/>
    </sheetDataSet>
  </externalBook>
</externalLink>
</file>

<file path=xl/externalLinks/externalLink19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40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28.04.25_x000D_
Отправлено письмо о возможности проработки концепт проекта (за подписью Попова) - 22.04.25 (881_АО_25)</v>
          </cell>
        </row>
        <row r="14">
          <cell r="D14">
            <v>-1</v>
          </cell>
        </row>
      </sheetData>
      <sheetData sheetId="1" refreshError="1"/>
    </sheetDataSet>
  </externalBook>
</externalLink>
</file>

<file path=xl/externalLinks/externalLink19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76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22.11.24_x000D_
не актуально.</v>
          </cell>
        </row>
        <row r="14">
          <cell r="D14">
            <v>-1</v>
          </cell>
        </row>
      </sheetData>
      <sheetData sheetId="1" refreshError="1"/>
    </sheetDataSet>
  </externalBook>
</externalLink>
</file>

<file path=xl/externalLinks/externalLink20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32_21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07.04.25_x000D_
0</v>
          </cell>
        </row>
        <row r="14">
          <cell r="D14">
            <v>-1</v>
          </cell>
        </row>
      </sheetData>
      <sheetData sheetId="1" refreshError="1"/>
    </sheetDataSet>
  </externalBook>
</externalLink>
</file>

<file path=xl/externalLinks/externalLink20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19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BFHNR</v>
          </cell>
        </row>
        <row r="6">
          <cell r="B6" t="str">
            <v>28.04.25_x000D_
Отправлены вопросы 17.04.25. Созвон с заказчиком (Солдатов - 29.04.25)</v>
          </cell>
        </row>
        <row r="14">
          <cell r="D14">
            <v>-1</v>
          </cell>
        </row>
      </sheetData>
      <sheetData sheetId="1" refreshError="1"/>
    </sheetDataSet>
  </externalBook>
</externalLink>
</file>

<file path=xl/externalLinks/externalLink20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57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BD</v>
          </cell>
        </row>
        <row r="6">
          <cell r="B6" t="str">
            <v>18.04.24_x000D_
ОМ: Заказчик продолжает согласование протокола разногласий к Договору. Статус закупки на ЭТП - работа комиссии._x000D_
РСС: Вх.400 - гар. Письмо. Требуется предзапуск?</v>
          </cell>
        </row>
        <row r="14">
          <cell r="D14">
            <v>0</v>
          </cell>
        </row>
      </sheetData>
      <sheetData sheetId="1" refreshError="1"/>
    </sheetDataSet>
  </externalBook>
</externalLink>
</file>

<file path=xl/externalLinks/externalLink20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30_22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BRFJ</v>
          </cell>
        </row>
        <row r="6">
          <cell r="B6" t="str">
            <v>19.03.24_x000D_
ОМ: Проработка договора и РКМ</v>
          </cell>
        </row>
        <row r="14">
          <cell r="D14">
            <v>0</v>
          </cell>
        </row>
      </sheetData>
      <sheetData sheetId="1" refreshError="1"/>
    </sheetDataSet>
  </externalBook>
</externalLink>
</file>

<file path=xl/externalLinks/externalLink20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64_22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IRB</v>
          </cell>
        </row>
        <row r="6">
          <cell r="B6" t="str">
            <v>21.02.24_x000D_
ждем аванс (обещают февраль)</v>
          </cell>
        </row>
        <row r="14">
          <cell r="D14">
            <v>0</v>
          </cell>
        </row>
      </sheetData>
      <sheetData sheetId="1" refreshError="1"/>
    </sheetDataSet>
  </externalBook>
</externalLink>
</file>

<file path=xl/externalLinks/externalLink20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02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FRB</v>
          </cell>
        </row>
        <row r="6">
          <cell r="B6" t="str">
            <v>16.04.25_x000D_
07.04.25 - получено письмо с запросом и ТЗ, дедлайн до 09.04.025_x000D_
11.04.25 - заказчику направлены вопросы, и указания на неточности тз_x000D_
14.04.25 - получен ответ что запрос не актуален</v>
          </cell>
        </row>
        <row r="14">
          <cell r="D14">
            <v>0</v>
          </cell>
        </row>
      </sheetData>
      <sheetData sheetId="1" refreshError="1"/>
    </sheetDataSet>
  </externalBook>
</externalLink>
</file>

<file path=xl/externalLinks/externalLink20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37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20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23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16.04.25_x000D_
14.04.25 запрос расписан . В проработке РСС до 16.04.25</v>
          </cell>
        </row>
        <row r="14">
          <cell r="D14">
            <v>0</v>
          </cell>
        </row>
      </sheetData>
      <sheetData sheetId="1" refreshError="1"/>
    </sheetDataSet>
  </externalBook>
</externalLink>
</file>

<file path=xl/externalLinks/externalLink20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44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20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4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FI</v>
          </cell>
        </row>
        <row r="6">
          <cell r="B6" t="str">
            <v>19.05.25_x000D_
- ОП подготовка ткп до 23.05.25</v>
          </cell>
        </row>
        <row r="14">
          <cell r="D14">
            <v>0</v>
          </cell>
        </row>
      </sheetData>
      <sheetData sheetId="1" refreshError="1"/>
    </sheetDataSet>
  </externalBook>
</externalLink>
</file>

<file path=xl/externalLinks/externalLink2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41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23.04.25_x000D_
0</v>
          </cell>
        </row>
        <row r="14">
          <cell r="D14">
            <v>0</v>
          </cell>
        </row>
      </sheetData>
      <sheetData sheetId="1" refreshError="1"/>
    </sheetDataSet>
  </externalBook>
</externalLink>
</file>

<file path=xl/externalLinks/externalLink2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49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23.04.25_x000D_
0</v>
          </cell>
        </row>
        <row r="14">
          <cell r="D14">
            <v>0</v>
          </cell>
        </row>
      </sheetData>
      <sheetData sheetId="1" refreshError="1"/>
    </sheetDataSet>
  </externalBook>
</externalLink>
</file>

<file path=xl/externalLinks/externalLink2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42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BINF</v>
          </cell>
        </row>
        <row r="6">
          <cell r="B6" t="str">
            <v>19.05.25_x000D_
отправлено?</v>
          </cell>
        </row>
        <row r="14">
          <cell r="D14">
            <v>0</v>
          </cell>
        </row>
      </sheetData>
      <sheetData sheetId="1" refreshError="1"/>
    </sheetDataSet>
  </externalBook>
</externalLink>
</file>

<file path=xl/externalLinks/externalLink2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57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03.06.25_x000D_
Заказчик крайне ждет наше ТКП! Подобная работа нужна для завода Чернышева._x000D_
РСС: подготовлено ТКП с спецификацией (согласовано с Коленько и Поповым, проконсультировались по теории с ЦИАМ  (Минеев)), получено соглашение о конфиденциальности_x000D_
ОМ: подписать письмо и отправка заказчику</v>
          </cell>
        </row>
        <row r="14">
          <cell r="D14">
            <v>0</v>
          </cell>
        </row>
      </sheetData>
      <sheetData sheetId="1" refreshError="1"/>
    </sheetDataSet>
  </externalBook>
</externalLink>
</file>

<file path=xl/externalLinks/externalLink2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85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 xml:space="preserve">11.06.25_x000D_
ОП: Подготовить формальный ответ о том, что прорабатываем возможность изготовления такой системы; Сможем выдать ответ после проработки </v>
          </cell>
        </row>
        <row r="14">
          <cell r="D14">
            <v>-1</v>
          </cell>
        </row>
      </sheetData>
      <sheetData sheetId="1" refreshError="1"/>
    </sheetDataSet>
  </externalBook>
</externalLink>
</file>

<file path=xl/externalLinks/externalLink2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79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DIN</v>
          </cell>
        </row>
        <row r="6">
          <cell r="B6" t="str">
            <v>26.05.25_x000D_
ОП: отправка ТКП до 22.05.25</v>
          </cell>
        </row>
        <row r="14">
          <cell r="D14">
            <v>0</v>
          </cell>
        </row>
      </sheetData>
      <sheetData sheetId="1" refreshError="1"/>
    </sheetDataSet>
  </externalBook>
</externalLink>
</file>

<file path=xl/externalLinks/externalLink2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96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ABJ</v>
          </cell>
        </row>
        <row r="6">
          <cell r="B6" t="str">
            <v>08.06.26_x000D_
10/06/26 - поездка в МИРЭА. Принятие решения за ГД о вхождении в проект</v>
          </cell>
        </row>
        <row r="14">
          <cell r="D14">
            <v>1</v>
          </cell>
        </row>
      </sheetData>
      <sheetData sheetId="1"/>
      <sheetData sheetId="2" refreshError="1"/>
    </sheetDataSet>
  </externalBook>
</externalLink>
</file>

<file path=xl/externalLinks/externalLink2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90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26.05.25_x000D_
Повтор с 283_25_x000D_, Требуется версия ПО с расчетом тензорозеток для исключения рисков по софту (предоставить в Kingsly)_x000D_
ОП: ТКП на MIC-236+ 5xMR-212</v>
          </cell>
        </row>
        <row r="14">
          <cell r="D14">
            <v>0</v>
          </cell>
        </row>
      </sheetData>
      <sheetData sheetId="1" refreshError="1"/>
    </sheetDataSet>
  </externalBook>
</externalLink>
</file>

<file path=xl/externalLinks/externalLink2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93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11.06.25_x000D_
РСС: согласовано 11.06.25_x000D_
ОП: отправка до 20.06.25</v>
          </cell>
        </row>
        <row r="14">
          <cell r="D14">
            <v>0</v>
          </cell>
        </row>
      </sheetData>
      <sheetData sheetId="1" refreshError="1"/>
    </sheetDataSet>
  </externalBook>
</externalLink>
</file>

<file path=xl/externalLinks/externalLink2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98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11.06.25_x000D_
отправлено</v>
          </cell>
        </row>
        <row r="14">
          <cell r="D14">
            <v>0</v>
          </cell>
        </row>
      </sheetData>
      <sheetData sheetId="1" refreshError="1"/>
    </sheetDataSet>
  </externalBook>
</externalLink>
</file>

<file path=xl/externalLinks/externalLink2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7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GLP</v>
          </cell>
        </row>
        <row r="6">
          <cell r="B6" t="str">
            <v>24.06.25_x000D_
_x000D_
20_06_25_x000D_
 Созвон с заказчиком А.Синкевич, С.Силаев, М.потолочин уяснение проблеммы Заказчкика._x000D_
24.06.25 Высланы материалы для анализа Заказчиком, он в отпуске требуется время.</v>
          </cell>
        </row>
        <row r="14">
          <cell r="D14">
            <v>-1</v>
          </cell>
        </row>
      </sheetData>
      <sheetData sheetId="1" refreshError="1"/>
    </sheetDataSet>
  </externalBook>
</externalLink>
</file>

<file path=xl/externalLinks/externalLink2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04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09.06.25_x000D_
Заказчик до 30-о числа в отпуске. Запрос пристрелка, не известно будет ли работа вообще. Стенд №50 сейчас не поддерживает изделие для которого планируются испытания (требуется переделка СИС). ТЗ не содержит исходных данных</v>
          </cell>
        </row>
        <row r="14">
          <cell r="D14">
            <v>0</v>
          </cell>
        </row>
      </sheetData>
      <sheetData sheetId="1" refreshError="1"/>
    </sheetDataSet>
  </externalBook>
</externalLink>
</file>

<file path=xl/externalLinks/externalLink2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51_25_статус"/>
    </sheetNames>
    <definedNames>
      <definedName name="Результат_число" refersTo="='Лист1'!$D$14"/>
      <definedName name="ТКП_Тематика" refersTo="='Лист1'!$F$3"/>
    </definedNames>
    <sheetDataSet>
      <sheetData sheetId="0">
        <row r="3">
          <cell r="F3" t="str">
            <v>NFB</v>
          </cell>
        </row>
        <row r="14">
          <cell r="D14">
            <v>1</v>
          </cell>
        </row>
      </sheetData>
      <sheetData sheetId="1"/>
      <sheetData sheetId="2" refreshError="1"/>
    </sheetDataSet>
  </externalBook>
</externalLink>
</file>

<file path=xl/externalLinks/externalLink2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56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02.07.25_x000D_
ТЗ написано под HBM</v>
          </cell>
        </row>
        <row r="14">
          <cell r="D14">
            <v>-1</v>
          </cell>
        </row>
      </sheetData>
      <sheetData sheetId="1" refreshError="1"/>
    </sheetDataSet>
  </externalBook>
</externalLink>
</file>

<file path=xl/externalLinks/externalLink2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13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 xml:space="preserve">04.07.25_x000D_
 </v>
          </cell>
        </row>
        <row r="14">
          <cell r="D14">
            <v>-1</v>
          </cell>
        </row>
      </sheetData>
      <sheetData sheetId="1" refreshError="1"/>
    </sheetDataSet>
  </externalBook>
</externalLink>
</file>

<file path=xl/externalLinks/externalLink2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19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A</v>
          </cell>
        </row>
        <row r="6">
          <cell r="B6" t="str">
            <v>08.06.26_x000D_
отправлено заказчику 18. мая (протокол встречи+ткп+таблица проектов)</v>
          </cell>
        </row>
        <row r="14">
          <cell r="D14">
            <v>0</v>
          </cell>
        </row>
      </sheetData>
      <sheetData sheetId="1"/>
      <sheetData sheetId="2" refreshError="1"/>
    </sheetDataSet>
  </externalBook>
</externalLink>
</file>

<file path=xl/externalLinks/externalLink2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25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18.02.26_x000D_
РСС: созвон с заказчиком (Андрей Шлютов), привезли несколько машин на испытания "про вопросы помним но не добираемся". В низком приоритете будут делать, т.к. "стенд будет все равно не понятно когда"</v>
          </cell>
        </row>
        <row r="14">
          <cell r="D14">
            <v>1</v>
          </cell>
        </row>
      </sheetData>
      <sheetData sheetId="1"/>
      <sheetData sheetId="2" refreshError="1"/>
    </sheetDataSet>
  </externalBook>
</externalLink>
</file>

<file path=xl/externalLinks/externalLink2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9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v>
          </cell>
        </row>
        <row r="6">
          <cell r="B6" t="str">
            <v>20.05.25_x000D_
ОП: ТКП на MIC-236+ 5xMR-212</v>
          </cell>
        </row>
        <row r="14">
          <cell r="D14">
            <v>-1</v>
          </cell>
        </row>
      </sheetData>
      <sheetData sheetId="1" refreshError="1"/>
    </sheetDataSet>
  </externalBook>
</externalLink>
</file>

<file path=xl/externalLinks/externalLink2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8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19.03.25_x000D_
Согласован с ГД - 18.03.25</v>
          </cell>
        </row>
        <row r="14">
          <cell r="D14">
            <v>0</v>
          </cell>
        </row>
      </sheetData>
      <sheetData sheetId="1" refreshError="1"/>
    </sheetDataSet>
  </externalBook>
</externalLink>
</file>

<file path=xl/externalLinks/externalLink2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08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v>
          </cell>
        </row>
        <row r="6">
          <cell r="B6" t="str">
            <v>13.08.25_x000D_
Проведена встреча 01.08.25. Запланирована поездка к заказчику с демо системы (2 датчика перемещений и ПО (modbus)) до 26.08.25 (разработка/изготавление прототипа крепления датчика)</v>
          </cell>
        </row>
        <row r="14">
          <cell r="D14">
            <v>0</v>
          </cell>
        </row>
      </sheetData>
      <sheetData sheetId="1" refreshError="1"/>
    </sheetDataSet>
  </externalBook>
</externalLink>
</file>

<file path=xl/externalLinks/externalLink2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GLP</v>
          </cell>
        </row>
        <row r="6">
          <cell r="B6" t="str">
            <v>13.08.25_x000D_
 Заказчику направлены материалы по вариантам диагностики, скинули РЭ на ПО обработки (з.3218) тонов лопаток. Ждем реакции</v>
          </cell>
        </row>
        <row r="14">
          <cell r="D14">
            <v>-1</v>
          </cell>
        </row>
      </sheetData>
      <sheetData sheetId="1" refreshError="1"/>
    </sheetDataSet>
  </externalBook>
</externalLink>
</file>

<file path=xl/externalLinks/externalLink2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66_25_статус"/>
    </sheetNames>
    <definedNames>
      <definedName name="Результат_число" refersTo="='Лист1'!$D$14"/>
      <definedName name="Статус" refersTo="='Лист1'!$B$6"/>
      <definedName name="ТКП_Тематика" refersTo="='Лист1'!$F$3"/>
    </definedNames>
    <sheetDataSet>
      <sheetData sheetId="0">
        <row r="3">
          <cell r="F3">
            <v>0</v>
          </cell>
        </row>
        <row r="6">
          <cell r="B6" t="str">
            <v>15.07.25_x000D_
не выполняется техника</v>
          </cell>
        </row>
        <row r="14">
          <cell r="D14">
            <v>-1</v>
          </cell>
        </row>
      </sheetData>
      <sheetData sheetId="1" refreshError="1"/>
    </sheetDataSet>
  </externalBook>
</externalLink>
</file>

<file path=xl/externalLinks/externalLink2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80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16.09.25_x000D_
200Н система испытаний - отправлено;_x000D_</v>
          </cell>
        </row>
        <row r="14">
          <cell r="D14">
            <v>0</v>
          </cell>
        </row>
      </sheetData>
      <sheetData sheetId="1" refreshError="1"/>
    </sheetDataSet>
  </externalBook>
</externalLink>
</file>

<file path=xl/externalLinks/externalLink2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05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06.11.24_x000D_
ОМ: решение о запуске формуляра?</v>
          </cell>
        </row>
        <row r="14">
          <cell r="D14">
            <v>0</v>
          </cell>
        </row>
      </sheetData>
      <sheetData sheetId="1" refreshError="1"/>
    </sheetDataSet>
  </externalBook>
</externalLink>
</file>

<file path=xl/externalLinks/externalLink2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03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row>
        <row r="14">
          <cell r="D14">
            <v>0</v>
          </cell>
        </row>
      </sheetData>
      <sheetData sheetId="1" refreshError="1"/>
    </sheetDataSet>
  </externalBook>
</externalLink>
</file>

<file path=xl/externalLinks/externalLink2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6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FB</v>
          </cell>
        </row>
        <row r="6">
          <cell r="B6" t="str">
            <v>07.10.25_x000D_
ОП: согласование и отправка до 10.10.25</v>
          </cell>
        </row>
        <row r="14">
          <cell r="D14">
            <v>-1</v>
          </cell>
        </row>
      </sheetData>
      <sheetData sheetId="1" refreshError="1"/>
    </sheetDataSet>
  </externalBook>
</externalLink>
</file>

<file path=xl/externalLinks/externalLink2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52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16.09.25_x000D_
ОМ: уточнить отправлено или нет</v>
          </cell>
        </row>
        <row r="14">
          <cell r="D14">
            <v>0</v>
          </cell>
        </row>
      </sheetData>
      <sheetData sheetId="1" refreshError="1"/>
    </sheetDataSet>
  </externalBook>
</externalLink>
</file>

<file path=xl/externalLinks/externalLink2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2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DNF</v>
          </cell>
        </row>
        <row r="6">
          <cell r="B6" t="str">
            <v>13.08.25_x000D_
РСС Подготовлен список оборудования уточнена реализуемость с ЦР - 05.08.25_x000D_
ОП - оформить. Согласовать ткп -  отправить (отправлено?)</v>
          </cell>
        </row>
        <row r="14">
          <cell r="D14">
            <v>-1</v>
          </cell>
        </row>
      </sheetData>
      <sheetData sheetId="1" refreshError="1"/>
    </sheetDataSet>
  </externalBook>
</externalLink>
</file>

<file path=xl/externalLinks/externalLink2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3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NF</v>
          </cell>
        </row>
        <row r="6">
          <cell r="B6"/>
        </row>
        <row r="14">
          <cell r="D14">
            <v>-1</v>
          </cell>
        </row>
      </sheetData>
      <sheetData sheetId="1" refreshError="1"/>
    </sheetDataSet>
  </externalBook>
</externalLink>
</file>

<file path=xl/externalLinks/externalLink2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86_24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13.10.25_x000D_
РСС: проработан 28.08.25_x000D_. Проведено совещание у ГД 02.10.25_x000D_. Решение отправка существующей версии ТКП._x000D_
ОМ: требуется согласование и отправка</v>
          </cell>
        </row>
        <row r="14">
          <cell r="D14">
            <v>0</v>
          </cell>
        </row>
      </sheetData>
      <sheetData sheetId="1" refreshError="1"/>
    </sheetDataSet>
  </externalBook>
</externalLink>
</file>

<file path=xl/externalLinks/externalLink2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96_21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2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79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DF</v>
          </cell>
        </row>
        <row r="6">
          <cell r="B6" t="str">
            <v>31.01.25_x000D_
Отправлено?</v>
          </cell>
        </row>
        <row r="14">
          <cell r="D14">
            <v>0</v>
          </cell>
        </row>
      </sheetData>
      <sheetData sheetId="1" refreshError="1"/>
    </sheetDataSet>
  </externalBook>
</externalLink>
</file>

<file path=xl/externalLinks/externalLink2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88_25_статус"/>
    </sheetNames>
    <definedNames>
      <definedName name="Результат_число" refersTo="='Лист1'!$D$14"/>
      <definedName name="Статус" refersTo="='Лист1'!$B$6"/>
    </definedNames>
    <sheetDataSet>
      <sheetData sheetId="0">
        <row r="6">
          <cell r="B6" t="str">
            <v>15.09.25_x000D_
ТЗ написано под ZetLab. Связались с ZetLab предложили выступить интегратором. Получили сообщение - "мы отправили свое ТКП, при необходимости вас позовем"_x000D_
ОМ: ответить вежливым отказом, при необходимости готовы выступить интегратором ZetLab</v>
          </cell>
        </row>
        <row r="14">
          <cell r="D14">
            <v>-1</v>
          </cell>
        </row>
      </sheetData>
      <sheetData sheetId="1" refreshError="1"/>
    </sheetDataSet>
  </externalBook>
</externalLink>
</file>

<file path=xl/externalLinks/externalLink2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94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BFI</v>
          </cell>
        </row>
        <row r="6">
          <cell r="B6" t="str">
            <v>16.09.25_x000D_
РСС: проработка до 19.09.25</v>
          </cell>
        </row>
        <row r="14">
          <cell r="D14">
            <v>0</v>
          </cell>
        </row>
      </sheetData>
      <sheetData sheetId="1" refreshError="1"/>
    </sheetDataSet>
  </externalBook>
</externalLink>
</file>

<file path=xl/externalLinks/externalLink2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34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-1</v>
          </cell>
        </row>
      </sheetData>
      <sheetData sheetId="1" refreshError="1"/>
    </sheetDataSet>
  </externalBook>
</externalLink>
</file>

<file path=xl/externalLinks/externalLink2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01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2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41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FN</v>
          </cell>
        </row>
        <row r="6">
          <cell r="B6" t="str">
            <v>06.10.25_x000D_
В проработке до 20.10.25</v>
          </cell>
        </row>
        <row r="14">
          <cell r="D14">
            <v>0</v>
          </cell>
        </row>
      </sheetData>
      <sheetData sheetId="1" refreshError="1"/>
    </sheetDataSet>
  </externalBook>
</externalLink>
</file>

<file path=xl/externalLinks/externalLink2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06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16.09.25_x000D_
ОМ: отправка ТКП до 17.09.25</v>
          </cell>
        </row>
        <row r="14">
          <cell r="D14">
            <v>0</v>
          </cell>
        </row>
      </sheetData>
      <sheetData sheetId="1" refreshError="1"/>
    </sheetDataSet>
  </externalBook>
</externalLink>
</file>

<file path=xl/externalLinks/externalLink2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06_22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2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64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FLN</v>
          </cell>
        </row>
        <row r="6">
          <cell r="B6" t="str">
            <v>12.11.25_x000D_
Требуется согласование и отправка ТКП/ Конкурс 28.11.25</v>
          </cell>
        </row>
        <row r="14">
          <cell r="D14">
            <v>-1</v>
          </cell>
        </row>
      </sheetData>
      <sheetData sheetId="1" refreshError="1"/>
    </sheetDataSet>
  </externalBook>
</externalLink>
</file>

<file path=xl/externalLinks/externalLink2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Хронология"/>
      <sheetName val="ТКП_590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L</v>
          </cell>
        </row>
        <row r="6">
          <cell r="B6" t="str">
            <v xml:space="preserve">создана эскиз схемы отправлено на регистрацию через почту и вениамину </v>
          </cell>
        </row>
        <row r="14">
          <cell r="D14">
            <v>0</v>
          </cell>
        </row>
      </sheetData>
      <sheetData sheetId="1"/>
      <sheetData sheetId="2" refreshError="1"/>
    </sheetDataSet>
  </externalBook>
</externalLink>
</file>

<file path=xl/externalLinks/externalLink2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37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v>
          </cell>
        </row>
        <row r="6">
          <cell r="B6" t="str">
            <v xml:space="preserve">08.06.26_x000D_
ТКП направлено на согласование внутри МЕРА 04.06.2026_x000D_
Подготовлена схема и трудоемкости, готово к оформлению с 26.01.2026. Заказчику направлен проект ТЗ на согласование 18.02.2026_x000D_
</v>
          </cell>
        </row>
        <row r="14">
          <cell r="D14">
            <v>1</v>
          </cell>
        </row>
      </sheetData>
      <sheetData sheetId="1" refreshError="1"/>
    </sheetDataSet>
  </externalBook>
</externalLink>
</file>

<file path=xl/externalLinks/externalLink2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52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19.03.25_x000D_
Согласован с ГД - 18.03.25</v>
          </cell>
        </row>
        <row r="14">
          <cell r="D14">
            <v>0</v>
          </cell>
        </row>
      </sheetData>
      <sheetData sheetId="1" refreshError="1"/>
    </sheetDataSet>
  </externalBook>
</externalLink>
</file>

<file path=xl/externalLinks/externalLink2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54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DN</v>
          </cell>
        </row>
        <row r="6">
          <cell r="B6"/>
        </row>
        <row r="14">
          <cell r="D14">
            <v>0</v>
          </cell>
        </row>
      </sheetData>
      <sheetData sheetId="1" refreshError="1"/>
    </sheetDataSet>
  </externalBook>
</externalLink>
</file>

<file path=xl/externalLinks/externalLink2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58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0</v>
          </cell>
        </row>
      </sheetData>
      <sheetData sheetId="1" refreshError="1"/>
    </sheetDataSet>
  </externalBook>
</externalLink>
</file>

<file path=xl/externalLinks/externalLink2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86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23.03.26_x000D_
Ждем пока доделают контейнер 3129</v>
          </cell>
        </row>
        <row r="14">
          <cell r="D14">
            <v>0</v>
          </cell>
        </row>
      </sheetData>
      <sheetData sheetId="1" refreshError="1"/>
    </sheetDataSet>
  </externalBook>
</externalLink>
</file>

<file path=xl/externalLinks/externalLink2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93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20.11.25_x000D_
отказ. Не наша тема</v>
          </cell>
        </row>
        <row r="14">
          <cell r="D14">
            <v>-1</v>
          </cell>
        </row>
      </sheetData>
      <sheetData sheetId="1" refreshError="1"/>
    </sheetDataSet>
  </externalBook>
</externalLink>
</file>

<file path=xl/externalLinks/externalLink2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91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row>
        <row r="14">
          <cell r="D14">
            <v>-1</v>
          </cell>
        </row>
      </sheetData>
      <sheetData sheetId="1" refreshError="1"/>
    </sheetDataSet>
  </externalBook>
</externalLink>
</file>

<file path=xl/externalLinks/externalLink2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609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J</v>
          </cell>
        </row>
        <row r="6">
          <cell r="B6" t="str">
            <v>23.04.26_x000D_
ВКС с заказчиком от 22.04.26. ОМ: требуется обновить ТКП с учетом цифрового управления и опционально аналоговое управление</v>
          </cell>
        </row>
        <row r="14">
          <cell r="D14">
            <v>0</v>
          </cell>
        </row>
      </sheetData>
      <sheetData sheetId="1" refreshError="1"/>
    </sheetDataSet>
  </externalBook>
</externalLink>
</file>

<file path=xl/externalLinks/externalLink2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607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FBIC</v>
          </cell>
        </row>
        <row r="6">
          <cell r="B6" t="str">
            <v>08.07.26_x000D_
- отправлено 30.06.26</v>
          </cell>
        </row>
        <row r="14">
          <cell r="D14">
            <v>0</v>
          </cell>
        </row>
      </sheetData>
      <sheetData sheetId="1" refreshError="1"/>
    </sheetDataSet>
  </externalBook>
</externalLink>
</file>

<file path=xl/externalLinks/externalLink2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61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13.01.26_x000D_
РСС: отправлен опросник к ТЗ заказчику (09.12.25)/_x000D_
Заказчик корректирует ТЗ</v>
          </cell>
        </row>
        <row r="14">
          <cell r="D14">
            <v>0</v>
          </cell>
        </row>
      </sheetData>
      <sheetData sheetId="1" refreshError="1"/>
    </sheetDataSet>
  </externalBook>
</externalLink>
</file>

<file path=xl/externalLinks/externalLink2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655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BFN</v>
          </cell>
        </row>
        <row r="6">
          <cell r="B6" t="str">
            <v>08.06.26_x000D_
Отправлено 03.06.26</v>
          </cell>
        </row>
        <row r="14">
          <cell r="D14">
            <v>0</v>
          </cell>
        </row>
      </sheetData>
      <sheetData sheetId="1"/>
      <sheetData sheetId="2" refreshError="1"/>
    </sheetDataSet>
  </externalBook>
</externalLink>
</file>

<file path=xl/externalLinks/externalLink2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656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NFBI</v>
          </cell>
        </row>
        <row r="6">
          <cell r="B6" t="str">
            <v>22.04.26_x000D_
21.04.26 - ушло заказчику</v>
          </cell>
        </row>
        <row r="14">
          <cell r="D14">
            <v>0</v>
          </cell>
        </row>
      </sheetData>
      <sheetData sheetId="1"/>
      <sheetData sheetId="2" refreshError="1"/>
    </sheetDataSet>
  </externalBook>
</externalLink>
</file>

<file path=xl/externalLinks/externalLink2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05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FBRJ</v>
          </cell>
        </row>
        <row r="6">
          <cell r="B6" t="str">
            <v>23.03.26_x000D_
- составлен список вопросов и созвон с заказчиком. Направлен был запрос нам для примера, фактически сейчас не актуально.</v>
          </cell>
        </row>
        <row r="14">
          <cell r="D14">
            <v>-1</v>
          </cell>
        </row>
      </sheetData>
      <sheetData sheetId="1"/>
      <sheetData sheetId="2" refreshError="1"/>
    </sheetDataSet>
  </externalBook>
</externalLink>
</file>

<file path=xl/externalLinks/externalLink2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17_26_статус"/>
    </sheetNames>
    <definedNames>
      <definedName name="Результат_число" refersTo="='Лист1'!$D$14"/>
      <definedName name="Статус" refersTo="='Лист1'!$B$6"/>
    </definedNames>
    <sheetDataSet>
      <sheetData sheetId="0">
        <row r="6">
          <cell r="B6" t="str">
            <v>10.08.26_x000D_
Отправлен 11/06/26</v>
          </cell>
        </row>
        <row r="14">
          <cell r="D14">
            <v>0</v>
          </cell>
        </row>
      </sheetData>
      <sheetData sheetId="1"/>
      <sheetData sheetId="2" refreshError="1"/>
    </sheetDataSet>
  </externalBook>
</externalLink>
</file>

<file path=xl/externalLinks/externalLink2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17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S</v>
          </cell>
        </row>
        <row r="6">
          <cell r="B6" t="str">
            <v>10.08.26_x000D_
Отправлен 11/06/26</v>
          </cell>
        </row>
        <row r="14">
          <cell r="D14">
            <v>0</v>
          </cell>
        </row>
      </sheetData>
      <sheetData sheetId="1"/>
      <sheetData sheetId="2" refreshError="1"/>
    </sheetDataSet>
  </externalBook>
</externalLink>
</file>

<file path=xl/externalLinks/externalLink2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630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MFBS</v>
          </cell>
        </row>
        <row r="6">
          <cell r="B6" t="str">
            <v>08.06.26_x000D_
Отправлено 05.06.26</v>
          </cell>
        </row>
        <row r="14">
          <cell r="D14">
            <v>0</v>
          </cell>
        </row>
      </sheetData>
      <sheetData sheetId="1"/>
      <sheetData sheetId="2" refreshError="1"/>
    </sheetDataSet>
  </externalBook>
</externalLink>
</file>

<file path=xl/externalLinks/externalLink2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93_21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ДФМ</v>
          </cell>
        </row>
        <row r="6">
          <cell r="B6"/>
        </row>
        <row r="14">
          <cell r="D14">
            <v>0</v>
          </cell>
        </row>
      </sheetData>
      <sheetData sheetId="1" refreshError="1"/>
    </sheetDataSet>
  </externalBook>
</externalLink>
</file>

<file path=xl/externalLinks/externalLink2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83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08.07.24</v>
          </cell>
        </row>
        <row r="14">
          <cell r="D14">
            <v>0</v>
          </cell>
        </row>
      </sheetData>
      <sheetData sheetId="1" refreshError="1"/>
    </sheetDataSet>
  </externalBook>
</externalLink>
</file>

<file path=xl/externalLinks/externalLink2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18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13.01.26_x000D_
Конкурс после 15.01.26. Предполагается отказ с аргументацией, чтобы несостоялся конкурс и было изменено ТЗ.</v>
          </cell>
        </row>
        <row r="14">
          <cell r="D14">
            <v>0</v>
          </cell>
        </row>
      </sheetData>
      <sheetData sheetId="1" refreshError="1"/>
    </sheetDataSet>
  </externalBook>
</externalLink>
</file>

<file path=xl/externalLinks/externalLink2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19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13.01.26_x000D_
Конкурс после 15.01.26. Предполагается отказ с аргументацией, чтобы несостоялся конкурс и было изменено ТЗ.</v>
          </cell>
        </row>
        <row r="14">
          <cell r="D14">
            <v>0</v>
          </cell>
        </row>
      </sheetData>
      <sheetData sheetId="1" refreshError="1"/>
    </sheetDataSet>
  </externalBook>
</externalLink>
</file>

<file path=xl/externalLinks/externalLink2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29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06.02.26_x000D_
Отказ хотят штучное оборудование Gtlab</v>
          </cell>
        </row>
        <row r="14">
          <cell r="D14">
            <v>-1</v>
          </cell>
        </row>
      </sheetData>
      <sheetData sheetId="1"/>
      <sheetData sheetId="2" refreshError="1"/>
    </sheetDataSet>
  </externalBook>
</externalLink>
</file>

<file path=xl/externalLinks/externalLink2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31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BFIR</v>
          </cell>
        </row>
        <row r="6">
          <cell r="B6" t="str">
            <v>18.02.26_x000D_
Отправлено</v>
          </cell>
        </row>
        <row r="14">
          <cell r="D14">
            <v>0</v>
          </cell>
        </row>
      </sheetData>
      <sheetData sheetId="1"/>
      <sheetData sheetId="2" refreshError="1"/>
    </sheetDataSet>
  </externalBook>
</externalLink>
</file>

<file path=xl/externalLinks/externalLink2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25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S</v>
          </cell>
        </row>
        <row r="6">
          <cell r="B6" t="str">
            <v>17.02.26_x000D_
ОП: требуется оформление ТКП и отпрвка заказчику</v>
          </cell>
        </row>
        <row r="14">
          <cell r="D14">
            <v>0</v>
          </cell>
        </row>
      </sheetData>
      <sheetData sheetId="1"/>
      <sheetData sheetId="2" refreshError="1"/>
    </sheetDataSet>
  </externalBook>
</externalLink>
</file>

<file path=xl/externalLinks/externalLink2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58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L</v>
          </cell>
        </row>
        <row r="6">
          <cell r="B6" t="str">
            <v>17.02.26_x000D_
РСС: Проработано 13.02.26_x000D_
ОП: требуется согласование/ отправка ТКП</v>
          </cell>
        </row>
        <row r="14">
          <cell r="D14">
            <v>0</v>
          </cell>
        </row>
      </sheetData>
      <sheetData sheetId="1"/>
      <sheetData sheetId="2" refreshError="1"/>
    </sheetDataSet>
  </externalBook>
</externalLink>
</file>

<file path=xl/externalLinks/externalLink2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48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10.08.26_x000D_
Отправлен заказчику 21.07.26</v>
          </cell>
        </row>
        <row r="14">
          <cell r="D14">
            <v>0</v>
          </cell>
        </row>
      </sheetData>
      <sheetData sheetId="1"/>
      <sheetData sheetId="2" refreshError="1"/>
    </sheetDataSet>
  </externalBook>
</externalLink>
</file>

<file path=xl/externalLinks/externalLink2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49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10.08.26_x000D_
не добрались. Маленький специфичный заказ</v>
          </cell>
        </row>
        <row r="14">
          <cell r="D14">
            <v>-1</v>
          </cell>
        </row>
      </sheetData>
      <sheetData sheetId="1"/>
      <sheetData sheetId="2" refreshError="1"/>
    </sheetDataSet>
  </externalBook>
</externalLink>
</file>

<file path=xl/externalLinks/externalLink2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50_26_статус"/>
    </sheetNames>
    <definedNames>
      <definedName name="c_Control"/>
      <definedName name="Результат_число" refersTo="='Лист1'!$D$14"/>
      <definedName name="Статус" refersTo="='Лист1'!$B$6"/>
      <definedName name="ТКП_Тематика" refersTo="='Лист1'!$F$3"/>
    </definedNames>
    <sheetDataSet>
      <sheetData sheetId="0">
        <row r="3">
          <cell r="F3"/>
        </row>
        <row r="6">
          <cell r="B6" t="str">
            <v>10.08.26_x000D_
не добрались. Маленький специфичный заказ</v>
          </cell>
        </row>
        <row r="14">
          <cell r="D14">
            <v>-1</v>
          </cell>
        </row>
      </sheetData>
      <sheetData sheetId="1"/>
      <sheetData sheetId="2" refreshError="1"/>
    </sheetDataSet>
  </externalBook>
</externalLink>
</file>

<file path=xl/externalLinks/externalLink27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19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10.08.26_x000D_
Отправлено. Требуется созвон/организация встречи</v>
          </cell>
        </row>
        <row r="14">
          <cell r="D14">
            <v>1</v>
          </cell>
        </row>
      </sheetData>
      <sheetData sheetId="1"/>
      <sheetData sheetId="2" refreshError="1"/>
    </sheetDataSet>
  </externalBook>
</externalLink>
</file>

<file path=xl/externalLinks/externalLink27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51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BJR</v>
          </cell>
        </row>
        <row r="6">
          <cell r="B6" t="str">
            <v>08.06.26_x000D_
Судьба проекта будет прояснена осенью. Вопросы отправлены, заказчик в раздумьях делать или нет</v>
          </cell>
        </row>
        <row r="14">
          <cell r="D14">
            <v>1</v>
          </cell>
        </row>
      </sheetData>
      <sheetData sheetId="1"/>
      <sheetData sheetId="2" refreshError="1"/>
    </sheetDataSet>
  </externalBook>
</externalLink>
</file>

<file path=xl/externalLinks/externalLink28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44_26_статус"/>
    </sheetNames>
    <definedNames>
      <definedName name="Статус" refersTo="='Лист1'!$B$6"/>
      <definedName name="ТКП_Тематика" refersTo="='Лист1'!$F$3"/>
    </definedNames>
    <sheetDataSet>
      <sheetData sheetId="0">
        <row r="3">
          <cell r="F3" t="str">
            <v>I</v>
          </cell>
        </row>
        <row r="6">
          <cell r="B6" t="str">
            <v>10.08.26_x000D_
Требуется отправка с  нашими формулировками</v>
          </cell>
        </row>
      </sheetData>
      <sheetData sheetId="1"/>
      <sheetData sheetId="2" refreshError="1"/>
    </sheetDataSet>
  </externalBook>
</externalLink>
</file>

<file path=xl/externalLinks/externalLink28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44_26_статус"/>
    </sheetNames>
    <definedNames>
      <definedName name="Результат_число" refersTo="='Лист1'!$D$14"/>
    </definedNames>
    <sheetDataSet>
      <sheetData sheetId="0">
        <row r="14">
          <cell r="D14">
            <v>-1</v>
          </cell>
        </row>
      </sheetData>
      <sheetData sheetId="1"/>
      <sheetData sheetId="2" refreshError="1"/>
    </sheetDataSet>
  </externalBook>
</externalLink>
</file>

<file path=xl/externalLinks/externalLink28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45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v>
          </cell>
        </row>
        <row r="6">
          <cell r="B6" t="str">
            <v>06.04.26
Коррекция ТЗ от РСС и новая специя/ сравнение состава в ТЗ и специи - до 03.04.26
Схема готова, ТКП направлено в УМП для расчётов
09.04.2026</v>
          </cell>
        </row>
        <row r="14">
          <cell r="D14">
            <v>0</v>
          </cell>
        </row>
      </sheetData>
      <sheetData sheetId="1"/>
      <sheetData sheetId="2" refreshError="1"/>
    </sheetDataSet>
  </externalBook>
</externalLink>
</file>

<file path=xl/externalLinks/externalLink28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76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05.02.26_x000D_
888</v>
          </cell>
        </row>
        <row r="14">
          <cell r="D14">
            <v>-1</v>
          </cell>
        </row>
      </sheetData>
      <sheetData sheetId="1"/>
      <sheetData sheetId="2" refreshError="1"/>
    </sheetDataSet>
  </externalBook>
</externalLink>
</file>

<file path=xl/externalLinks/externalLink28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12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DFI</v>
          </cell>
        </row>
        <row r="6">
          <cell r="B6" t="str">
            <v>23.03.26_x000D_
отправлено</v>
          </cell>
        </row>
        <row r="14">
          <cell r="D14">
            <v>0</v>
          </cell>
        </row>
      </sheetData>
      <sheetData sheetId="1"/>
      <sheetData sheetId="2" refreshError="1"/>
    </sheetDataSet>
  </externalBook>
</externalLink>
</file>

<file path=xl/externalLinks/externalLink28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621_25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FK</v>
          </cell>
        </row>
        <row r="6">
          <cell r="B6" t="str">
            <v>12.03.26_x000D_
Требуется пересчет по новому ТЗ (запрос от 03.03.26)_x000D_
Проработано: 10.03.26</v>
          </cell>
        </row>
        <row r="14">
          <cell r="D14">
            <v>0</v>
          </cell>
        </row>
      </sheetData>
      <sheetData sheetId="1"/>
      <sheetData sheetId="2" refreshError="1"/>
    </sheetDataSet>
  </externalBook>
</externalLink>
</file>

<file path=xl/externalLinks/externalLink28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46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05.02.26_x000D_
888</v>
          </cell>
        </row>
        <row r="14">
          <cell r="D14">
            <v>-1</v>
          </cell>
        </row>
      </sheetData>
      <sheetData sheetId="1"/>
      <sheetData sheetId="2" refreshError="1"/>
    </sheetDataSet>
  </externalBook>
</externalLink>
</file>

<file path=xl/externalLinks/externalLink28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30_26_статус"/>
    </sheetNames>
    <definedNames>
      <definedName name="Статус" refersTo="='Лист1'!$B$6"/>
      <definedName name="ТКП_Тематика" refersTo="='Лист1'!$F$3"/>
    </definedNames>
    <sheetDataSet>
      <sheetData sheetId="0">
        <row r="3">
          <cell r="F3"/>
        </row>
        <row r="6">
          <cell r="B6" t="str">
            <v>08.06.26_x000D_
Никий приоритет. Проработка до 20.06.26</v>
          </cell>
        </row>
      </sheetData>
      <sheetData sheetId="1"/>
      <sheetData sheetId="2" refreshError="1"/>
    </sheetDataSet>
  </externalBook>
</externalLink>
</file>

<file path=xl/externalLinks/externalLink28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30_26_статус"/>
    </sheetNames>
    <definedNames>
      <definedName name="Результат_число" refersTo="='Лист1'!$D$14"/>
    </definedNames>
    <sheetDataSet>
      <sheetData sheetId="0">
        <row r="14">
          <cell r="D14">
            <v>0</v>
          </cell>
        </row>
      </sheetData>
      <sheetData sheetId="1"/>
      <sheetData sheetId="2" refreshError="1"/>
    </sheetDataSet>
  </externalBook>
</externalLink>
</file>

<file path=xl/externalLinks/externalLink28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92_26_статус"/>
    </sheetNames>
    <definedNames>
      <definedName name="Статус" refersTo="='Лист1'!$B$6"/>
      <definedName name="ТКП_Тематика" refersTo="='Лист1'!$F$3"/>
    </definedNames>
    <sheetDataSet>
      <sheetData sheetId="0">
        <row r="3">
          <cell r="F3"/>
        </row>
        <row r="6">
          <cell r="B6" t="str">
            <v>06.04.2026
Заказчику направлдены вопросы 24.03.2026, ответа не поступило. На звонки также нет ответа</v>
          </cell>
        </row>
      </sheetData>
      <sheetData sheetId="1"/>
      <sheetData sheetId="2" refreshError="1"/>
    </sheetDataSet>
  </externalBook>
</externalLink>
</file>

<file path=xl/externalLinks/externalLink29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15_26_статус"/>
    </sheetNames>
    <definedNames>
      <definedName name="Результат_число" refersTo="='Лист1'!$D$14"/>
      <definedName name="Статус" refersTo="='Лист1'!$B$6"/>
    </definedNames>
    <sheetDataSet>
      <sheetData sheetId="0">
        <row r="6">
          <cell r="B6" t="str">
            <v>10.08.26_x000D_
Отправлено. Требуется созвон</v>
          </cell>
        </row>
        <row r="14">
          <cell r="D14">
            <v>0</v>
          </cell>
        </row>
      </sheetData>
      <sheetData sheetId="1"/>
      <sheetData sheetId="2" refreshError="1"/>
    </sheetDataSet>
  </externalBook>
</externalLink>
</file>

<file path=xl/externalLinks/externalLink29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15_26_статус"/>
    </sheetNames>
    <definedNames>
      <definedName name="ТКП_Тематика" refersTo="='Лист1'!$F$3"/>
    </definedNames>
    <sheetDataSet>
      <sheetData sheetId="0">
        <row r="3">
          <cell r="F3" t="str">
            <v>BF</v>
          </cell>
        </row>
      </sheetData>
      <sheetData sheetId="1"/>
      <sheetData sheetId="2" refreshError="1"/>
    </sheetDataSet>
  </externalBook>
</externalLink>
</file>

<file path=xl/externalLinks/externalLink29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11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23.03.26_x000D_
отправлено 20.03.26</v>
          </cell>
        </row>
        <row r="14">
          <cell r="D14">
            <v>0</v>
          </cell>
        </row>
      </sheetData>
      <sheetData sheetId="1" refreshError="1"/>
      <sheetData sheetId="2" refreshError="1"/>
    </sheetDataSet>
  </externalBook>
</externalLink>
</file>

<file path=xl/externalLinks/externalLink29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37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10.08.26_x000D_
Отправлено 21.04.26</v>
          </cell>
        </row>
        <row r="14">
          <cell r="D14">
            <v>0</v>
          </cell>
        </row>
      </sheetData>
      <sheetData sheetId="1"/>
      <sheetData sheetId="2" refreshError="1"/>
    </sheetDataSet>
  </externalBook>
</externalLink>
</file>

<file path=xl/externalLinks/externalLink29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18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10.08.26_x000D_
888</v>
          </cell>
        </row>
        <row r="14">
          <cell r="D14">
            <v>1</v>
          </cell>
        </row>
      </sheetData>
      <sheetData sheetId="1"/>
      <sheetData sheetId="2" refreshError="1"/>
    </sheetDataSet>
  </externalBook>
</externalLink>
</file>

<file path=xl/externalLinks/externalLink29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57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 xml:space="preserve">08.06.26_x000D_
У заказчика определен подрядчик
не актуально </v>
          </cell>
        </row>
        <row r="14">
          <cell r="D14">
            <v>-1</v>
          </cell>
        </row>
      </sheetData>
      <sheetData sheetId="1"/>
      <sheetData sheetId="2" refreshError="1"/>
    </sheetDataSet>
  </externalBook>
</externalLink>
</file>

<file path=xl/externalLinks/externalLink29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61_26_статус"/>
    </sheetNames>
    <definedNames>
      <definedName name="Результат_число" refersTo="='Лист1'!$D$14"/>
      <definedName name="Статус" refersTo="='Лист1'!$B$6"/>
      <definedName name="ТКП_Тематика" refersTo="='Лист1'!$F$3"/>
    </definedNames>
    <sheetDataSet>
      <sheetData sheetId="0">
        <row r="3">
          <cell r="F3">
            <v>0</v>
          </cell>
        </row>
        <row r="6">
          <cell r="B6" t="str">
            <v>05.02.26_x000D_
888</v>
          </cell>
        </row>
        <row r="14">
          <cell r="D14">
            <v>-1</v>
          </cell>
        </row>
      </sheetData>
      <sheetData sheetId="1"/>
      <sheetData sheetId="2" refreshError="1"/>
    </sheetDataSet>
  </externalBook>
</externalLink>
</file>

<file path=xl/externalLinks/externalLink29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46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09.04.26
Схема готова, проработана, ТКП просчитано, требуется согласование.
09.07.2026.
По условиям заказчика необходимо поставить одну позицию, поэтому будет разрабатываться БЛИЖ.401203.100.336        Комплекс измерительный на базе ИВК MIC-170 и модулей MIC-M. УМП направили письмо ООО №598 от 02.07.2026</v>
          </cell>
        </row>
        <row r="14">
          <cell r="D14">
            <v>0</v>
          </cell>
        </row>
      </sheetData>
      <sheetData sheetId="1"/>
      <sheetData sheetId="2" refreshError="1"/>
    </sheetDataSet>
  </externalBook>
</externalLink>
</file>

<file path=xl/externalLinks/externalLink29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78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N</v>
          </cell>
        </row>
        <row r="6">
          <cell r="B6" t="str">
            <v>22.04.26_x000D_
22.04.26 отправели вопросы по почте + звонок сказали пристрелочное КП</v>
          </cell>
        </row>
        <row r="14">
          <cell r="D14">
            <v>0</v>
          </cell>
        </row>
      </sheetData>
      <sheetData sheetId="1"/>
      <sheetData sheetId="2" refreshError="1"/>
    </sheetDataSet>
  </externalBook>
</externalLink>
</file>

<file path=xl/externalLinks/externalLink29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85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v>
          </cell>
        </row>
        <row r="6">
          <cell r="B6" t="str">
            <v>10.08.26_x000D_
Отправлено 10.07.26</v>
          </cell>
        </row>
        <row r="14">
          <cell r="D14">
            <v>0</v>
          </cell>
        </row>
      </sheetData>
      <sheetData sheetId="1"/>
      <sheetData sheetId="2" refreshError="1"/>
    </sheetDataSet>
  </externalBook>
</externalLink>
</file>

<file path=xl/externalLinks/externalLink30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62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05.02.26_x000D_
888</v>
          </cell>
        </row>
        <row r="14">
          <cell r="D14">
            <v>-1</v>
          </cell>
        </row>
      </sheetData>
      <sheetData sheetId="1"/>
      <sheetData sheetId="2" refreshError="1"/>
    </sheetDataSet>
  </externalBook>
</externalLink>
</file>

<file path=xl/externalLinks/externalLink30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167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05.02.26_x000D_
888</v>
          </cell>
        </row>
        <row r="14">
          <cell r="D14">
            <v>0</v>
          </cell>
        </row>
      </sheetData>
      <sheetData sheetId="1"/>
      <sheetData sheetId="2" refreshError="1"/>
    </sheetDataSet>
  </externalBook>
</externalLink>
</file>

<file path=xl/externalLinks/externalLink30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90_26_статус"/>
    </sheetNames>
    <definedNames>
      <definedName name="c_Control"/>
      <definedName name="Результат_число" refersTo="='Лист1'!$D$14"/>
      <definedName name="Статус" refersTo="='Лист1'!$B$6"/>
      <definedName name="ТКП_Тематика" refersTo="='Лист1'!$F$3"/>
    </definedNames>
    <sheetDataSet>
      <sheetData sheetId="0">
        <row r="3">
          <cell r="F3" t="str">
            <v>BEFJM</v>
          </cell>
        </row>
        <row r="6">
          <cell r="B6" t="str">
            <v>10.08.26_x000D_
отправлено 10.07.26</v>
          </cell>
        </row>
        <row r="14">
          <cell r="D14">
            <v>0</v>
          </cell>
        </row>
      </sheetData>
      <sheetData sheetId="1" refreshError="1"/>
    </sheetDataSet>
  </externalBook>
</externalLink>
</file>

<file path=xl/externalLinks/externalLink30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03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26.06.26_x000D_
Требуется подготовить и согласовать версию ТКП для НИЦ РКП.</v>
          </cell>
        </row>
        <row r="14">
          <cell r="D14">
            <v>0</v>
          </cell>
        </row>
      </sheetData>
      <sheetData sheetId="1"/>
      <sheetData sheetId="2" refreshError="1"/>
    </sheetDataSet>
  </externalBook>
</externalLink>
</file>

<file path=xl/externalLinks/externalLink30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00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08.06.26_x000D_
Отправлено - конец мая</v>
          </cell>
        </row>
        <row r="14">
          <cell r="D14">
            <v>0</v>
          </cell>
        </row>
      </sheetData>
      <sheetData sheetId="1"/>
      <sheetData sheetId="2" refreshError="1"/>
    </sheetDataSet>
  </externalBook>
</externalLink>
</file>

<file path=xl/externalLinks/externalLink30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09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RF</v>
          </cell>
        </row>
        <row r="6">
          <cell r="B6" t="str">
            <v>08.06.26_x000D_
Согласовано в РСС_x000D_
ОП: требуется согласование и отправка</v>
          </cell>
        </row>
        <row r="14">
          <cell r="D14">
            <v>1</v>
          </cell>
        </row>
      </sheetData>
      <sheetData sheetId="1" refreshError="1"/>
      <sheetData sheetId="2" refreshError="1"/>
    </sheetDataSet>
  </externalBook>
</externalLink>
</file>

<file path=xl/externalLinks/externalLink30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12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FR</v>
          </cell>
        </row>
        <row r="6">
          <cell r="B6" t="str">
            <v>10.08.26_x000D_
Отправлено 19.06.26</v>
          </cell>
        </row>
        <row r="14">
          <cell r="D14">
            <v>0</v>
          </cell>
        </row>
      </sheetData>
      <sheetData sheetId="1"/>
      <sheetData sheetId="2" refreshError="1"/>
    </sheetDataSet>
  </externalBook>
</externalLink>
</file>

<file path=xl/externalLinks/externalLink30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15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BI</v>
          </cell>
        </row>
        <row r="6">
          <cell r="B6" t="str">
            <v>08.06.26_x000D_
Отправлено 22.05.26</v>
          </cell>
        </row>
        <row r="14">
          <cell r="D14">
            <v>0</v>
          </cell>
        </row>
      </sheetData>
      <sheetData sheetId="1"/>
      <sheetData sheetId="2" refreshError="1"/>
    </sheetDataSet>
  </externalBook>
</externalLink>
</file>

<file path=xl/externalLinks/externalLink30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31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BS</v>
          </cell>
        </row>
        <row r="6">
          <cell r="B6" t="str">
            <v>08.07.26_x000D_
нет связи с заказчиком, 26.06.26 направлено письмо с просьбой назначить ответственного и выдать контакты</v>
          </cell>
        </row>
        <row r="14">
          <cell r="D14">
            <v>1</v>
          </cell>
        </row>
      </sheetData>
      <sheetData sheetId="1"/>
      <sheetData sheetId="2" refreshError="1"/>
    </sheetDataSet>
  </externalBook>
</externalLink>
</file>

<file path=xl/externalLinks/externalLink30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39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01.06.26_x000D_
Неактуально, заказчик не отвечает по email, других контактов нет</v>
          </cell>
        </row>
        <row r="14">
          <cell r="D14">
            <v>-1</v>
          </cell>
        </row>
      </sheetData>
      <sheetData sheetId="1"/>
      <sheetData sheetId="2" refreshError="1"/>
    </sheetDataSet>
  </externalBook>
</externalLink>
</file>

<file path=xl/externalLinks/externalLink3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34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D</v>
          </cell>
        </row>
        <row r="6">
          <cell r="B6" t="str">
            <v>08.06.26_x000D_
отправлено 02.06.26</v>
          </cell>
        </row>
        <row r="14">
          <cell r="D14">
            <v>0</v>
          </cell>
        </row>
      </sheetData>
      <sheetData sheetId="1"/>
      <sheetData sheetId="2" refreshError="1"/>
    </sheetDataSet>
  </externalBook>
</externalLink>
</file>

<file path=xl/externalLinks/externalLink3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62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05.02.26_x000D_
888</v>
          </cell>
        </row>
        <row r="14">
          <cell r="D14">
            <v>0</v>
          </cell>
        </row>
      </sheetData>
      <sheetData sheetId="1" refreshError="1"/>
      <sheetData sheetId="2" refreshError="1"/>
    </sheetDataSet>
  </externalBook>
</externalLink>
</file>

<file path=xl/externalLinks/externalLink3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055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IF</v>
          </cell>
        </row>
        <row r="6">
          <cell r="B6" t="str">
            <v>05.08.26_x000D_
От заказчика ожидается новое ТЗ после чего надо будет обновить ТКП</v>
          </cell>
        </row>
        <row r="14">
          <cell r="D14">
            <v>1</v>
          </cell>
        </row>
      </sheetData>
      <sheetData sheetId="1"/>
      <sheetData sheetId="2" refreshError="1"/>
    </sheetDataSet>
  </externalBook>
</externalLink>
</file>

<file path=xl/externalLinks/externalLink3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85_26_статус"/>
    </sheetNames>
    <definedNames>
      <definedName name="Статус" refersTo="='Лист1'!$B$6"/>
      <definedName name="ТКП_Тематика" refersTo="='Лист1'!$F$3"/>
    </definedNames>
    <sheetDataSet>
      <sheetData sheetId="0">
        <row r="3">
          <cell r="F3"/>
        </row>
        <row r="6">
          <cell r="B6" t="str">
            <v>05.02.26_x000D_
888</v>
          </cell>
        </row>
      </sheetData>
      <sheetData sheetId="1"/>
      <sheetData sheetId="2" refreshError="1"/>
    </sheetDataSet>
  </externalBook>
</externalLink>
</file>

<file path=xl/externalLinks/externalLink3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72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05.08.26_x000D_
Комплексное ТКП на всю систему по ДФМ для ГТ65</v>
          </cell>
        </row>
        <row r="14">
          <cell r="D14">
            <v>1</v>
          </cell>
        </row>
      </sheetData>
      <sheetData sheetId="1"/>
      <sheetData sheetId="2" refreshError="1"/>
    </sheetDataSet>
  </externalBook>
</externalLink>
</file>

<file path=xl/externalLinks/externalLink3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611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05.02.26_x000D_
888</v>
          </cell>
        </row>
        <row r="14">
          <cell r="D14">
            <v>0</v>
          </cell>
        </row>
      </sheetData>
      <sheetData sheetId="1"/>
      <sheetData sheetId="2" refreshError="1"/>
    </sheetDataSet>
  </externalBook>
</externalLink>
</file>

<file path=xl/externalLinks/externalLink3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610_25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05.02.26_x000D_
888</v>
          </cell>
        </row>
        <row r="14">
          <cell r="D14">
            <v>0</v>
          </cell>
        </row>
      </sheetData>
      <sheetData sheetId="1"/>
      <sheetData sheetId="2" refreshError="1"/>
    </sheetDataSet>
  </externalBook>
</externalLink>
</file>

<file path=xl/externalLinks/externalLink3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84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23.07.26_x000D_
01.07.26 - направлены вопросы заказчику</v>
          </cell>
        </row>
        <row r="14">
          <cell r="D14">
            <v>-1</v>
          </cell>
        </row>
      </sheetData>
      <sheetData sheetId="1"/>
      <sheetData sheetId="2" refreshError="1"/>
    </sheetDataSet>
  </externalBook>
</externalLink>
</file>

<file path=xl/externalLinks/externalLink3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38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v>1</v>
          </cell>
        </row>
        <row r="3">
          <cell r="F3" t="str">
            <v>FR</v>
          </cell>
        </row>
        <row r="6">
          <cell r="B6" t="str">
            <v>05.08.26_x000D_
В проработке РСС до 07.08.26_x000D_
(старые ТКП 037_25, 329_24, 048_23). Заказчмк просит повторить как можно быстрее</v>
          </cell>
        </row>
        <row r="14">
          <cell r="D14">
            <v>0</v>
          </cell>
        </row>
      </sheetData>
      <sheetData sheetId="1"/>
      <sheetData sheetId="2" refreshError="1"/>
    </sheetDataSet>
  </externalBook>
</externalLink>
</file>

<file path=xl/externalLinks/externalLink3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11_26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J</v>
          </cell>
        </row>
        <row r="6">
          <cell r="B6" t="str">
            <v>15.09.26_x000D_
Запрос на ТКП от 04.08.26_x000D_
02.09.2026 Организован выезд и сбор исходных данных, проект протокола направлен заказчику. Требуется внутренее совещание для определения порядка работы данным проектом (концепт проект и т.д.)</v>
          </cell>
        </row>
        <row r="14">
          <cell r="D14">
            <v>1</v>
          </cell>
        </row>
      </sheetData>
      <sheetData sheetId="1"/>
      <sheetData sheetId="2" refreshError="1"/>
    </sheetDataSet>
  </externalBook>
</externalLink>
</file>

<file path=xl/externalLinks/externalLink3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20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23.07.26_x000D_
нас запросили для альтернативки</v>
          </cell>
        </row>
        <row r="14">
          <cell r="D14">
            <v>-1</v>
          </cell>
        </row>
      </sheetData>
      <sheetData sheetId="1"/>
      <sheetData sheetId="2" refreshError="1"/>
    </sheetDataSet>
  </externalBook>
</externalLink>
</file>

<file path=xl/externalLinks/externalLink3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31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row>
        <row r="3">
          <cell r="F3"/>
        </row>
        <row r="6">
          <cell r="B6" t="str">
            <v>05.02.26_x000D_
888</v>
          </cell>
        </row>
        <row r="14">
          <cell r="D14">
            <v>1</v>
          </cell>
        </row>
      </sheetData>
      <sheetData sheetId="1"/>
      <sheetData sheetId="2" refreshError="1"/>
    </sheetDataSet>
  </externalBook>
</externalLink>
</file>

<file path=xl/externalLinks/externalLink3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65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15.09.26_x000D_
Делаем ТКП до 21.09.26 (ориентировочно 20-22 млн)</v>
          </cell>
        </row>
        <row r="14">
          <cell r="D14">
            <v>1</v>
          </cell>
        </row>
      </sheetData>
      <sheetData sheetId="1"/>
      <sheetData sheetId="2" refreshError="1"/>
    </sheetDataSet>
  </externalBook>
</externalLink>
</file>

<file path=xl/externalLinks/externalLink3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42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v>1</v>
          </cell>
        </row>
        <row r="3">
          <cell r="F3" t="str">
            <v>O</v>
          </cell>
        </row>
        <row r="6">
          <cell r="B6" t="str">
            <v>10.08.26_x000D_
10/08/26 - заказчику отправлен состав без денег для согласования</v>
          </cell>
        </row>
        <row r="14">
          <cell r="D14">
            <v>1</v>
          </cell>
        </row>
      </sheetData>
      <sheetData sheetId="1"/>
      <sheetData sheetId="2" refreshError="1"/>
    </sheetDataSet>
  </externalBook>
</externalLink>
</file>

<file path=xl/externalLinks/externalLink3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232_26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08.07.26_x000D_
см. Nrg 231_26</v>
          </cell>
        </row>
        <row r="14">
          <cell r="D14">
            <v>-1</v>
          </cell>
        </row>
      </sheetData>
      <sheetData sheetId="1"/>
      <sheetData sheetId="2" refreshError="1"/>
    </sheetDataSet>
  </externalBook>
</externalLink>
</file>

<file path=xl/externalLinks/externalLink3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47_26_статус"/>
    </sheetNames>
    <definedNames>
      <definedName name="c_Control" refersTo="='Лист1'!$J$1"/>
      <definedName name="Результат_число" refersTo="='Лист1'!$D$14"/>
      <definedName name="ТКП_Тематика" refersTo="='Лист1'!$F$3"/>
    </definedNames>
    <sheetDataSet>
      <sheetData sheetId="0">
        <row r="1">
          <cell r="J1">
            <v>1</v>
          </cell>
        </row>
        <row r="3">
          <cell r="F3">
            <v>0</v>
          </cell>
        </row>
        <row r="14">
          <cell r="D14">
            <v>1</v>
          </cell>
        </row>
      </sheetData>
      <sheetData sheetId="1"/>
      <sheetData sheetId="2" refreshError="1"/>
    </sheetDataSet>
  </externalBook>
</externalLink>
</file>

<file path=xl/externalLinks/externalLink3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47_26_статус"/>
    </sheetNames>
    <definedNames>
      <definedName name="Статус" refersTo="='Лист1'!$B$6"/>
    </definedNames>
    <sheetDataSet>
      <sheetData sheetId="0">
        <row r="6">
          <cell r="B6" t="str">
            <v>16.09.26_x000D_
Проработка до 25.09.26</v>
          </cell>
        </row>
      </sheetData>
      <sheetData sheetId="1"/>
      <sheetData sheetId="2" refreshError="1"/>
    </sheetDataSet>
  </externalBook>
</externalLink>
</file>

<file path=xl/externalLinks/externalLink3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50_26_статус"/>
    </sheetNames>
    <definedNames>
      <definedName name="c_Control" refersTo="='Лист1'!$J$1"/>
      <definedName name="Статус" refersTo="='Лист1'!$B$6"/>
      <definedName name="ТКП_Тематика" refersTo="='Лист1'!$F$3"/>
    </definedNames>
    <sheetDataSet>
      <sheetData sheetId="0">
        <row r="1">
          <cell r="J1">
            <v>1</v>
          </cell>
        </row>
        <row r="6">
          <cell r="B6" t="str">
            <v>10.08.26_x000D_
в каталоге лежитт ТЗ от НИКИЭТ. Ошибка?</v>
          </cell>
        </row>
      </sheetData>
      <sheetData sheetId="1" refreshError="1"/>
      <sheetData sheetId="2" refreshError="1"/>
    </sheetDataSet>
  </externalBook>
</externalLink>
</file>

<file path=xl/externalLinks/externalLink3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59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v>1</v>
          </cell>
        </row>
        <row r="3">
          <cell r="F3"/>
        </row>
        <row r="6">
          <cell r="B6" t="str">
            <v>16.09.26_x000D_
отправлено?</v>
          </cell>
        </row>
        <row r="14">
          <cell r="D14">
            <v>1</v>
          </cell>
        </row>
      </sheetData>
      <sheetData sheetId="1"/>
      <sheetData sheetId="2" refreshError="1"/>
    </sheetDataSet>
  </externalBook>
</externalLink>
</file>

<file path=xl/externalLinks/externalLink3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56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v>1</v>
          </cell>
        </row>
        <row r="3">
          <cell r="F3"/>
        </row>
        <row r="6">
          <cell r="B6" t="str">
            <v>04.09.26_x000D_
Встреча с заказчиком от 02.09.26 (Коленько, Потолочин МП, Потолочин ИМ). Согласно протоколу требуется от заказчика - доработка ТЗ;_x000D_
большой обьем исходных данных;_x000D_
проработка согласно ТКП на проект или концепт проект;(старт после подписания протокола)</v>
          </cell>
        </row>
        <row r="14">
          <cell r="D14">
            <v>1</v>
          </cell>
        </row>
      </sheetData>
      <sheetData sheetId="1"/>
      <sheetData sheetId="2" refreshError="1"/>
    </sheetDataSet>
  </externalBook>
</externalLink>
</file>

<file path=xl/externalLinks/externalLink3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84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row>
        <row r="3">
          <cell r="F3"/>
        </row>
        <row r="6">
          <cell r="B6" t="str">
            <v xml:space="preserve">01.09.26_x000D_
В ТЗ вписан срок 6 </v>
          </cell>
        </row>
        <row r="14">
          <cell r="D14">
            <v>0</v>
          </cell>
        </row>
      </sheetData>
      <sheetData sheetId="1"/>
      <sheetData sheetId="2" refreshError="1"/>
    </sheetDataSet>
  </externalBook>
</externalLink>
</file>

<file path=xl/externalLinks/externalLink3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401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row>
        <row r="3">
          <cell r="F3" t="str">
            <v>FI</v>
          </cell>
        </row>
        <row r="6">
          <cell r="B6" t="str">
            <v>16.09.26_x000D_
Проработка до 18.09.26</v>
          </cell>
        </row>
        <row r="14">
          <cell r="D14">
            <v>1</v>
          </cell>
        </row>
      </sheetData>
      <sheetData sheetId="1"/>
      <sheetData sheetId="2" refreshError="1"/>
    </sheetDataSet>
  </externalBook>
</externalLink>
</file>

<file path=xl/externalLinks/externalLink3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402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row>
        <row r="3">
          <cell r="F3"/>
        </row>
        <row r="6">
          <cell r="B6" t="str">
            <v>15.09.26_x000D_
Подготовлена схема. Требуется оформление ТКП</v>
          </cell>
        </row>
        <row r="14">
          <cell r="D14">
            <v>1</v>
          </cell>
        </row>
      </sheetData>
      <sheetData sheetId="1"/>
      <sheetData sheetId="2" refreshError="1"/>
    </sheetDataSet>
  </externalBook>
</externalLink>
</file>

<file path=xl/externalLinks/externalLink3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405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row>
        <row r="3">
          <cell r="F3"/>
        </row>
        <row r="6">
          <cell r="B6" t="str">
            <v>15.09.26_x000D_
Проработка до 18.09.26 (Грязнев)</v>
          </cell>
        </row>
        <row r="14">
          <cell r="D14">
            <v>1</v>
          </cell>
        </row>
      </sheetData>
      <sheetData sheetId="1"/>
      <sheetData sheetId="2" refreshError="1"/>
    </sheetDataSet>
  </externalBook>
</externalLink>
</file>

<file path=xl/externalLinks/externalLink3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373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v>1</v>
          </cell>
        </row>
        <row r="3">
          <cell r="F3" t="str">
            <v>L</v>
          </cell>
        </row>
        <row r="6">
          <cell r="B6" t="str">
            <v>15.09.26_x000D_
отправлено?</v>
          </cell>
        </row>
        <row r="14">
          <cell r="D14">
            <v>1</v>
          </cell>
        </row>
      </sheetData>
      <sheetData sheetId="1"/>
      <sheetData sheetId="2" refreshError="1"/>
    </sheetDataSet>
  </externalBook>
</externalLink>
</file>

<file path=xl/externalLinks/externalLink3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415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v>1</v>
          </cell>
        </row>
        <row r="3">
          <cell r="F3"/>
        </row>
        <row r="6">
          <cell r="B6" t="str">
            <v>15.09.26_x000D_
Вопросы направлены заказчику 08.09.2026, по результатам звонка 15.09.2026 вопросы переданы техническим специалистам в работу. Ожидаем ответ</v>
          </cell>
        </row>
        <row r="14">
          <cell r="D14">
            <v>1</v>
          </cell>
        </row>
      </sheetData>
      <sheetData sheetId="1"/>
      <sheetData sheetId="2" refreshError="1"/>
    </sheetDataSet>
  </externalBook>
</externalLink>
</file>

<file path=xl/externalLinks/externalLink3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417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v>1</v>
          </cell>
        </row>
        <row r="3">
          <cell r="F3"/>
        </row>
        <row r="6">
          <cell r="B6" t="str">
            <v>16.09.26_x000D_
Схема подготовлена, требуется оформление ТКП</v>
          </cell>
        </row>
        <row r="14">
          <cell r="D14">
            <v>1</v>
          </cell>
        </row>
      </sheetData>
      <sheetData sheetId="1"/>
      <sheetData sheetId="2" refreshError="1"/>
    </sheetDataSet>
  </externalBook>
</externalLink>
</file>

<file path=xl/externalLinks/externalLink3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427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row>
        <row r="3">
          <cell r="F3"/>
        </row>
        <row r="6">
          <cell r="B6" t="str">
            <v>16.09.26_x000D_
Проработана, требуется подготовка/согласование ТКП</v>
          </cell>
        </row>
        <row r="14">
          <cell r="D14">
            <v>1</v>
          </cell>
        </row>
      </sheetData>
      <sheetData sheetId="1"/>
      <sheetData sheetId="2" refreshError="1"/>
    </sheetDataSet>
  </externalBook>
</externalLink>
</file>

<file path=xl/externalLinks/externalLink3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433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row>
        <row r="3">
          <cell r="F3"/>
        </row>
        <row r="6">
          <cell r="B6" t="str">
            <v>15.09.26_x000D_
Список вопросов до 19.09.26</v>
          </cell>
        </row>
        <row r="14">
          <cell r="D14">
            <v>1</v>
          </cell>
        </row>
      </sheetData>
      <sheetData sheetId="1"/>
      <sheetData sheetId="2" refreshError="1"/>
    </sheetDataSet>
  </externalBook>
</externalLink>
</file>

<file path=xl/externalLinks/externalLink3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434_26_статус"/>
    </sheetNames>
    <definedNames>
      <definedName name="c_Control" refersTo="='Лист1'!$J$1"/>
      <definedName name="Результат_число" refersTo="='Лист1'!$D$14"/>
      <definedName name="Статус" refersTo="='Лист1'!$B$6"/>
      <definedName name="ТКП_Тематика" refersTo="='Лист1'!$F$3"/>
    </definedNames>
    <sheetDataSet>
      <sheetData sheetId="0">
        <row r="1">
          <cell r="J1"/>
        </row>
        <row r="3">
          <cell r="F3"/>
        </row>
        <row r="6">
          <cell r="B6" t="str">
            <v>15.09.26_x000D_
список вопросов до 18.09.26</v>
          </cell>
        </row>
        <row r="14">
          <cell r="D14">
            <v>1</v>
          </cell>
        </row>
      </sheetData>
      <sheetData sheetId="1"/>
      <sheetData sheetId="2" refreshError="1"/>
    </sheetDataSet>
  </externalBook>
</externalLink>
</file>

<file path=xl/externalLinks/externalLink3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93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23.07.24_x000D_
ОМ: получить исходные данные по протоколу взаимодействия БЩУ и комплекс ДФМ</v>
          </cell>
        </row>
        <row r="14">
          <cell r="D14">
            <v>0</v>
          </cell>
        </row>
      </sheetData>
      <sheetData sheetId="1" refreshError="1"/>
    </sheetDataSet>
  </externalBook>
</externalLink>
</file>

<file path=xl/externalLinks/externalLink3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89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23.07.24_x000D_
ОМ: Запрос исходных данных (на что делаем ТКП) до?</v>
          </cell>
        </row>
        <row r="14">
          <cell r="D14">
            <v>0</v>
          </cell>
        </row>
      </sheetData>
      <sheetData sheetId="1" refreshError="1"/>
    </sheetDataSet>
  </externalBook>
</externalLink>
</file>

<file path=xl/externalLinks/externalLink3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79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row>
        <row r="14">
          <cell r="D14">
            <v>0</v>
          </cell>
        </row>
      </sheetData>
      <sheetData sheetId="1" refreshError="1"/>
    </sheetDataSet>
  </externalBook>
</externalLink>
</file>

<file path=xl/externalLinks/externalLink3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435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15.12.23_x000D_
ОМ: требуется согласование и отправка ТКП</v>
          </cell>
        </row>
        <row r="14">
          <cell r="D14">
            <v>0</v>
          </cell>
        </row>
      </sheetData>
      <sheetData sheetId="1" refreshError="1"/>
    </sheetDataSet>
  </externalBook>
</externalLink>
</file>

<file path=xl/externalLinks/externalLink3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61_23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O</v>
          </cell>
        </row>
        <row r="6">
          <cell r="B6" t="str">
            <v>20.11.23_x000D_
- РСС: ТКП отправлено заказчику</v>
          </cell>
        </row>
        <row r="14">
          <cell r="D14">
            <v>0</v>
          </cell>
        </row>
      </sheetData>
      <sheetData sheetId="1" refreshError="1"/>
    </sheetDataSet>
  </externalBook>
</externalLink>
</file>

<file path=xl/externalLinks/externalLink3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95_23_статус"/>
    </sheetNames>
    <definedNames>
      <definedName name="Результат_число" refersTo="='Лист1'!$D$14"/>
      <definedName name="ТКП_Тематика" refersTo="='Лист1'!$F$3"/>
    </definedNames>
    <sheetDataSet>
      <sheetData sheetId="0">
        <row r="3">
          <cell r="F3" t="str">
            <v>NKF</v>
          </cell>
        </row>
        <row r="14">
          <cell r="D14">
            <v>0</v>
          </cell>
        </row>
      </sheetData>
      <sheetData sheetId="1" refreshError="1"/>
    </sheetDataSet>
  </externalBook>
</externalLink>
</file>

<file path=xl/externalLinks/externalLink3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05_23_статус"/>
    </sheetNames>
    <definedNames>
      <definedName name="Результат_число" refersTo="='Лист1'!$D$14"/>
      <definedName name="ТКП_Тематика" refersTo="='Лист1'!$F$3"/>
    </definedNames>
    <sheetDataSet>
      <sheetData sheetId="0">
        <row r="3">
          <cell r="F3" t="str">
            <v>BJF</v>
          </cell>
        </row>
        <row r="14">
          <cell r="D14">
            <v>-1</v>
          </cell>
        </row>
      </sheetData>
      <sheetData sheetId="1" refreshError="1"/>
    </sheetDataSet>
  </externalBook>
</externalLink>
</file>

<file path=xl/externalLinks/externalLink3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363_23_статус"/>
    </sheetNames>
    <definedNames>
      <definedName name="Результат_число" refersTo="='Лист1'!$D$14"/>
      <definedName name="ТКП_Тематика" refersTo="='Лист1'!$F$3"/>
    </definedNames>
    <sheetDataSet>
      <sheetData sheetId="0">
        <row r="3">
          <cell r="F3"/>
        </row>
        <row r="14">
          <cell r="D14">
            <v>0</v>
          </cell>
        </row>
      </sheetData>
      <sheetData sheetId="1" refreshError="1"/>
    </sheetDataSet>
  </externalBook>
</externalLink>
</file>

<file path=xl/externalLinks/externalLink3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83_23_статус"/>
    </sheetNames>
    <definedNames>
      <definedName name="Результат_число" refersTo="='Лист1'!$D$14"/>
      <definedName name="ТКП_Тематика" refersTo="='Лист1'!$F$3"/>
    </definedNames>
    <sheetDataSet>
      <sheetData sheetId="0">
        <row r="3">
          <cell r="F3"/>
        </row>
        <row r="14">
          <cell r="D14">
            <v>-1</v>
          </cell>
        </row>
      </sheetData>
      <sheetData sheetId="1" refreshError="1"/>
    </sheetDataSet>
  </externalBook>
</externalLink>
</file>

<file path=xl/externalLinks/externalLink3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01_23_статус"/>
    </sheetNames>
    <definedNames>
      <definedName name="Результат_число" refersTo="='Лист1'!$D$14"/>
      <definedName name="ТКП_Тематика" refersTo="='Лист1'!$F$3"/>
    </definedNames>
    <sheetDataSet>
      <sheetData sheetId="0">
        <row r="3">
          <cell r="F3" t="str">
            <v>N</v>
          </cell>
        </row>
        <row r="14">
          <cell r="D14">
            <v>0</v>
          </cell>
        </row>
      </sheetData>
      <sheetData sheetId="1" refreshError="1"/>
    </sheetDataSet>
  </externalBook>
</externalLink>
</file>

<file path=xl/externalLinks/externalLink3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39_23_статус"/>
    </sheetNames>
    <definedNames>
      <definedName name="ТКП_Тематика" refersTo="='Лист1'!$F$3"/>
    </definedNames>
    <sheetDataSet>
      <sheetData sheetId="0">
        <row r="3">
          <cell r="F3"/>
        </row>
      </sheetData>
      <sheetData sheetId="1" refreshError="1"/>
    </sheetDataSet>
  </externalBook>
</externalLink>
</file>

<file path=xl/externalLinks/externalLink3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21_23_статус"/>
    </sheetNames>
    <definedNames>
      <definedName name="Результат_число" refersTo="='Лист1'!$D$14"/>
      <definedName name="ТКП_Тематика" refersTo="='Лист1'!$F$3"/>
    </definedNames>
    <sheetDataSet>
      <sheetData sheetId="0">
        <row r="3">
          <cell r="F3" t="str">
            <v>RF</v>
          </cell>
        </row>
        <row r="14">
          <cell r="D14">
            <v>-1</v>
          </cell>
        </row>
      </sheetData>
      <sheetData sheetId="1" refreshError="1"/>
    </sheetDataSet>
  </externalBook>
</externalLink>
</file>

<file path=xl/externalLinks/externalLink3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19_23_статус"/>
    </sheetNames>
    <definedNames>
      <definedName name="Результат_число" refersTo="='Лист1'!$D$14"/>
      <definedName name="ТКП_Тематика" refersTo="='Лист1'!$F$3"/>
    </definedNames>
    <sheetDataSet>
      <sheetData sheetId="0">
        <row r="3">
          <cell r="F3" t="str">
            <v>E</v>
          </cell>
        </row>
        <row r="14">
          <cell r="D14">
            <v>0</v>
          </cell>
        </row>
      </sheetData>
      <sheetData sheetId="1" refreshError="1"/>
    </sheetDataSet>
  </externalBook>
</externalLink>
</file>

<file path=xl/externalLinks/externalLink3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30_23_статус"/>
    </sheetNames>
    <definedNames>
      <definedName name="Результат_число" refersTo="='Лист1'!$D$14"/>
      <definedName name="ТКП_Тематика" refersTo="='Лист1'!$F$3"/>
    </definedNames>
    <sheetDataSet>
      <sheetData sheetId="0">
        <row r="3">
          <cell r="F3" t="str">
            <v>B</v>
          </cell>
        </row>
        <row r="14">
          <cell r="D14">
            <v>-1</v>
          </cell>
        </row>
      </sheetData>
      <sheetData sheetId="1" refreshError="1"/>
    </sheetDataSet>
  </externalBook>
</externalLink>
</file>

<file path=xl/externalLinks/externalLink3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212_22_статус"/>
    </sheetNames>
    <definedNames>
      <definedName name="Результат_число" refersTo="='Лист1'!$D$14"/>
      <definedName name="ТКП_Тематика" refersTo="='Лист1'!$F$3"/>
    </definedNames>
    <sheetDataSet>
      <sheetData sheetId="0">
        <row r="3">
          <cell r="F3"/>
        </row>
        <row r="14">
          <cell r="D14">
            <v>-2</v>
          </cell>
        </row>
      </sheetData>
      <sheetData sheetId="1" refreshError="1"/>
    </sheetDataSet>
  </externalBook>
</externalLink>
</file>

<file path=xl/externalLinks/externalLink3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2"/>
      <sheetName val="ТКП_026_23_статус"/>
    </sheetNames>
    <sheetDataSet>
      <sheetData sheetId="0">
        <row r="14">
          <cell r="D14">
            <v>-2</v>
          </cell>
        </row>
      </sheetData>
      <sheetData sheetId="1" refreshError="1"/>
    </sheetDataSet>
  </externalBook>
</externalLink>
</file>

<file path=xl/externalLinks/externalLink3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182_23_статус"/>
    </sheetNames>
    <definedNames>
      <definedName name="Результат_число" refersTo="='Лист1'!$D$14"/>
      <definedName name="Статус" refersTo="='Лист1'!$B$6"/>
    </definedNames>
    <sheetDataSet>
      <sheetData sheetId="0">
        <row r="6">
          <cell r="B6" t="str">
            <v>20.04.2023
Отправлено заказчику. Прошла закупочная комиссия в четверг (28.09.23), принято положительное решение. Требуется запуск формуляра</v>
          </cell>
        </row>
        <row r="14">
          <cell r="D14">
            <v>0</v>
          </cell>
        </row>
      </sheetData>
      <sheetData sheetId="1" refreshError="1"/>
    </sheetDataSet>
  </externalBook>
</externalLink>
</file>

<file path=xl/externalLinks/externalLink3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41_22_статус"/>
    </sheetNames>
    <definedNames>
      <definedName name="ТКП_Тематика" refersTo="='Лист1'!$F$3"/>
    </definedNames>
    <sheetDataSet>
      <sheetData sheetId="0">
        <row r="3">
          <cell r="F3" t="str">
            <v>B</v>
          </cell>
        </row>
      </sheetData>
      <sheetData sheetId="1" refreshError="1"/>
    </sheetDataSet>
  </externalBook>
</externalLink>
</file>

<file path=xl/externalLinks/externalLink3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96_22_статус"/>
    </sheetNames>
    <definedNames>
      <definedName name="Результат_число" refersTo="='Лист1'!$D$14"/>
      <definedName name="Статус" refersTo="='Лист1'!$B$6"/>
    </definedNames>
    <sheetDataSet>
      <sheetData sheetId="0">
        <row r="6">
          <cell r="B6" t="str">
            <v>29.03.23
ОМ: требоуется отправка ТКП</v>
          </cell>
        </row>
        <row r="14">
          <cell r="D14">
            <v>0</v>
          </cell>
        </row>
      </sheetData>
      <sheetData sheetId="1" refreshError="1"/>
    </sheetDataSet>
  </externalBook>
</externalLink>
</file>

<file path=xl/externalLinks/externalLink3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47_23_статус "/>
    </sheetNames>
    <definedNames>
      <definedName name="Результат_число" refersTo="='Лист1'!$D$14"/>
      <definedName name="Статус" refersTo="='Лист1'!$B$6"/>
      <definedName name="ТКП_Тематика" refersTo="='Лист1'!$F$3"/>
    </definedNames>
    <sheetDataSet>
      <sheetData sheetId="0">
        <row r="3">
          <cell r="F3" t="str">
            <v>FBKJ</v>
          </cell>
        </row>
        <row r="6">
          <cell r="B6" t="str">
            <v>28.12.23_x000D_
ОМ: ТКП отправлено Исх№972 от 28.12.23
 10.01.24 отзвонились. ТКП находилось у заказчика в спаме. На ряд вопросов заказчику были даны разъяснения. Список остальных вопросов заказчик обещал прислать письмом.
18-19.06.24 Отправлена заполненная таблица по предприятию и уточнены технические вопросы. Взята пауза для расчёта и понимания стоимости на электромеханических принципах.
19.06-3.07 Переписка с контрагентами по сервоприводам , редукторам. Встречи и обсуждение деталей с А.Н. Поповым</v>
          </cell>
        </row>
        <row r="14">
          <cell r="D14">
            <v>0</v>
          </cell>
        </row>
      </sheetData>
      <sheetData sheetId="1" refreshError="1"/>
    </sheetDataSet>
  </externalBook>
</externalLink>
</file>

<file path=xl/externalLinks/externalLink3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569_23_статус"/>
    </sheetNames>
    <definedNames>
      <definedName name="Результат_число" refersTo="='Лист1'!$D$14"/>
      <definedName name="Статус" refersTo="='Лист1'!$B$6"/>
      <definedName name="ТКП_Тематика" refersTo="='Лист1'!$F$3"/>
    </definedNames>
    <sheetDataSet>
      <sheetData sheetId="0">
        <row r="3">
          <cell r="F3"/>
        </row>
        <row r="6">
          <cell r="B6" t="str">
            <v>28.12.23_x000D_
РСС: отправлено заказчику.
11.01.24 созвонились с заказчиком ТКП ему понятно принято с его слов в конкурсную процедуру.</v>
          </cell>
        </row>
        <row r="14">
          <cell r="D14">
            <v>0</v>
          </cell>
        </row>
      </sheetData>
      <sheetData sheetId="1" refreshError="1"/>
    </sheetDataSet>
  </externalBook>
</externalLink>
</file>

<file path=xl/externalLinks/externalLink3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ТКП_003_24_статус"/>
    </sheetNames>
    <definedNames>
      <definedName name="Результат_число" refersTo="='Лист1'!$D$14"/>
      <definedName name="Статус" refersTo="='Лист1'!$B$6"/>
      <definedName name="ТКП_Тематика" refersTo="='Лист1'!$F$3"/>
    </definedNames>
    <sheetDataSet>
      <sheetData sheetId="0">
        <row r="3">
          <cell r="F3" t="str">
            <v>BMR</v>
          </cell>
        </row>
        <row r="6">
          <cell r="B6" t="str">
            <v>09.02.24_x000D_
ОМ: уточнить состояние по конкурсу</v>
          </cell>
        </row>
        <row r="14">
          <cell r="D14">
            <v>0</v>
          </cell>
        </row>
      </sheetData>
      <sheetData sheetId="1" refreshError="1"/>
    </sheetDataSet>
  </externalBook>
</externalLink>
</file>

<file path=xl/externalLinks/externalLink3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 val="Лист2"/>
      <sheetName val="ТКП_568_22_статус"/>
    </sheetNames>
    <definedNames>
      <definedName name="Результат_число" refersTo="='Лист1'!$D$14"/>
      <definedName name="Статус" refersTo="='Лист1'!$B$6"/>
    </definedNames>
    <sheetDataSet>
      <sheetData sheetId="0">
        <row r="6">
          <cell r="B6" t="str">
            <v>25.03.2024
ОМ: проиграли по цене  CNPC Tubular Goods Research Institute (представители http://newtek.su/) Цена в РФ~50 млн., цена в Китае 45 млн</v>
          </cell>
        </row>
        <row r="14">
          <cell r="D14">
            <v>0</v>
          </cell>
        </row>
      </sheetData>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TKP\TKP2023\tkp2023_460_&#1054;&#1056;&#1043;&#1056;&#1069;&#1057;_&#1057;&#1090;&#1072;&#1090;&#1079;&#1072;&#1083;_&#1056;&#1057;&#1057;\" TargetMode="External"/><Relationship Id="rId299" Type="http://schemas.openxmlformats.org/officeDocument/2006/relationships/hyperlink" Target="..\..\..\..\TKP\TKP2024\tkp2024_433_&#1050;&#1043;&#1058;&#1059;_&#1048;&#1079;&#1084;&#1077;&#1088;&#1080;&#1090;&#1077;&#1083;&#1100;_&#1082;&#1088;&#1091;&#1090;&#1103;&#1097;&#1077;&#1075;&#1086;_&#1084;&#1086;&#1084;&#1077;&#1085;&#1090;&#1072;_&#1080;_&#1076;&#1072;&#1074;&#1083;&#1077;&#1085;&#1080;&#1103;_&#1052;&#1077;&#1083;&#1080;&#1093;&#1086;&#1074;\&#1058;&#1050;&#1055;_433_24_&#1089;&#1090;&#1072;&#1090;&#1091;&#1089;.xlsm" TargetMode="External"/><Relationship Id="rId671" Type="http://schemas.openxmlformats.org/officeDocument/2006/relationships/hyperlink" Target="..\..\..\..\TKP\TKP2026\tkp2026_212_&#1050;&#1041;&#1061;&#1052;_&#1056;&#1042;&#1050;_&#1056;&#1052;8_&#1056;&#1057;&#1057;_&#1052;&#1077;&#1083;&#1080;&#1093;&#1086;&#1074;\&#1058;&#1050;&#1055;_212_26_&#1089;&#1090;&#1072;&#1090;&#1091;&#1089;.xlsm" TargetMode="External"/><Relationship Id="rId727" Type="http://schemas.openxmlformats.org/officeDocument/2006/relationships/hyperlink" Target="file:///\\fserv\e\MERA\TKP\TKP2024\tkp2024_046_&#1050;&#1041;&#1061;M_MIC-236_MIC-553_&#1045;&#1078;&#1086;&#1074;&#1072;\" TargetMode="External"/><Relationship Id="rId21" Type="http://schemas.openxmlformats.org/officeDocument/2006/relationships/hyperlink" Target="..\..\..\..\TKP\TKP2023\tkp2023_133_&#1059;&#1040;&#1055;&#1054;-&#1058;&#1077;&#1093;&#1085;&#1086;&#1076;&#1080;&#1085;&#1072;&#1084;&#1080;&#1082;&#1072;_&#1042;&#1099;&#1089;&#1086;&#1082;&#1086;&#1086;&#1073;&#1086;&#1088;&#1086;&#1090;&#1085;&#1099;&#1081;_&#1087;&#1088;&#1080;&#1074;&#1086;&#1076;_&#1052;&#1077;&#1083;&#1080;&#1093;&#1086;&#1074;" TargetMode="External"/><Relationship Id="rId63" Type="http://schemas.openxmlformats.org/officeDocument/2006/relationships/hyperlink" Target="../../../../TKP/TKP2023/tkp2023_241_&#1062;&#1048;&#1040;&#1052;_&#1062;-1&#1040;_&#1057;&#1085;&#1099;&#1075;&#1080;&#1085;&#1072;/" TargetMode="External"/><Relationship Id="rId159" Type="http://schemas.openxmlformats.org/officeDocument/2006/relationships/hyperlink" Target="..\..\..\..\TKP\TKP2023\tkp2023_572_&#1054;&#1044;&#1050;_&#1057;&#1072;&#1090;&#1091;&#1088;&#1085;_&#1040;&#1057;&#1059;&#1058;&#1055;&#1048;_&#1089;&#1090;&#1077;&#1085;&#1076;&#1086;&#1074;_26,27,28_&#1045;&#1078;&#1086;&#1074;&#1072;\&#1058;&#1050;&#1055;_572_23_&#1089;&#1090;&#1072;&#1090;&#1091;&#1089;.xlsm" TargetMode="External"/><Relationship Id="rId324" Type="http://schemas.openxmlformats.org/officeDocument/2006/relationships/hyperlink" Target="..\..\..\..\TKP\TKP2024\tkp2024_504_&#1040;&#1054;_&#1060;&#1062;&#1044;&#1058;_&#1057;&#1086;&#1102;&#1079;_&#1048;&#1042;&#1050;%20&#1082;%20&#1057;&#1048;&#1055;&#1055;_&#1052;&#1077;&#1083;&#1080;&#1093;&#1086;&#1074;\&#1058;&#1050;&#1055;_504_24_&#1089;&#1090;&#1072;&#1090;&#1091;&#1089;.xlsm" TargetMode="External"/><Relationship Id="rId366" Type="http://schemas.openxmlformats.org/officeDocument/2006/relationships/hyperlink" Target="../../../../TKP/TKP2025/tkp2025_080_&#1050;&#1072;&#1083;&#1080;&#1085;&#1080;&#1085;&#1089;&#1082;&#1072;&#1103;_&#1040;&#1069;&#1057;_&#1056;&#1072;&#1073;&#1086;&#1090;&#1099;%20&#1074;%20&#1095;&#1072;&#1089;&#1090;&#1080;%20&#1079;&#1072;&#1084;&#1077;&#1088;&#1086;&#1074;%20&#1074;&#1080;&#1073;&#1088;&#1072;&#1094;&#1080;&#1080;%20&#1083;&#1086;&#1087;&#1072;&#1090;&#1086;&#1082;_&#1041;&#1091;&#1088;&#1103;&#1082;/&#1058;&#1050;&#1055;_080_25_&#1089;&#1090;&#1072;&#1090;&#1091;&#1089;.xlsm" TargetMode="External"/><Relationship Id="rId531" Type="http://schemas.openxmlformats.org/officeDocument/2006/relationships/hyperlink" Target="..\..\..\..\TKP\TKP2024\tkp2024_365_&#1053;&#1055;&#1054;_&#1052;&#1072;&#1096;&#1080;&#1085;&#1086;&#1089;&#1090;&#1088;&#1086;&#1077;&#1085;&#1080;&#1103;_&#1043;&#1072;&#1083;&#1100;&#1074;&#1072;&#1085;&#1080;&#1095;&#1077;&#1089;&#1082;&#1080;&#1077;_&#1073;&#1083;&#1086;&#1082;&#1080;_&#1052;&#1077;&#1083;&#1080;&#1093;&#1086;&#1074;\&#1058;&#1050;&#1055;_365_24_&#1089;&#1090;&#1072;&#1090;&#1091;&#1089;.xlsm" TargetMode="External"/><Relationship Id="rId573" Type="http://schemas.openxmlformats.org/officeDocument/2006/relationships/hyperlink" Target="../../../../TKP/TKP2024/tkp2024_283_&#1057;&#1080;&#1083;&#1086;&#1074;&#1099;&#1077;%20&#1084;&#1072;&#1096;&#1080;&#1085;&#1099;_MIC-1200_&#1052;&#1072;&#1089;&#1083;&#1086;&#1074;&#1072;/" TargetMode="External"/><Relationship Id="rId629" Type="http://schemas.openxmlformats.org/officeDocument/2006/relationships/hyperlink" Target="..\..\..\..\TKP\TKP2026\tkp2026_137_&#1054;&#1050;&#1041;&#1052;_&#1040;&#1092;&#1088;&#1080;&#1082;&#1072;&#1085;&#1090;&#1086;&#1074;_&#1057;&#1058;&#1058;_&#1052;&#1077;&#1083;&#1080;&#1093;&#1086;&#1074;\&#1058;&#1050;&#1055;_137_26_&#1089;&#1090;&#1072;&#1090;&#1091;&#1089;.xlsm" TargetMode="External"/><Relationship Id="rId170" Type="http://schemas.openxmlformats.org/officeDocument/2006/relationships/hyperlink" Target="../../../../TKP/TKP2024/tkp2024_046_&#1050;&#1041;&#1061;M_MIC-236_MIC-553_&#1045;&#1078;&#1086;&#1074;&#1072;/" TargetMode="External"/><Relationship Id="rId226" Type="http://schemas.openxmlformats.org/officeDocument/2006/relationships/hyperlink" Target="../../../../TKP/TKP2024/tkp2024_173_&#1062;&#1048;&#1040;&#1052;_&#1082;&#1086;&#1084;&#1087;&#1083;&#1077;&#1082;&#1090;%20&#1076;&#1083;&#1103;%20&#1087;&#1086;&#1074;&#1077;&#1088;&#1082;&#1080;_&#1052;&#1072;&#1089;&#1083;&#1086;&#1074;&#1072;/&#1058;&#1050;&#1055;_173_24_&#1089;&#1090;&#1072;&#1090;&#1091;&#1089;.xlsm" TargetMode="External"/><Relationship Id="rId433" Type="http://schemas.openxmlformats.org/officeDocument/2006/relationships/hyperlink" Target="../../../../TKP/TKP2025/tkp2025_140_&#1054;&#1044;&#1050;-&#1050;&#1091;&#1079;&#1085;&#1077;&#1094;&#1086;&#1074;_&#1079;&#1072;&#1075;&#1088;&#1091;&#1079;&#1086;&#1095;&#1085;&#1086;&#1077;_&#1091;&#1089;&#1090;&#1088;&#1086;&#1081;&#1089;&#1090;&#1074;&#1086;_&#1075;&#1080;&#1076;&#1088;&#1086;&#1090;&#1086;&#1088;&#1084;&#1086;&#1079;_&#1082;&#1086;&#1088;&#1087;.201_&#1094;&#1077;&#1093;60_&#1042;&#1080;&#1085;&#1090;&#1072;&#1081;_&#1052;&#1077;&#1083;&#1080;&#1093;&#1086;&#1074;/&#1058;&#1050;&#1055;_140_25_&#1089;&#1090;&#1072;&#1090;&#1091;&#1089;.xlsm" TargetMode="External"/><Relationship Id="rId268" Type="http://schemas.openxmlformats.org/officeDocument/2006/relationships/hyperlink" Target="../../../../TKP/TKP2024/tkp2024_338_Kingsly_600chan+camera_&#1056;&#1057;&#1057;_&#1045;&#1078;&#1086;&#1074;&#1072;/" TargetMode="External"/><Relationship Id="rId475" Type="http://schemas.openxmlformats.org/officeDocument/2006/relationships/hyperlink" Target="../../../../TKP/TKP2022/tkp2022_372_&#1054;&#1044;&#1050;_&#1057;&#1072;&#1090;&#1091;&#1088;&#1085;_&#1048;&#1042;&#1050;_&#1056;&#1059;&#1044;_&#1089;&#1090;&#1077;&#1085;&#1076;&#1099;%20&#1084;&#1072;&#1083;&#1099;&#1096;&#1080;_&#1045;&#1078;&#1086;&#1074;&#1072;_&#1056;&#1057;&#1057;/" TargetMode="External"/><Relationship Id="rId640" Type="http://schemas.openxmlformats.org/officeDocument/2006/relationships/hyperlink" Target="../../../../TKP/TKP2026/tkp2026_160_&#1046;&#1091;&#1082;&#1086;&#1074;&#1089;&#1082;&#1080;&#1081;_&#1074;&#1077;&#1083;&#1086;&#1084;&#1086;&#1090;&#1086;&#1079;&#1072;&#1074;&#1086;&#1076;_&#1088;&#1086;&#1083;&#1080;&#1082;&#1086;&#1074;&#1099;&#1081;_&#1089;&#1090;&#1077;&#1085;&#1076;_&#1056;&#1057;&#1057;/&#1058;&#1050;&#1055;_160_26_&#1089;&#1090;&#1072;&#1090;&#1091;&#1089;.xlsm" TargetMode="External"/><Relationship Id="rId682" Type="http://schemas.openxmlformats.org/officeDocument/2006/relationships/hyperlink" Target="file:///\\fserv\e\MERA\TKP\TKP2025\tkp2025_610_&#1053;&#1055;&#1054;_&#1051;&#1072;&#1074;&#1086;&#1095;&#1082;&#1080;&#1085;&#1072;_&#1062;&#1080;&#1085;&#1090;&#1088;&#1080;&#1092;&#1091;&#1075;&#1072;_&#1057;&#1059;-268_&#1052;&#1072;&#1088;&#1090;&#1099;&#1085;&#1086;&#1074;\" TargetMode="External"/><Relationship Id="rId738" Type="http://schemas.openxmlformats.org/officeDocument/2006/relationships/hyperlink" Target="file:///\\fserv\e\MERA\TKP\TKP2026\tkp2026_417_&#1062;&#1048;&#1040;&#1052;_&#1055;&#1086;&#1088;&#1090;&#1072;&#1090;&#1080;&#1074;&#1085;&#1072;&#1103;%20&#1089;&#1080;&#1089;&#1090;&#1077;&#1084;&#1072;%20&#1080;&#1079;&#1084;&#1077;&#1088;&#1077;&#1085;&#1080;&#1103;\" TargetMode="External"/><Relationship Id="rId32" Type="http://schemas.openxmlformats.org/officeDocument/2006/relationships/hyperlink" Target="../../../../TKP/TKP2023/tkp2023_175_&#1053;&#1055;&#1054;_&#1040;&#1074;&#1090;&#1086;&#1084;&#1072;&#1090;&#1080;&#1082;&#1080;_&#1050;&#1057;&#1058;-2_&#1052;&#1072;&#1088;&#1090;&#1099;&#1085;&#1086;&#1074;/&#1058;&#1050;&#1055;_175_23_&#1089;&#1090;&#1072;&#1090;&#1091;&#1089;.xlsm" TargetMode="External"/><Relationship Id="rId74" Type="http://schemas.openxmlformats.org/officeDocument/2006/relationships/hyperlink" Target="../../../../TKP/TKP2023/tkp2023_246_&#1054;&#1044;&#1050;_&#1057;&#1072;&#1090;&#1091;&#1088;&#1085;_MIC-026_&#1057;&#1085;&#1099;&#1075;&#1080;&#1085;&#1072;/" TargetMode="External"/><Relationship Id="rId128" Type="http://schemas.openxmlformats.org/officeDocument/2006/relationships/hyperlink" Target="..\..\..\..\TKP\TKP2023\tkp2023_515_&#1043;&#1088;&#1091;&#1087;&#1087;&#1072;%20&#1040;&#1081;-&#1069;&#1084;-&#1057;&#1080;_&#1090;&#1077;&#1085;&#1079;&#1086;&#1084;&#1077;&#1090;&#1088;&#1080;&#1095;&#1077;&#1089;&#1082;&#1072;&#1103;_&#1089;&#1090;&#1072;&#1085;&#1094;&#1080;&#1103;_&#1045;&#1078;&#1086;&#1074;&#1072;\&#1058;&#1050;&#1055;_515_23_&#1089;&#1090;&#1072;&#1090;&#1091;&#1089;.xlsm" TargetMode="External"/><Relationship Id="rId335" Type="http://schemas.openxmlformats.org/officeDocument/2006/relationships/hyperlink" Target="../../../../TKP/TKP2025/tkp2025_013_Kingsly%20ADA%20engine_&#1056;&#1057;&#1057;_&#1041;&#1091;&#1088;&#1103;&#1082;/" TargetMode="External"/><Relationship Id="rId377" Type="http://schemas.openxmlformats.org/officeDocument/2006/relationships/hyperlink" Target="../../../../TKP/TKP2025/tkp2025_153_&#1059;&#1052;&#1055;&#1054;_&#1040;&#1057;&#1059;&#1058;&#1055;%20&#1073;&#1086;&#1082;&#1089;%203,4_&#1056;&#1057;&#1057;_&#1054;&#1089;&#1090;&#1088;&#1086;&#1074;&#1089;&#1082;&#1072;&#1103;/&#1058;&#1050;&#1055;_153_25_&#1089;&#1090;&#1072;&#1090;&#1091;&#1089;.xlsm" TargetMode="External"/><Relationship Id="rId500" Type="http://schemas.openxmlformats.org/officeDocument/2006/relationships/hyperlink" Target="../../../../TKP/TKP2025/tkp2025_479_Kingsly_Rocket_Project_Horizontal_Static_Test_&#1054;5_&#1041;&#1091;&#1088;&#1103;&#1082;/&#1058;&#1050;&#1055;_479_25_&#1089;&#1090;&#1072;&#1090;&#1091;&#1089;.xlsm" TargetMode="External"/><Relationship Id="rId542" Type="http://schemas.openxmlformats.org/officeDocument/2006/relationships/hyperlink" Target="../../../../TKP/TKP2025/tkp2025_552_&#1057;&#1080;&#1083;&#1086;&#1074;&#1099;&#1077;_&#1084;&#1072;&#1096;&#1080;&#1085;&#1099;_ME-405%20_&#1056;&#1057;&#1057;_&#1041;&#1091;&#1088;&#1103;&#1082;/" TargetMode="External"/><Relationship Id="rId584" Type="http://schemas.openxmlformats.org/officeDocument/2006/relationships/hyperlink" Target="file:///\\fserv\e\MERA\TKP\TKP2026\tkp2026_031_&#1054;&#1044;&#1050;_&#1057;&#1072;&#1090;&#1091;&#1088;&#1085;_&#1040;&#1057;&#1059;&#1058;&#1055;&#1048;_&#1089;&#1090;&#1077;&#1085;&#1076;&#1086;&#1074;_27,_28_&#1052;&#1077;&#1083;&#1080;&#1093;&#1086;&#1074;\" TargetMode="External"/><Relationship Id="rId5" Type="http://schemas.openxmlformats.org/officeDocument/2006/relationships/hyperlink" Target="../../../../TKP/TKP2022/tkp2022_001_&#1042;&#1086;&#1090;&#1082;&#1080;&#1085;&#1089;&#1082;&#1080;&#1081;%20&#1079;&#1072;&#1074;&#1086;&#1076;_MIC-036_&#1045;&#1078;&#1086;&#1074;&#1072;" TargetMode="External"/><Relationship Id="rId181" Type="http://schemas.openxmlformats.org/officeDocument/2006/relationships/hyperlink" Target="../../../../TKP/TKP2022/tkp2022_056_&#1043;&#1040;&#1055;_&#1089;&#1086;&#1102;&#1079;_&#1040;&#1057;&#1059;&#1058;&#1055;_&#1051;&#1042;&#1044;_&#1057;&#1087;&#1080;&#1088;&#1080;&#1076;&#1086;&#1085;&#1089;&#1082;&#1080;&#1081;_&#1056;&#1057;&#1057;/&#1058;&#1050;&#1055;_056_22_&#1089;&#1090;&#1072;&#1090;&#1091;&#1089;.xlsm" TargetMode="External"/><Relationship Id="rId237" Type="http://schemas.openxmlformats.org/officeDocument/2006/relationships/hyperlink" Target="../../../../TKP/TKP2024/tkp2024_032_&#1050;&#1072;&#1079;&#1072;&#1085;&#1089;&#1082;&#1080;&#1081;%20&#1074;&#1077;&#1088;&#1090;&#1086;&#1083;&#1077;&#1090;&#1085;&#1099;&#1081;%20&#1079;&#1072;&#1074;&#1086;&#1076;_&#1080;&#1089;&#1087;&#1099;&#1090;&#1072;&#1085;&#1080;&#1103;_&#1052;&#1072;&#1089;&#1083;&#1086;&#1074;&#1072;/&#1058;&#1050;&#1055;_032_24_&#1089;&#1090;&#1072;&#1090;&#1091;&#1089;.xlsm" TargetMode="External"/><Relationship Id="rId402" Type="http://schemas.openxmlformats.org/officeDocument/2006/relationships/hyperlink" Target="../../../../TKP/TKP2021/tkp2021_032_&#1059;&#1088;&#1072;&#1083;&#1074;&#1072;&#1075;&#1086;&#1085;&#1079;&#1072;&#1074;&#1086;&#1076;_MIC-036_&#1045;&#1078;&#1086;&#1074;&#1072;/&#1058;&#1050;&#1055;_032_21_&#1089;&#1090;&#1072;&#1090;&#1091;&#1089;.xlsm" TargetMode="External"/><Relationship Id="rId279" Type="http://schemas.openxmlformats.org/officeDocument/2006/relationships/hyperlink" Target="../../../../TKP/TKP2022/tkp2022_558_&#1053;&#1055;&#1054;_&#1052;&#1072;&#1096;&#1080;&#1085;&#1086;&#1089;&#1090;&#1088;&#1086;&#1077;&#1085;&#1080;&#1103;_&#1043;&#1072;&#1083;&#1100;&#1074;&#1072;&#1085;&#1080;&#1095;&#1077;&#1089;&#1082;&#1080;&#1077;_&#1073;&#1083;&#1086;&#1082;&#1080;_&#1052;&#1077;&#1083;&#1080;&#1093;&#1086;&#1074;/&#1058;&#1050;&#1055;_558_22_&#1089;&#1090;&#1072;&#1090;&#1091;&#1089;.xlsm" TargetMode="External"/><Relationship Id="rId444" Type="http://schemas.openxmlformats.org/officeDocument/2006/relationships/hyperlink" Target="../../../../TKP/TKP2025/tkp2025_242_&#1043;&#1050;&#1053;&#1055;&#1062;_&#1061;&#1088;&#1091;&#1085;&#1080;&#1095;&#1077;&#1074;&#1072;_&#1048;&#1057;&#1057;&#1056;_&#1050;&#1040;_&#1056;&#1057;&#1057;_&#1052;&#1072;&#1088;&#1090;&#1099;&#1085;&#1086;&#1074;/" TargetMode="External"/><Relationship Id="rId486" Type="http://schemas.openxmlformats.org/officeDocument/2006/relationships/hyperlink" Target="../../../../TKP/TKP2025/tkp2025_433_Kingsly_PDAS%20analog%20Compact%20RIO_&#1056;&#1057;&#1057;_&#1041;&#1091;&#1088;&#1103;&#1082;/" TargetMode="External"/><Relationship Id="rId651" Type="http://schemas.openxmlformats.org/officeDocument/2006/relationships/hyperlink" Target="file:///\\fserv\e\MERA\TKP\TKP2026\tkp2026_167_&#1057;&#1043;&#1040;&#1059;_MIC-170_(&#1072;&#1073;&#1089;.7&#1072;&#1090;&#1084;.)_&#1052;&#1077;&#1083;&#1080;&#1093;&#1086;&#1074;\&#1058;&#1050;&#1055;_167_26_&#1089;&#1090;&#1072;&#1090;&#1091;&#1089;.xlsm" TargetMode="External"/><Relationship Id="rId693" Type="http://schemas.openxmlformats.org/officeDocument/2006/relationships/hyperlink" Target="file:///\\fserv\e\MERA\TKP\TKP2026\tkp2026_265_&#1047;&#1080;&#1084;&#1077;&#1085;&#1089;_&#1071;&#1082;&#1072;&#1075;&#1072;&#1074;&#1072;_&#1057;&#1087;&#1077;&#1085;&#1076;_&#1040;&#1055;&#1044;_550_&#1052;&#1077;&#1083;&#1080;&#1093;&#1086;&#1074;\" TargetMode="External"/><Relationship Id="rId707" Type="http://schemas.openxmlformats.org/officeDocument/2006/relationships/hyperlink" Target="file:///\\fserv\e\MERA\TKP\TKP2026\tkp2026_190_&#1053;&#1055;&#1054;_&#1051;&#1072;&#1074;&#1086;&#1095;&#1082;&#1080;&#1085;&#1072;_&#1057;&#1090;&#1077;&#1085;&#1076;_&#1089;&#1090;&#1072;&#1090;&#1080;&#1095;&#1077;&#1089;&#1082;&#1080;&#1093;_&#1080;&#1089;&#1087;&#1099;&#1090;&#1072;&#1085;&#1080;&#1081;_&#1056;&#1057;&#1057;_&#1040;&#1085;&#1090;&#1080;&#1087;&#1077;&#1085;&#1082;&#1086;\" TargetMode="External"/><Relationship Id="rId749" Type="http://schemas.openxmlformats.org/officeDocument/2006/relationships/ctrlProp" Target="../ctrlProps/ctrlProp7.xml"/><Relationship Id="rId43" Type="http://schemas.openxmlformats.org/officeDocument/2006/relationships/hyperlink" Target="../../../../TKP/TKP2023/in2023/&#1054;&#1054;&#1054;/401-&#1057;&#1085;&#1099;&#1075;&#1080;&#1085;&#1072;%20(&#1054;&#1054;&#1054;).pdf/&#1058;&#1050;&#1055;_401_&#1054;&#1054;&#1054;_23_&#1089;&#1090;&#1072;&#1090;&#1091;&#1089;.xlsm" TargetMode="External"/><Relationship Id="rId139" Type="http://schemas.openxmlformats.org/officeDocument/2006/relationships/hyperlink" Target="..\..\..\..\TKP\TKP2023\tkp2023_489_&#1050;&#1091;&#1088;&#1095;&#1072;&#1090;&#1086;&#1074;&#1089;&#1082;&#1080;&#1081;%20&#1080;&#1085;&#1089;&#1090;&#1080;&#1090;&#1091;&#1090;_&#1052;&#1057;&#1059;-1_&#1040;&#1057;&#1059;%20%20&#1057;&#1048;&#1053;_&#1040;&#1057;&#1059;%20&#1057;&#1050;&#1054;_&#1052;&#1072;&#1089;&#1083;&#1086;&#1074;&#1072;\&#1058;&#1050;&#1055;_489_23_&#1089;&#1090;&#1072;&#1090;&#1091;&#1089;.xlsm" TargetMode="External"/><Relationship Id="rId290" Type="http://schemas.openxmlformats.org/officeDocument/2006/relationships/hyperlink" Target="../../../../TKP/TKP2024/tkp2024_379_&#1040;&#1083;&#1090;&#1072;&#1081;_&#1048;&#1042;&#1050;_&#1052;&#1077;&#1083;&#1080;&#1093;&#1086;&#1074;/&#1058;&#1050;&#1055;_379_24_&#1089;&#1090;&#1072;&#1090;&#1091;&#1089;.xlsm" TargetMode="External"/><Relationship Id="rId304" Type="http://schemas.openxmlformats.org/officeDocument/2006/relationships/hyperlink" Target="..\..\..\..\TKP\TKP2024\tkp2024_456_&#1043;&#1050;&#1053;&#1055;&#1062;%20&#1061;&#1088;&#1091;&#1085;&#1080;&#1095;&#1077;&#1074;&#1072;_&#1056;&#1057;&#1057;_&#1041;&#1091;&#1088;&#1103;&#1082;\" TargetMode="External"/><Relationship Id="rId346" Type="http://schemas.openxmlformats.org/officeDocument/2006/relationships/hyperlink" Target="..\..\..\..\TKP\TKP2025\tkp2025_031_Kingsly_Vibro%20control%20Space-India_&#1056;&#1057;&#1057;_&#1041;&#1091;&#1088;&#1103;&#1082;\&#1058;&#1050;&#1055;_031_25_&#1089;&#1090;&#1072;&#1090;&#1091;&#1089;.xlsm" TargetMode="External"/><Relationship Id="rId388" Type="http://schemas.openxmlformats.org/officeDocument/2006/relationships/hyperlink" Target="../../../../TKP/TKP2025/tkp2025_098_&#1057;&#1080;&#1083;&#1086;&#1074;&#1099;&#1077;_&#1084;&#1072;&#1096;&#1080;&#1085;&#1099;_&#1051;&#1040;&#1069;&#1057;-2_&#1057;&#1050;&#1042;&#1051;_&#1056;&#1057;&#1057;_&#1041;&#1091;&#1088;&#1103;&#1082;/&#1058;&#1050;&#1055;_098_25_&#1089;&#1090;&#1072;&#1090;&#1091;&#1089;.xlsm" TargetMode="External"/><Relationship Id="rId511" Type="http://schemas.openxmlformats.org/officeDocument/2006/relationships/hyperlink" Target="../../../../TKP/TKP2025/tkp2025_506_&#1053;&#1055;&#1055;_&#1047;&#1074;&#1077;&#1079;&#1076;&#1072;_&#1055;&#1085;&#1077;&#1074;&#1084;&#1086;&#1085;&#1072;&#1075;&#1088;&#1091;&#1078;&#1072;&#1090;&#1077;&#1083;&#1100;_&#1040;&#1057;&#1057;_&#1057;&#1072;&#1093;&#1072;&#1083;&#1080;&#1085;_&#1052;&#1077;&#1083;&#1080;&#1093;&#1086;&#1074;/&#1058;&#1050;&#1055;_506_25_&#1089;&#1090;&#1072;&#1090;&#1091;&#1089;.xlsm" TargetMode="External"/><Relationship Id="rId553" Type="http://schemas.openxmlformats.org/officeDocument/2006/relationships/hyperlink" Target="..\..\..\..\TKP\TKP2025\tkp2025_586_&#1044;&#1086;&#1087;.&#1040;&#1056;&#1052;_&#1043;&#1058;&#1069;-65.1_&#1074;_&#1082;&#1086;&#1085;&#1090;&#1077;&#1081;&#1085;&#1077;&#1088;&#1077;_&#1052;&#1077;&#1083;&#1080;&#1093;&#1086;&#1074;\&#1058;&#1050;&#1055;_586_25_&#1089;&#1090;&#1072;&#1090;&#1091;&#1089;.xlsm" TargetMode="External"/><Relationship Id="rId609" Type="http://schemas.openxmlformats.org/officeDocument/2006/relationships/hyperlink" Target="file:///\\fserv\e\MERA\TKP\TKP2024\tkp2024_461_&#1050;&#1041;&#1061;&#1052;_&#1056;&#1052;8_&#1056;&#1057;&#1057;_&#1052;&#1077;&#1083;&#1080;&#1093;&#1086;&#1074;\" TargetMode="External"/><Relationship Id="rId85" Type="http://schemas.openxmlformats.org/officeDocument/2006/relationships/hyperlink" Target="../../../../TKP/TKP2023/tkp2023_362_&#1054;&#1044;&#1050;_&#1050;&#1083;&#1080;&#1084;&#1086;&#1074;_&#1069;&#1044;&#1057;&#1059;_&#1056;&#1059;&#1044;_&#1045;&#1078;&#1086;&#1074;&#1072;/" TargetMode="External"/><Relationship Id="rId150" Type="http://schemas.openxmlformats.org/officeDocument/2006/relationships/hyperlink" Target="..\..\..\..\TKP\TKP2023\tkp2023_555_&#1053;&#1048;&#1050;&#1048;&#1069;&#1058;_MIC553_&#1056;&#1057;&#1057;" TargetMode="External"/><Relationship Id="rId192" Type="http://schemas.openxmlformats.org/officeDocument/2006/relationships/hyperlink" Target="..\..\..\..\TKP\TKP2024\tkp2024_068_&#1054;&#1044;&#1050;%20&#1059;&#1052;&#1055;&#1054;_&#1040;&#1055;&#1044;%20&#1080;&#1089;&#1087;&#1099;&#1090;&#1072;&#1085;&#1080;&#1103;%20&#1087;&#1086;&#1088;&#1096;&#1085;&#1077;&#1074;&#1099;&#1093;%20&#1076;&#1074;&#1080;&#1075;&#1072;&#1090;&#1077;&#1083;&#1077;&#1081;_&#1052;&#1072;&#1089;&#1083;&#1086;&#1074;&#1072;\&#1058;&#1050;&#1055;_068_24_&#1089;&#1090;&#1072;&#1090;&#1091;&#1089;.xlsm" TargetMode="External"/><Relationship Id="rId206" Type="http://schemas.openxmlformats.org/officeDocument/2006/relationships/hyperlink" Target="../../../../TKP/TKP2024/tkp2024_124_&#1053;&#1055;&#1055;_&#1052;&#1086;&#1085;&#1086;&#1090;&#1077;&#1089;&#1090;_MIC-355_&#1041;&#1091;&#1088;&#1103;&#1082;/&#1058;&#1050;&#1055;_124_24_&#1089;&#1090;&#1072;&#1090;&#1091;&#1089;.xlsm" TargetMode="External"/><Relationship Id="rId413" Type="http://schemas.openxmlformats.org/officeDocument/2006/relationships/hyperlink" Target="../../../../TKP/TKP2022/tkp2022_230_&#1057;&#1050;&#1041;&#1052;_&#1050;&#1091;&#1088;&#1075;&#1072;&#1085;&#1052;&#1072;&#1096;&#1047;&#1072;&#1074;&#1086;&#1076;_&#1089;&#1090;&#1077;&#1085;&#1076;%20&#1080;&#1089;&#1087;&#1099;&#1090;&#1072;&#1085;&#1080;&#1081;%20&#1043;&#1052;&#1058;_&#1045;&#1078;&#1086;&#1074;&#1072;_&#1056;&#1057;&#1057;/&#1058;&#1050;&#1055;_230_22_&#1089;&#1090;&#1072;&#1090;&#1091;&#1089;.xlsm" TargetMode="External"/><Relationship Id="rId595" Type="http://schemas.openxmlformats.org/officeDocument/2006/relationships/hyperlink" Target="../../../../TKP/TKP2026/tkp2026_025_&#1057;&#1055;&#1045;&#1062;&#1069;&#1053;&#1045;&#1056;&#1043;&#1054;&#1050;&#1054;&#1052;&#1055;&#1051;&#1045;&#1050;&#1058;_&#1040;&#1048;&#1048;&#1057;_&#1040;&#1055;&#1044;-520_&#1056;&#1057;&#1057;_&#1052;&#1077;&#1083;&#1080;&#1093;&#1086;&#1074;/&#1058;&#1050;&#1055;_025_26_&#1089;&#1090;&#1072;&#1090;&#1091;&#1089;.xlsm" TargetMode="External"/><Relationship Id="rId248" Type="http://schemas.openxmlformats.org/officeDocument/2006/relationships/hyperlink" Target="../../../../TKP/TKP2024/tkp2024_219_&#1060;&#1062;&#1044;&#1058;_&#1057;&#1086;&#1102;&#1079;_&#1057;&#1048;&#1055;&#1055;_&#1045;&#1078;&#1086;&#1074;&#1072;/" TargetMode="External"/><Relationship Id="rId455" Type="http://schemas.openxmlformats.org/officeDocument/2006/relationships/hyperlink" Target="../../../../TKP/TKP2025/tkp2025_304_&#1050;&#1041;&#1061;&#1040;_&#1089;&#1090;&#1077;&#1085;&#1076;%20&#8470;50_&#1056;&#1057;&#1057;_&#1052;&#1077;&#1083;&#1080;&#1093;&#1086;&#1074;/" TargetMode="External"/><Relationship Id="rId497" Type="http://schemas.openxmlformats.org/officeDocument/2006/relationships/hyperlink" Target="../../../../TKP/TKP2025/tkp2025_488_&#1050;&#1053;&#1048;&#1058;&#1059;_&#1048;&#1085;&#1078;&#1077;&#1085;&#1077;&#1088;&#1085;&#1086;-&#1089;&#1077;&#1081;&#1089;&#1084;&#1086;&#1084;&#1077;&#1090;&#1088;&#1080;&#1095;&#1077;&#1089;&#1082;&#1072;&#1103;_&#1089;&#1090;&#1072;&#1085;&#1094;&#1080;&#1103;_&#1054;&#1089;&#1090;&#1088;&#1086;&#1074;&#1089;&#1082;&#1072;&#1103;/" TargetMode="External"/><Relationship Id="rId620" Type="http://schemas.openxmlformats.org/officeDocument/2006/relationships/hyperlink" Target="file:///\\fserv\e\MERA\TKP\TKP2026\tkp2026_111_&#1062;&#1048;&#1040;&#1052;_&#1044;&#1072;&#1090;&#1095;&#1080;&#1082;&#1080;%20&#1077;&#1084;&#1082;&#1086;&#1089;&#1090;&#1085;&#1099;&#1077;\&#1058;&#1050;&#1055;_111_26_&#1089;&#1090;&#1072;&#1090;&#1091;&#1089;.xlsm" TargetMode="External"/><Relationship Id="rId662" Type="http://schemas.openxmlformats.org/officeDocument/2006/relationships/hyperlink" Target="../../../../TKP/TKP2026/tkp2026_239_&#1060;&#1088;&#1072;&#1082;&#1044;&#1078;&#1077;&#1090;-&#1057;&#1090;&#1088;&#1086;&#1081;_&#1076;&#1080;&#1085;&#1072;&#1084;&#1080;&#1095;&#1077;&#1089;&#1082;&#1080;&#1077;_&#1080;&#1089;&#1087;&#1099;&#1090;&#1072;&#1085;&#1080;&#1103;_&#1089;&#1074;&#1072;&#1081;_&#1052;&#1077;&#1083;&#1080;&#1093;&#1086;&#1074;/&#1058;&#1050;&#1055;_239_26_&#1089;&#1090;&#1072;&#1090;&#1091;&#1089;.xlsm" TargetMode="External"/><Relationship Id="rId718" Type="http://schemas.openxmlformats.org/officeDocument/2006/relationships/hyperlink" Target="../../../../TKP/TKP2024/tkp2024_046_&#1050;&#1041;&#1061;M_MIC-236_MIC-553_&#1045;&#1078;&#1086;&#1074;&#1072;/&#1058;&#1050;&#1055;_384_26_&#1089;&#1090;&#1072;&#1090;&#1091;&#1089;.xlsm" TargetMode="External"/><Relationship Id="rId12" Type="http://schemas.openxmlformats.org/officeDocument/2006/relationships/hyperlink" Target="..\..\..\..\TKP\TKP2023\tkp2023_002_&#1062;&#1040;&#1043;&#1048;_MIC-553_&#1057;&#1085;&#1099;&#1075;&#1080;&#1085;&#1072;" TargetMode="External"/><Relationship Id="rId108" Type="http://schemas.openxmlformats.org/officeDocument/2006/relationships/hyperlink" Target="../../../../TKP/TKP2023/tkp2023_422_Kingsly_MIC-553_&#1045;&#1078;&#1086;&#1074;&#1072;/" TargetMode="External"/><Relationship Id="rId315" Type="http://schemas.openxmlformats.org/officeDocument/2006/relationships/hyperlink" Target="../../../../TKP/TKP2024/tkp2024_474_&#1051;&#1053;&#1050;_&#1044;&#1048;&#1052;&#1080;&#1050;_&#1048;&#1055;&#1052;_&#1056;&#1040;&#1053;_&#1090;&#1077;&#1085;&#1079;&#1086;&#1089;&#1090;&#1072;&#1085;&#1094;&#1080;&#1103;_&#1052;&#1077;&#1083;&#1080;&#1093;&#1086;&#1074;/" TargetMode="External"/><Relationship Id="rId357" Type="http://schemas.openxmlformats.org/officeDocument/2006/relationships/hyperlink" Target="..\..\..\..\TKP\TKP2025\tkp2025_065_&#1054;&#1044;&#1050;%20&#1059;&#1052;&#1055;&#1054;_&#1048;&#1089;&#1087;&#1099;&#1090;&#1072;&#1085;&#1080;&#1103;_&#1040;&#1055;&#1044;_2_&#1089;&#1090;&#1077;&#1085;&#1076;&#1072;_&#1056;&#1057;&#1057;_&#1041;&#1091;&#1088;&#1103;&#1082;\" TargetMode="External"/><Relationship Id="rId522" Type="http://schemas.openxmlformats.org/officeDocument/2006/relationships/hyperlink" Target="../../../../TKP/TKP2024/tkp2024_392_&#1054;&#1050;&#1041;&#1052;_&#1040;&#1092;&#1088;&#1080;&#1082;&#1072;&#1085;&#1090;&#1086;&#1074;&#1072;_&#1056;&#1057;&#1057;_&#1052;&#1077;&#1083;&#1080;&#1093;&#1086;&#1074;/" TargetMode="External"/><Relationship Id="rId54" Type="http://schemas.openxmlformats.org/officeDocument/2006/relationships/hyperlink" Target="../../../../TKP/TKP2023/tkp2023_226_&#1040;&#1085;&#1072;&#1083;&#1086;&#1075;&#1080;_NI_&#1090;&#1077;&#1085;&#1079;&#1086;&#1080;&#1079;&#1084;&#1077;&#1088;&#1077;&#1085;&#1080;&#1103;_&#1052;&#1077;&#1083;&#1080;&#1093;&#1086;&#1074;/" TargetMode="External"/><Relationship Id="rId96" Type="http://schemas.openxmlformats.org/officeDocument/2006/relationships/hyperlink" Target="../../../../TKP/TKP2023/tkp2023_400_&#1053;&#1048;&#1062;_&#1054;&#1088;&#1077;&#1083;_MIC-170_&#1052;&#1072;&#1089;&#1083;&#1086;&#1074;&#1072;/&#1058;&#1050;&#1055;_400_23_&#1089;&#1090;&#1072;&#1090;&#1091;&#1089;.xlsm" TargetMode="External"/><Relationship Id="rId161" Type="http://schemas.openxmlformats.org/officeDocument/2006/relationships/hyperlink" Target="../../../../TKP/TKP2024/tkp2024_026_&#1054;&#1054;&#1054;%20&#1058;&#1077;&#1093;&#1085;&#1086;&#1083;&#1086;&#1075;&#1080;&#1103;_&#1052;&#1072;&#1089;&#1083;&#1086;&#1074;&#1072;/" TargetMode="External"/><Relationship Id="rId217" Type="http://schemas.openxmlformats.org/officeDocument/2006/relationships/hyperlink" Target="../../../../TKP/TKP2024/tkp2024_154_&#1050;&#1040;&#1044;&#1042;&#1048;_&#1074;&#1080;&#1073;&#1088;&#1086;&#1089;&#1090;&#1077;&#1085;&#1076;_&#1045;&#1078;&#1086;&#1074;&#1072;/" TargetMode="External"/><Relationship Id="rId399" Type="http://schemas.openxmlformats.org/officeDocument/2006/relationships/hyperlink" Target="../../../../TKP/TKP2025/tkp2025_159_&#1069;&#1088;&#1089;&#1090;&#1074;&#1072;&#1082;_&#1062;&#1080;&#1092;&#1088;&#1086;&#1074;&#1086;&#1081;%20&#1089;&#1090;&#1077;&#1085;&#1076;_&#1041;&#1091;&#1088;&#1103;&#1082;/&#1058;&#1050;&#1055;_159_25_&#1089;&#1090;&#1072;&#1090;&#1091;&#1089;.xlsm" TargetMode="External"/><Relationship Id="rId564" Type="http://schemas.openxmlformats.org/officeDocument/2006/relationships/hyperlink" Target="../../../../TKP/TKP2025/tkp2025_627_Kingsly_High_Bandwidth%20DAQ_&#1056;&#1057;&#1057;_&#1041;&#1091;&#1088;&#1103;&#1082;/&#1058;&#1050;&#1055;_627_25_&#1089;&#1090;&#1072;&#1090;&#1091;&#1089;.xlsm" TargetMode="External"/><Relationship Id="rId259" Type="http://schemas.openxmlformats.org/officeDocument/2006/relationships/hyperlink" Target="../../../../TKP/TKP2024/tkp2024_310_&#1048;&#1085;&#1090;&#1088;&#1080;&#1089;_MIC-236_&#1045;&#1078;&#1086;&#1074;&#1072;/" TargetMode="External"/><Relationship Id="rId424" Type="http://schemas.openxmlformats.org/officeDocument/2006/relationships/hyperlink" Target="../../../../TKP/TKP2025/tkp2025_249_&#1062;&#1048;&#1040;&#1052;_&#1084;&#1086;&#1085;&#1080;&#1090;&#1086;&#1088;_&#1057;&#1084;&#1072;&#1075;&#1080;&#1085;&#1072;/" TargetMode="External"/><Relationship Id="rId466" Type="http://schemas.openxmlformats.org/officeDocument/2006/relationships/hyperlink" Target="..\..\..\..\TKP\TKP2025\tkp2025_319_&#1056;&#1050;&#1062;_&#1055;&#1088;&#1086;&#1075;&#1088;&#1077;&#1089;&#1089;_&#1048;&#1089;&#1087;&#1099;&#1090;&#1072;&#1090;&#1077;&#1083;&#1100;&#1085;&#1099;&#1081;_&#1089;&#1090;&#1077;&#1085;&#1076;_&#1056;&#1057;&#1057;_&#1054;&#1089;&#1090;&#1088;&#1086;&#1074;&#1089;&#1082;&#1072;&#1103;\&#1058;&#1050;&#1055;_319_25_&#1089;&#1090;&#1072;&#1090;&#1091;&#1089;.xlsm" TargetMode="External"/><Relationship Id="rId631" Type="http://schemas.openxmlformats.org/officeDocument/2006/relationships/hyperlink" Target="../../../../TKP/TKP2026/tkp2026_017_&#1062;&#1048;&#1040;&#1052;_&#1057;&#1048;_&#1089;&#1090;&#1077;&#1085;&#1076;&#1072;_&#1062;&#1047;&#1040;_&#1052;&#1077;&#1083;&#1080;&#1093;&#1086;&#1074;/&#1058;&#1050;&#1055;_017_26_&#1089;&#1090;&#1072;&#1090;&#1091;&#1089;.xlsm" TargetMode="External"/><Relationship Id="rId673" Type="http://schemas.openxmlformats.org/officeDocument/2006/relationships/hyperlink" Target="../../../../TKP/TKP2026/tkp2026_272_&#1057;&#1080;&#1083;&#1086;&#1074;&#1099;&#1077;%20&#1084;&#1072;&#1096;&#1080;&#1085;&#1099;_&#1056;&#1057;&#1057;_&#1044;&#1060;&#1052;%20&#1077;&#1084;&#1082;&#1086;&#1089;&#1090;&#1085;&#1099;&#1077;%20&#1076;&#1072;&#1090;&#1095;&#1080;&#1082;&#1080;_&#1052;&#1077;&#1083;&#1080;&#1093;&#1086;&#1074;/&#1058;&#1050;&#1055;_272_26_&#1089;&#1090;&#1072;&#1090;&#1091;&#1089;.xlsm" TargetMode="External"/><Relationship Id="rId729" Type="http://schemas.openxmlformats.org/officeDocument/2006/relationships/hyperlink" Target="file:///\\fserv\e\MERA\TKP\TKP2026\tkp2026_433_&#1050;&#1053;&#1048;&#1058;&#1059;-&#1050;&#1040;&#1048;_&#1048;&#1048;&#1057;_&#1089;&#1090;&#1077;&#1085;&#1076;&#1072;_&#1080;&#1089;&#1087;._&#1087;&#1086;&#1083;&#1086;&#1079;&#1082;&#1086;&#1074;&#1086;&#1075;&#1086;_&#1096;&#1072;&#1089;&#1089;&#1080;_&#1074;&#1077;&#1088;&#1090;&#1086;&#1083;&#1077;&#1090;&#1086;&#1074;_&#1056;&#1057;&#1057;_&#1041;&#1091;&#1088;&#1103;&#1082;\" TargetMode="External"/><Relationship Id="rId23" Type="http://schemas.openxmlformats.org/officeDocument/2006/relationships/hyperlink" Target="../../../../TKP/TKP2022/tkp2022_406_&#1055;&#1088;&#1086;&#1075;&#1088;&#1077;&#1089;&#1089;_HBM_Catman_&#1057;&#1085;&#1099;&#1075;&#1080;&#1085;&#1072;_&#1056;&#1057;&#1057;/&#1057;&#1093;&#1077;&#1084;&#1072;" TargetMode="External"/><Relationship Id="rId119" Type="http://schemas.openxmlformats.org/officeDocument/2006/relationships/hyperlink" Target="../../../../TKP/TKP2023/tkp2023_486_&#1043;&#1072;&#1079;&#1087;&#1088;&#1086;&#1084;_&#1076;&#1080;&#1072;&#1075;&#1085;&#1086;&#1089;&#1090;&#1080;&#1082;&#1072;_MIC-200_&#1089;_&#1048;&#1042;&#1047;_&#1074;_&#1082;&#1077;&#1081;&#1089;&#1077;_&#1052;&#1077;&#1083;&#1080;&#1093;&#1086;&#1074;/" TargetMode="External"/><Relationship Id="rId270" Type="http://schemas.openxmlformats.org/officeDocument/2006/relationships/hyperlink" Target="../../../../TKP/TKP2024/tkp2024_352_Kingsly_Strain%20DAQ_1536%20channels%20+%2096%20voltages_&#1045;&#1078;&#1086;&#1074;&#1072;/" TargetMode="External"/><Relationship Id="rId326" Type="http://schemas.openxmlformats.org/officeDocument/2006/relationships/hyperlink" Target="..\..\..\..\TKP\TKP2024\tkp2024_496_&#1057;&#1080;&#1083;&#1086;&#1074;&#1099;&#1077;%20&#1084;&#1072;&#1096;&#1080;&#1085;&#1099;_MIC-1200_&#1041;&#1091;&#1088;&#1103;&#1082;\&#1058;&#1050;&#1055;_496_24_&#1089;&#1090;&#1072;&#1090;&#1091;&#1089;.xlsm" TargetMode="External"/><Relationship Id="rId533" Type="http://schemas.openxmlformats.org/officeDocument/2006/relationships/hyperlink" Target="../../../../TKP/TKP2024/tkp2024_518_&#1053;&#1048;&#1062;%20&#1056;&#1050;&#1055;_&#1058;&#1048;&#1057;_&#1056;&#1044;171_&#1056;&#1057;&#1057;_&#1052;&#1077;&#1083;&#1080;&#1093;&#1086;&#1074;/&#1058;&#1050;&#1055;_518_24_&#1089;&#1090;&#1072;&#1090;&#1091;&#1089;.xlsm" TargetMode="External"/><Relationship Id="rId65" Type="http://schemas.openxmlformats.org/officeDocument/2006/relationships/hyperlink" Target="..\..\..\..\TKP\TKP2023\tkp2023_245_&#1053;&#1042;&#1062;_&#1052;&#1080;&#1083;&#1100;_&#1080;_&#1050;&#1072;&#1084;&#1086;&#1074;_&#1089;&#1090;&#1072;&#1090;&#1079;&#1072;&#1083;_&#1069;&#1048;&#1050;_&#1052;&#1077;&#1083;&#1080;&#1093;&#1086;&#1074;\&#1058;&#1050;&#1055;_245_23_&#1089;&#1090;&#1072;&#1090;&#1091;&#1089;.xlsm" TargetMode="External"/><Relationship Id="rId130" Type="http://schemas.openxmlformats.org/officeDocument/2006/relationships/hyperlink" Target="../../../../TKP/TKP2023/in2023/&#1054;&#1054;&#1054;/1201-1300/&#1054;&#1054;&#1054;_&#1042;&#1061;_23_1256.pdf/&#1058;&#1050;&#1055;_1256_&#1054;&#1054;&#1054;_23_&#1089;&#1090;&#1072;&#1090;&#1091;&#1089;.xlsm" TargetMode="External"/><Relationship Id="rId368" Type="http://schemas.openxmlformats.org/officeDocument/2006/relationships/hyperlink" Target="../../../../TKP/TKP2025/tkp2025_030_Kingsly_128%20temperature%20recorder_&#1056;&#1057;&#1057;_&#1041;&#1091;&#1088;&#1103;&#1082;/&#1058;&#1050;&#1055;_030_25_&#1089;&#1090;&#1072;&#1090;&#1091;&#1089;.xlsm" TargetMode="External"/><Relationship Id="rId575" Type="http://schemas.openxmlformats.org/officeDocument/2006/relationships/hyperlink" Target="..\..\..\..\TKP\TKP2021\tkp2021_293_&#1057;&#1080;&#1083;&#1086;&#1074;&#1099;&#1077;_&#1084;&#1072;&#1096;&#1080;&#1085;&#1099;_MIC-1200_&#1050;&#1091;&#1076;&#1072;&#1085;&#1050;&#1091;&#1083;&#1072;&#1084;_&#1057;&#1087;&#1080;&#1088;&#1080;&#1076;&#1086;&#1085;&#1089;&#1082;&#1080;&#1081;\&#1058;&#1050;&#1055;_293_21_&#1089;&#1090;&#1072;&#1090;&#1091;&#1089;.xlsm" TargetMode="External"/><Relationship Id="rId740" Type="http://schemas.openxmlformats.org/officeDocument/2006/relationships/printerSettings" Target="../printerSettings/printerSettings1.bin"/><Relationship Id="rId172" Type="http://schemas.openxmlformats.org/officeDocument/2006/relationships/hyperlink" Target="../../../../TKP/TKP2024/tkp2024_048_&#1050;&#1041;&#1061;&#1052;_&#1057;&#1048;&#1057;_&#1045;&#1078;&#1086;&#1074;&#1072;/" TargetMode="External"/><Relationship Id="rId228" Type="http://schemas.openxmlformats.org/officeDocument/2006/relationships/hyperlink" Target="../../../../TKP/TKP2024/tkp2024_189_&#1040;&#1083;&#1100;&#1103;&#1085;&#1089;_&#1040;&#1074;&#1090;&#1086;&#1084;&#1072;&#1090;&#1080;&#1079;&#1080;&#1088;&#1086;&#1074;&#1072;&#1085;&#1085;&#1072;&#1103;_&#1089;&#1080;&#1089;&#1090;&#1077;&#1084;&#1072;_&#1085;&#1072;&#1075;&#1088;&#1091;&#1078;&#1077;&#1085;&#1080;&#1103;_&#1041;&#1091;&#1088;&#1103;&#1082;/" TargetMode="External"/><Relationship Id="rId435" Type="http://schemas.openxmlformats.org/officeDocument/2006/relationships/hyperlink" Target="../../../../TKP/TKP2025/tkp2025_223_Kingsly_MIC-185_&#1056;&#1057;&#1057;_&#1041;&#1091;&#1088;&#1103;&#1082;/" TargetMode="External"/><Relationship Id="rId477" Type="http://schemas.openxmlformats.org/officeDocument/2006/relationships/hyperlink" Target="../../../../TKP/TKP2025/tkp2025_335_&#1043;&#1072;&#1079;&#1087;&#1088;&#1086;&#1084;_&#1058;&#1088;&#1072;&#1085;&#1089;&#1075;&#1072;&#1079;_&#1070;&#1075;&#1086;&#1088;&#1089;&#1082;_MIC-1500_&#1054;&#1089;&#1090;&#1088;&#1086;&#1074;&#1089;&#1082;&#1072;&#1103;/&#1058;&#1050;&#1055;_335_25_&#1089;&#1090;&#1072;&#1090;&#1091;&#1089;.xlsm" TargetMode="External"/><Relationship Id="rId600" Type="http://schemas.openxmlformats.org/officeDocument/2006/relationships/hyperlink" Target="file:///\\fserv\e\MERA\TKP\TKP2025\tkp2025_465_&#1052;&#1040;&#1048;_&#1043;&#1057;&#1059;500_&#1052;&#1077;&#1083;&#1080;&#1093;&#1086;&#1074;\&#1058;&#1050;&#1055;_465_25_&#1089;&#1090;&#1072;&#1090;&#1091;&#1089;.xlsm" TargetMode="External"/><Relationship Id="rId642" Type="http://schemas.openxmlformats.org/officeDocument/2006/relationships/hyperlink" Target="..\..\..\..\TKP\TKP2026\tkp2026_162_&#1056;&#1050;&#1062;_&#1055;&#1088;&#1086;&#1075;&#1088;&#1077;&#1089;_%20&#1089;&#1080;&#1089;&#1090;&#1077;&#1084;&#1072;_&#1075;&#1080;&#1076;&#1088;&#1086;&#1089;&#1090;&#1072;&#1090;&#1080;&#1095;&#1077;&#1089;&#1082;&#1086;&#1075;&#1086;_&#1085;&#1072;&#1075;&#1088;&#1091;&#1078;&#1077;&#1085;&#1080;&#1103;%20_&#1056;&#1057;&#1057;" TargetMode="External"/><Relationship Id="rId684" Type="http://schemas.openxmlformats.org/officeDocument/2006/relationships/hyperlink" Target="file:///\\fserv\e\MERA\TKP\TKP2026\tkp2026_311_&#1053;&#1048;&#1062;_&#1056;&#1050;&#1055;_&#1048;&#1057;-102_&#1040;&#1085;&#1090;&#1080;&#1087;&#1077;&#1085;&#1082;&#1086;\" TargetMode="External"/><Relationship Id="rId281" Type="http://schemas.openxmlformats.org/officeDocument/2006/relationships/hyperlink" Target="../../../../TKP/TKP2024/tkp2024_372_&#1050;&#1088;&#1086;&#1085;&#1096;&#1090;&#1072;&#1076;&#1090;_&#1080;&#1089;&#1087;.%20&#1089;&#1080;&#1083;&#1086;&#1074;&#1086;&#1081;%20&#1091;&#1089;&#1090;&#1072;&#1085;&#1086;&#1074;&#1082;&#1080;_&#1056;&#1057;&#1057;_&#1052;&#1077;&#1083;&#1080;&#1093;&#1086;&#1074;/&#1058;&#1050;&#1055;_372_24_&#1089;&#1090;&#1072;&#1090;&#1091;&#1089;.xlsm" TargetMode="External"/><Relationship Id="rId337" Type="http://schemas.openxmlformats.org/officeDocument/2006/relationships/hyperlink" Target="../../../../TKP/TKP2025/tkp2025_015_Kingsly%2064%20chan.%20DAQ_&#1056;&#1057;&#1057;_&#1041;&#1091;&#1088;&#1103;&#1082;/&#1058;&#1050;&#1055;_015_25_&#1089;&#1090;&#1072;&#1090;&#1091;&#1089;.xlsm" TargetMode="External"/><Relationship Id="rId502" Type="http://schemas.openxmlformats.org/officeDocument/2006/relationships/hyperlink" Target="../../../../TKP/TKP2025/tkp2025_481_&#1053;&#1055;&#1060;_&#1050;&#1091;&#1073;&#1072;&#1085;&#1100;&#1085;&#1077;&#1092;&#1090;&#1077;&#1084;&#1072;&#1096;_&#1048;&#1057;_&#1044;&#1042;&#1057;_&#1041;&#1055;&#1051;&#1040;_&#1041;&#1091;&#1088;&#1103;&#1082;/&#1058;&#1050;&#1055;_481_25_&#1089;&#1090;&#1072;&#1090;&#1091;&#1089;.xlsm" TargetMode="External"/><Relationship Id="rId34" Type="http://schemas.openxmlformats.org/officeDocument/2006/relationships/hyperlink" Target="..\..\..\..\TKP\TKP2023\tkp2023_177_&#1059;&#1047;&#1043;&#1040;_&#1089;&#1090;&#1077;&#1085;&#1076;_&#1086;&#1073;&#1082;&#1072;&#1090;&#1082;&#1080;_&#1088;&#1077;&#1076;&#1091;&#1082;&#1090;&#1086;&#1088;&#1072;_&#1057;&#1087;&#1080;&#1088;&#1080;&#1076;&#1086;&#1085;&#1089;&#1082;&#1080;&#1081;\&#1058;&#1050;&#1055;_177_23_&#1089;&#1090;&#1072;&#1090;&#1091;&#1089;.xlsm" TargetMode="External"/><Relationship Id="rId76" Type="http://schemas.openxmlformats.org/officeDocument/2006/relationships/hyperlink" Target="..\..\..\..\TKP\TKP2022\tkp2022_154_&#1059;&#1052;&#1055;&#1054;_&#1059;&#1092;&#1072;_&#1056;&#1072;&#1079;&#1088;&#1072;&#1073;&#1086;&#1090;&#1082;&#1072;_&#1082;&#1086;&#1085;&#1094;&#1077;&#1087;&#1090;&#1091;&#1072;&#1083;&#1100;&#1085;&#1086;&#1075;&#1086;_&#1087;&#1088;&#1086;&#1077;&#1082;&#1090;&#1072;_&#1057;&#1085;&#1099;&#1075;&#1080;&#1085;&#1072;\&#1058;&#1050;&#1055;_154_22_&#1089;&#1090;&#1072;&#1090;&#1091;&#1089;.xlsm" TargetMode="External"/><Relationship Id="rId141" Type="http://schemas.openxmlformats.org/officeDocument/2006/relationships/hyperlink" Target="..\..\..\..\TKP\TKP2023\tkp2023_460_&#1054;&#1056;&#1043;&#1056;&#1069;&#1057;_&#1057;&#1090;&#1072;&#1090;&#1079;&#1072;&#1083;_&#1056;&#1057;&#1057;\&#1058;&#1050;&#1055;_460_23_&#1089;&#1090;&#1072;&#1090;&#1091;&#1089;.xlsm" TargetMode="External"/><Relationship Id="rId379" Type="http://schemas.openxmlformats.org/officeDocument/2006/relationships/hyperlink" Target="../../../../TKP/TKP2025/tkp2025_126_&#1040;&#1054;_&#1050;&#1088;&#1086;&#1085;&#1096;&#1090;&#1072;&#1076;&#1090;_&#1048;&#1079;&#1084;&#1077;&#1088;&#1080;&#1090;&#1077;&#1083;&#1100;&#1085;&#1099;&#1077;_&#1089;&#1080;&#1089;&#1090;&#1077;&#1084;&#1099;_&#1054;&#1089;&#1090;&#1088;&#1086;&#1074;&#1089;&#1082;&#1072;&#1103;/&#1058;&#1050;&#1055;_126_25_&#1089;&#1090;&#1072;&#1090;&#1091;&#1089;.xlsm" TargetMode="External"/><Relationship Id="rId544" Type="http://schemas.openxmlformats.org/officeDocument/2006/relationships/hyperlink" Target="../../../../TKP/TKP2025/tkp2025_552_&#1057;&#1080;&#1083;&#1086;&#1074;&#1099;&#1077;_&#1084;&#1072;&#1096;&#1080;&#1085;&#1099;_ME-405%20_&#1056;&#1057;&#1057;_&#1041;&#1091;&#1088;&#1103;&#1082;/&#1058;&#1050;&#1055;_552_25_&#1089;&#1090;&#1072;&#1090;&#1091;&#1089;.xlsm" TargetMode="External"/><Relationship Id="rId586" Type="http://schemas.openxmlformats.org/officeDocument/2006/relationships/hyperlink" Target="file:///\\fserv\e\MERA\TKP\TKP2026\tkp2026_017_&#1062;&#1048;&#1040;&#1052;_&#1057;&#1048;_&#1089;&#1090;&#1077;&#1085;&#1076;&#1072;_&#1062;&#1047;&#1040;_&#1052;&#1077;&#1083;&#1080;&#1093;&#1086;&#1074;\" TargetMode="External"/><Relationship Id="rId751" Type="http://schemas.openxmlformats.org/officeDocument/2006/relationships/ctrlProp" Target="../ctrlProps/ctrlProp9.xml"/><Relationship Id="rId7" Type="http://schemas.openxmlformats.org/officeDocument/2006/relationships/hyperlink" Target="../../../../TKP/TKP2022/tkp2022_104_MIC-224_&#1054;&#1050;&#1041;_&#1057;&#1091;&#1093;&#1086;&#1075;&#1086;_&#1045;&#1078;&#1086;&#1074;&#1072;" TargetMode="External"/><Relationship Id="rId183" Type="http://schemas.openxmlformats.org/officeDocument/2006/relationships/hyperlink" Target="..\..\..\..\TKP\TKP2024\tkp2024_059_&#1054;&#1044;&#1050;_&#1057;&#1072;&#1090;&#1091;&#1088;&#1085;_&#1076;&#1080;&#1085;&#1072;&#1084;&#1080;&#1082;&#1072;_&#1089;&#1090;&#1077;&#1085;&#1076;&#1099;%20&#8470;3,4_&#1045;&#1078;&#1086;&#1074;&#1072;\&#1058;&#1050;&#1055;_059_24_&#1089;&#1090;&#1072;&#1090;&#1091;&#1089;.xlsm" TargetMode="External"/><Relationship Id="rId239" Type="http://schemas.openxmlformats.org/officeDocument/2006/relationships/hyperlink" Target="../../../../TKP/TKP2024/tkp2024_186_&#1054;&#1053;&#1055;&#1055;_&#1058;&#1077;&#1093;&#1085;&#1086;&#1083;&#1086;&#1075;&#1080;&#1103;_MIC-236_&#1041;&#1091;&#1088;&#1103;&#1082;/" TargetMode="External"/><Relationship Id="rId390" Type="http://schemas.openxmlformats.org/officeDocument/2006/relationships/hyperlink" Target="../../../../TKP/TKP2024/tkp2024_334_&#1059;&#1047;&#1043;&#1040;_&#1040;&#1055;&#1044;-500_2_&#1089;&#1090;&#1077;&#1085;&#1076;&#1072;_&#1056;&#1057;&#1057;_&#1041;&#1091;&#1088;&#1103;&#1082;/" TargetMode="External"/><Relationship Id="rId404" Type="http://schemas.openxmlformats.org/officeDocument/2006/relationships/hyperlink" Target="../../../../TKP/TKP2025/tkp2025_140_&#1054;&#1044;&#1050;-&#1050;&#1091;&#1079;&#1085;&#1077;&#1094;&#1086;&#1074;_&#1079;&#1072;&#1075;&#1088;&#1091;&#1079;&#1086;&#1095;&#1085;&#1086;&#1077;_&#1091;&#1089;&#1090;&#1088;&#1086;&#1081;&#1089;&#1090;&#1074;&#1086;_&#1075;&#1080;&#1076;&#1088;&#1086;&#1090;&#1086;&#1088;&#1084;&#1086;&#1079;_&#1082;&#1086;&#1088;&#1087;.201_&#1094;&#1077;&#1093;60_&#1042;&#1080;&#1085;&#1090;&#1072;&#1081;_&#1052;&#1077;&#1083;&#1080;&#1093;&#1086;&#1074;/" TargetMode="External"/><Relationship Id="rId446" Type="http://schemas.openxmlformats.org/officeDocument/2006/relationships/hyperlink" Target="../../../../TKP/TKP2025/tkp2025_279_&#1050;&#1041;&#1061;&#1052;_MIC-236_MIC-553_&#1056;&#1057;&#1057;_/" TargetMode="External"/><Relationship Id="rId611" Type="http://schemas.openxmlformats.org/officeDocument/2006/relationships/hyperlink" Target="file:///\\fserv\e\MERA\TKP\TKP2026\tkp2026_115_&#1044;&#1050;&#1041;&#1040;_&#1058;&#1077;&#1087;&#1083;&#1086;&#1074;&#1086;&#1081;_&#1089;&#1090;&#1077;&#1085;&#1076;_&#1052;&#1077;&#1083;&#1080;&#1093;&#1086;&#1074;\" TargetMode="External"/><Relationship Id="rId653" Type="http://schemas.openxmlformats.org/officeDocument/2006/relationships/hyperlink" Target="..\..\..\..\TKP\TKP2026\tkp2026_185_&#1050;&#1041;&#1061;&#1040;%20&#1072;&#1085;&#1072;&#1083;&#1086;&#1075;%20&#1089;&#1090;.62_p1264_&#1056;&#1057;&#1057;_&#1040;&#1085;&#1090;&#1080;&#1087;&#1077;&#1085;&#1082;&#1086;\&#1058;&#1050;&#1055;_185_26_&#1089;&#1090;&#1072;&#1090;&#1091;&#1089;.xlsm" TargetMode="External"/><Relationship Id="rId250" Type="http://schemas.openxmlformats.org/officeDocument/2006/relationships/hyperlink" Target="../../../../TKP/TKP2024/tkp2024_264_&#1054;&#1050;&#1041;_&#1056;&#1086;&#1089;&#1090;&#1086;&#1074;_&#1052;&#1080;&#1083;&#1100;_&#1089;&#1090;&#1077;&#1085;&#1076;_&#1080;&#1089;&#1087;&#1099;&#1090;&#1072;&#1085;&#1080;&#1081;_&#1074;&#1077;&#1085;&#1090;&#1080;&#1083;&#1103;&#1090;&#1086;&#1088;&#1086;&#1074;_&#1045;&#1078;&#1086;&#1074;&#1072;/" TargetMode="External"/><Relationship Id="rId292" Type="http://schemas.openxmlformats.org/officeDocument/2006/relationships/hyperlink" Target="../../../../TKP/TKP2024/tkp2024_433_&#1050;&#1043;&#1058;&#1059;_&#1048;&#1079;&#1084;&#1077;&#1088;&#1080;&#1090;&#1077;&#1083;&#1100;_&#1082;&#1088;&#1091;&#1090;&#1103;&#1097;&#1077;&#1075;&#1086;_&#1084;&#1086;&#1084;&#1077;&#1085;&#1090;&#1072;_&#1080;_&#1076;&#1072;&#1074;&#1083;&#1077;&#1085;&#1080;&#1103;_&#1052;&#1077;&#1083;&#1080;&#1093;&#1086;&#1074;" TargetMode="External"/><Relationship Id="rId306" Type="http://schemas.openxmlformats.org/officeDocument/2006/relationships/hyperlink" Target="../../../../TKP/TKP2024/tkp2024_418_&#1054;&#1044;&#1050;_&#1057;&#1072;&#1090;&#1091;&#1088;&#1085;_&#1040;&#1057;&#1059;&#1058;&#1055;&#1048;_(&#1089;&#1090;&#1077;&#1085;&#1076;&#1099;_26,_27,_28)_&#1052;&#1077;&#1083;&#1080;&#1093;&#1086;&#1074;/&#1058;&#1050;&#1055;_418_24_&#1089;&#1090;&#1072;&#1090;&#1091;&#1089;.xlsm" TargetMode="External"/><Relationship Id="rId488" Type="http://schemas.openxmlformats.org/officeDocument/2006/relationships/hyperlink" Target="../../../../TKP/TKP2025/tkp2025_433_Kingsly_PDAS%20analog%20Compact%20RIO_&#1056;&#1057;&#1057;_&#1041;&#1091;&#1088;&#1103;&#1082;/&#1058;&#1050;&#1055;_433_25_&#1089;&#1090;&#1072;&#1090;&#1091;&#1089;.xlsm" TargetMode="External"/><Relationship Id="rId695" Type="http://schemas.openxmlformats.org/officeDocument/2006/relationships/hyperlink" Target="..\..\..\..\TKP\TKP2026\tkp2026_265_&#1047;&#1080;&#1084;&#1077;&#1085;&#1089;_&#1071;&#1082;&#1072;&#1075;&#1072;&#1074;&#1072;_&#1057;&#1087;&#1077;&#1085;&#1076;_&#1040;&#1055;&#1044;_550_&#1052;&#1077;&#1083;&#1080;&#1093;&#1086;&#1074;\&#1058;&#1050;&#1055;_265_26_&#1089;&#1090;&#1072;&#1090;&#1091;&#1089;.xlsm" TargetMode="External"/><Relationship Id="rId709" Type="http://schemas.openxmlformats.org/officeDocument/2006/relationships/hyperlink" Target="file:///\\fserv\e\MERA\TKP\TKP2026\tkp2026_359_&#1050;&#1041;&#1061;&#1052;_&#1084;&#1086;&#1076;&#1077;&#1088;&#1085;&#1080;&#1079;&#1072;&#1094;&#1080;&#1103;_&#1057;&#1048;&#1052;&#1052;&#1055;_&#1040;&#1085;&#1090;&#1080;&#1087;&#1077;&#1085;&#1082;&#1086;\" TargetMode="External"/><Relationship Id="rId45" Type="http://schemas.openxmlformats.org/officeDocument/2006/relationships/hyperlink" Target="../../../../TKP/TKP2023/tkp2023_189_&#1059;&#1047;&#1043;&#1040;_&#1089;&#1090;&#1077;&#1085;&#1076;_&#1087;&#1088;&#1077;&#1076;&#1084;&#1086;&#1085;&#1090;&#1072;&#1078;&#1085;&#1086;&#1081;_&#1085;&#1072;&#1083;&#1072;&#1076;&#1082;&#1080;_&#1057;&#1087;&#1080;&#1088;&#1080;&#1076;&#1086;&#1085;&#1089;&#1082;&#1080;&#1081;/" TargetMode="External"/><Relationship Id="rId87" Type="http://schemas.openxmlformats.org/officeDocument/2006/relationships/hyperlink" Target="../../../../TKP/TKP2023/tkp2023_324_%20&#1050;&#1088;&#1086;&#1085;&#1096;&#1090;&#1072;&#1076;&#1090;_MIC-224_&#1045;&#1078;&#1086;&#1074;&#1072;/&#1058;&#1050;&#1055;_324_23_&#1089;&#1090;&#1072;&#1090;&#1091;&#1089;.xlsm" TargetMode="External"/><Relationship Id="rId110" Type="http://schemas.openxmlformats.org/officeDocument/2006/relationships/hyperlink" Target="..\..\..\..\TKP\TKP2023\tkp2023_432_&#1043;&#1050;&#1053;&#1055;&#1062;%20&#1061;&#1088;&#1091;&#1085;&#1080;&#1095;&#1077;&#1074;&#1072;_&#1057;&#1080;&#1089;&#1090;&#1077;&#1084;&#1072;_&#1080;&#1079;&#1084;&#1077;&#1088;&#1077;&#1085;&#1080;&#1103;_&#1052;&#1072;&#1088;&#1090;&#1099;&#1085;&#1086;&#1074;\" TargetMode="External"/><Relationship Id="rId348" Type="http://schemas.openxmlformats.org/officeDocument/2006/relationships/hyperlink" Target="../../../../TKP/TKP2025/tkp2025_048_&#1040;&#1074;&#1090;&#1086;&#1074;&#1072;&#1079;_&#1052;&#1086;&#1076;&#1077;&#1088;&#1085;&#1080;&#1079;&#1072;&#1094;&#1080;&#1103;%20&#1089;&#1090;&#1077;&#1085;&#1076;&#1086;&#1074;_&#1056;&#1057;&#1057;/&#1058;&#1050;&#1055;_048_25_&#1089;&#1090;&#1072;&#1090;&#1091;&#1089;.xlsm" TargetMode="External"/><Relationship Id="rId513" Type="http://schemas.openxmlformats.org/officeDocument/2006/relationships/hyperlink" Target="../../../../TKP/TKP2025/tkp2025_380_&#1057;&#1043;&#1040;&#1059;_&#1089;&#1090;&#1077;&#1085;&#1076;&#1099;_&#1080;&#1089;&#1087;&#1099;&#1090;&#1072;&#1085;&#1080;&#1081;_&#1052;&#1043;&#1058;&#1044;_200H_&#1052;&#1077;&#1083;&#1080;&#1093;&#1086;&#1074;/" TargetMode="External"/><Relationship Id="rId555" Type="http://schemas.openxmlformats.org/officeDocument/2006/relationships/hyperlink" Target="../../../../TKP/TKP2025/tkp2025_593_&#1050;&#1091;&#1088;&#1075;&#1072;&#1085;&#1052;&#1072;&#1096;&#1047;&#1072;&#1074;&#1086;&#1076;_&#1056;&#1057;&#1057;_&#1052;&#1077;&#1083;&#1080;&#1093;&#1086;&#1074;/&#1058;&#1050;&#1055;_593_25_&#1089;&#1090;&#1072;&#1090;&#1091;&#1089;.xlsm" TargetMode="External"/><Relationship Id="rId597" Type="http://schemas.openxmlformats.org/officeDocument/2006/relationships/hyperlink" Target="file:///\\fserv\e\MERA\TKP\TKP2026\tkp2026_058_&#1045;&#1052;&#1058;_MIC-224+&#1084;&#1086;&#1076;&#1072;&#1083;&#1100;&#1085;&#1099;&#1081;_&#1084;&#1086;&#1083;&#1086;&#1090;&#1086;&#1082;_&#1056;&#1057;&#1057;_&#1052;&#1077;&#1083;&#1080;&#1093;&#1086;&#1074;\&#1058;&#1050;&#1055;_058_26_&#1089;&#1090;&#1072;&#1090;&#1091;&#1089;.xlsm" TargetMode="External"/><Relationship Id="rId720" Type="http://schemas.openxmlformats.org/officeDocument/2006/relationships/hyperlink" Target="file:///\\Fserv\e\MERA\TKP\TKP2026\tkp2026_405_&#1051;&#1048;&#1048;&#1055;_&#1080;&#1084;._&#1043;&#1088;&#1080;&#1079;&#1086;&#1076;&#1091;&#1073;&#1086;&#1074;&#1086;&#1081;_&#1048;&#1089;&#1087;&#1099;&#1090;&#1072;&#1085;&#1080;&#1103;_&#1043;&#1058;&#1044;_&#1056;&#1057;&#1057;_&#1041;&#1091;&#1088;&#1103;&#1082;\&#1058;&#1050;&#1055;_405_26_&#1089;&#1090;&#1072;&#1090;&#1091;&#1089;.xlsm" TargetMode="External"/><Relationship Id="rId152" Type="http://schemas.openxmlformats.org/officeDocument/2006/relationships/hyperlink" Target="../../../../TKP/TKP2023/tkp2023_231_&#1041;&#1048;&#1057;-&#1056;&#1059;&#1057;_&#1048;&#1079;&#1084;&#1077;&#1088;&#1080;&#1090;&#1077;&#1083;&#1100;_&#1074;&#1080;&#1073;&#1088;&#1072;&#1094;&#1080;&#1080;_&#1076;&#1083;&#1103;_&#1101;&#1083;&#1077;&#1082;&#1090;&#1088;&#1086;&#1082;&#1086;&#1084;&#1087;&#1088;&#1077;&#1089;&#1089;&#1086;&#1088;&#1072;_&#1040;&#1053;&#1061;&#1050;_&#1052;&#1077;&#1083;&#1080;&#1093;&#1086;&#1074;/&#1058;&#1050;&#1055;_231_23_&#1089;&#1090;&#1072;&#1090;&#1091;&#1089;.xlsm" TargetMode="External"/><Relationship Id="rId194" Type="http://schemas.openxmlformats.org/officeDocument/2006/relationships/hyperlink" Target="../../../../TKP/TKP2024/tkp2024_081_&#1047;&#1072;&#1074;&#1086;&#1076;_&#1042;&#1077;&#1085;&#1090;&#1080;&#1083;&#1103;&#1090;&#1086;&#1088;_&#1048;&#1042;&#1050;_&#1056;&#1057;&#1057;_&#1045;&#1078;&#1086;&#1074;&#1072;/&#1058;&#1050;&#1055;_081_24_&#1089;&#1090;&#1072;&#1090;&#1091;&#1089;.xlsm" TargetMode="External"/><Relationship Id="rId208" Type="http://schemas.openxmlformats.org/officeDocument/2006/relationships/hyperlink" Target="../../../../TKP/TKP2024/tkp2024_148_&#1048;&#1082;&#1072;&#1088;_&#1087;&#1086;&#1088;&#1096;&#1085;&#1077;&#1074;&#1099;&#1077;%20&#1076;&#1074;&#1080;&#1075;&#1072;&#1090;&#1077;&#1083;&#1080;_70-200_&#1052;&#1072;&#1089;&#1083;&#1086;&#1074;&#1072;/" TargetMode="External"/><Relationship Id="rId415" Type="http://schemas.openxmlformats.org/officeDocument/2006/relationships/hyperlink" Target="../../../../TKP/TKP2025/tkp2025_202_Kingsly_System%20for%20Gear%20box%20testing_&#1056;&#1057;&#1057;_&#1041;&#1091;&#1088;&#1103;&#1082;/&#1058;&#1050;&#1055;_202_25_&#1089;&#1090;&#1072;&#1090;&#1091;&#1089;.xlsm" TargetMode="External"/><Relationship Id="rId457" Type="http://schemas.openxmlformats.org/officeDocument/2006/relationships/hyperlink" Target="../../../../TKP/TKP2025/tkp2025_298_&#1053;&#1055;&#1050;_&#1050;&#1041;&#1052;_MT_200_&#1054;&#1089;&#1090;&#1088;&#1086;&#1074;&#1089;&#1082;&#1072;&#1103;/&#1058;&#1050;&#1055;_298_25_&#1089;&#1090;&#1072;&#1090;&#1091;&#1089;.xlsm" TargetMode="External"/><Relationship Id="rId622" Type="http://schemas.openxmlformats.org/officeDocument/2006/relationships/hyperlink" Target="file:///\\fserv\e\MERA\TKP\TKP2026\tkp2026_019_&#1056;&#1058;&#1059;_&#1052;&#1048;&#1056;&#1069;&#1040;_&#1057;&#1080;&#1089;&#1090;&#1077;&#1084;&#1072;%20&#1074;&#1080;&#1073;&#1088;&#1086;&#1085;&#1072;&#1075;&#1088;&#1091;&#1078;&#1077;&#1085;&#1080;&#1103;_&#1056;&#1057;&#1057;_&#1041;&#1091;&#1088;&#1103;&#1082;\&#1058;&#1050;&#1055;_019_26_&#1089;&#1090;&#1072;&#1090;&#1091;&#1089;.xlsm" TargetMode="External"/><Relationship Id="rId261" Type="http://schemas.openxmlformats.org/officeDocument/2006/relationships/hyperlink" Target="../../../../TKP/TKP2024/tkp2024_312_&#1058;&#1088;&#1072;&#1085;&#1089;&#1053;&#1077;&#1092;&#1090;&#1100;_MIC-236_&#1052;&#1077;&#1083;&#1080;&#1093;&#1086;&#1074;/" TargetMode="External"/><Relationship Id="rId499" Type="http://schemas.openxmlformats.org/officeDocument/2006/relationships/hyperlink" Target="../../../../TKP/TKP2025/tkp2025_481_&#1053;&#1055;&#1060;_&#1050;&#1091;&#1073;&#1072;&#1085;&#1100;&#1085;&#1077;&#1092;&#1090;&#1077;&#1084;&#1072;&#1096;_&#1048;&#1057;_&#1044;&#1042;&#1057;_&#1041;&#1055;&#1051;&#1040;_&#1041;&#1091;&#1088;&#1103;&#1082;/" TargetMode="External"/><Relationship Id="rId664" Type="http://schemas.openxmlformats.org/officeDocument/2006/relationships/hyperlink" Target="file:///\\fserv\e\MERA\TKP\TKP2026\tkp2026_262_&#1057;&#1080;&#1083;&#1086;&#1074;&#1099;&#1077;_&#1084;&#1072;&#1096;&#1080;&#1085;&#1099;_&#1051;&#1077;&#1085;&#1080;&#1085;&#1075;&#1088;&#1072;&#1076;&#1089;&#1082;&#1072;&#1103;_&#1040;&#1069;&#1057;-2_&#1057;&#1050;&#1042;&#1051;_&#1056;&#1057;&#1057;_&#1041;&#1091;&#1088;&#1103;&#1082;\" TargetMode="External"/><Relationship Id="rId14" Type="http://schemas.openxmlformats.org/officeDocument/2006/relationships/hyperlink" Target="../../../../TKP/TKP2023/tkp2023_069_&#1050;&#1041;&#1061;&#1052;_MIC-236_MIC-553_&#1045;&#1078;&#1086;&#1074;&#1072;" TargetMode="External"/><Relationship Id="rId56" Type="http://schemas.openxmlformats.org/officeDocument/2006/relationships/hyperlink" Target="../../../../TKP/TKP2023/tkp2023_188_&#1054;&#1044;&#1050;-&#1089;&#1077;&#1088;&#1074;&#1080;&#1089;_&#1089;&#1080;&#1089;&#1090;&#1077;&#1084;&#1072;_&#1079;&#1072;&#1075;&#1088;&#1091;&#1079;&#1082;&#1080;_&#1091;&#1089;&#1090;&#1072;&#1085;&#1086;&#1074;&#1082;&#1080;_&#1053;&#1057;&#1054;_&#1040;&#1051;-31&#1060;_&#1057;&#1087;&#1080;&#1088;&#1080;&#1076;&#1086;&#1085;&#1089;&#1082;&#1080;&#1081;/" TargetMode="External"/><Relationship Id="rId317" Type="http://schemas.openxmlformats.org/officeDocument/2006/relationships/hyperlink" Target="../../../../TKP/TKP2024/tkp2024_474_&#1051;&#1053;&#1050;_&#1044;&#1048;&#1052;&#1080;&#1050;_&#1048;&#1055;&#1052;_&#1056;&#1040;&#1053;_&#1090;&#1077;&#1085;&#1079;&#1086;&#1089;&#1090;&#1072;&#1085;&#1094;&#1080;&#1103;_&#1052;&#1077;&#1083;&#1080;&#1093;&#1086;&#1074;/&#1058;&#1050;&#1055;_474_24_&#1089;&#1090;&#1072;&#1090;&#1091;&#1089;.xlsm" TargetMode="External"/><Relationship Id="rId359" Type="http://schemas.openxmlformats.org/officeDocument/2006/relationships/hyperlink" Target="..\..\..\..\TKP\TKP2025\tkp2025_066_EKLES%20SERTIFICATE_&#1058;&#1077;&#1085;&#1079;&#1086;&#1089;&#1090;&#1072;&#1085;&#1094;&#1080;&#1103;_24_&#1082;&#1072;&#1085;&#1072;&#1083;&#1072;_&#1054;&#1089;&#1090;&#1088;&#1086;&#1074;&#1089;&#1082;&#1072;&#1103;\&#1058;&#1050;&#1055;_066_25_&#1089;&#1090;&#1072;&#1090;&#1091;&#1089;.xlsm" TargetMode="External"/><Relationship Id="rId524" Type="http://schemas.openxmlformats.org/officeDocument/2006/relationships/hyperlink" Target="../../../../TKP/TKP2025/tkp2025_537_150%20&#1040;&#1056;&#1047;_&#1052;&#1086;&#1076;&#1077;&#1088;&#1085;&#1080;&#1079;&#1072;&#1094;&#1080;&#1103;%20&#1048;&#1057;%20&#1087;&#1086;&#1076;%20&#1042;&#1050;-2500_&#1056;&#1057;&#1057;_&#1041;&#1091;&#1088;&#1103;&#1082;/" TargetMode="External"/><Relationship Id="rId566" Type="http://schemas.openxmlformats.org/officeDocument/2006/relationships/hyperlink" Target="../../../../TKP/TKP2024/tkp2024_174_&#1057;&#1080;&#1083;&#1086;&#1074;&#1099;&#1077;%20&#1084;&#1072;&#1096;&#1080;&#1085;&#1099;_mic-1200_&#1043;&#1058;&#1069;-170.2_&#1045;&#1078;&#1086;&#1074;&#1072;/" TargetMode="External"/><Relationship Id="rId731" Type="http://schemas.openxmlformats.org/officeDocument/2006/relationships/hyperlink" Target="../../../../TKP/TKP2026/tkp2026_427_&#1059;&#1047;&#1043;&#1040;_&#1064;&#1083;&#1102;&#1079;_CAN_2.0-Modbus_TCP_&#1056;&#1057;&#1057;_&#1041;&#1091;&#1088;&#1103;&#1082;/&#1058;&#1050;&#1055;_427_26_&#1089;&#1090;&#1072;&#1090;&#1091;&#1089;.xlsm" TargetMode="External"/><Relationship Id="rId98" Type="http://schemas.openxmlformats.org/officeDocument/2006/relationships/hyperlink" Target="..\..\..\..\TKP\TKP2022\tkp2022_406_&#1055;&#1088;&#1086;&#1075;&#1088;&#1077;&#1089;&#1089;_HBM_Catman_&#1057;&#1085;&#1099;&#1075;&#1080;&#1085;&#1072;_&#1056;&#1057;&#1057;\&#1058;&#1050;&#1055;_406_22_&#1089;&#1090;&#1072;&#1090;&#1091;&#1089;.xlsm" TargetMode="External"/><Relationship Id="rId121" Type="http://schemas.openxmlformats.org/officeDocument/2006/relationships/hyperlink" Target="../../../../TKP/TKP2023/tkp2023_492_&#1050;&#1088;&#1086;&#1085;&#1096;&#1090;&#1072;&#1076;&#1090;_&#1089;&#1090;&#1077;&#1085;&#1076;&#1086;&#1074;&#1072;&#1103;_&#1048;&#1057;_&#1045;&#1078;&#1086;&#1074;&#1072;/" TargetMode="External"/><Relationship Id="rId163" Type="http://schemas.openxmlformats.org/officeDocument/2006/relationships/hyperlink" Target="../../../../TKP/TKP2024/tkp2024_025_Kingsly_MIC-1150_Rocket_Fire_test_&#1045;&#1078;&#1086;&#1074;&#1072;/&#1058;&#1050;&#1055;_025_24_&#1089;&#1090;&#1072;&#1090;&#1091;&#1089;.xlsm" TargetMode="External"/><Relationship Id="rId219" Type="http://schemas.openxmlformats.org/officeDocument/2006/relationships/hyperlink" Target="../../../../TKP/TKP2024/tkp2024_172_&#1062;&#1048;&#1040;&#1052;_&#1082;&#1086;&#1084;&#1087;&#1083;&#1077;&#1082;&#1090;%20&#1076;&#1083;&#1103;%20&#1076;&#1080;&#1072;&#1075;&#1085;&#1086;&#1089;&#1090;&#1080;&#1082;&#1080;_&#1052;&#1072;&#1089;&#1083;&#1086;&#1074;&#1072;/" TargetMode="External"/><Relationship Id="rId370" Type="http://schemas.openxmlformats.org/officeDocument/2006/relationships/hyperlink" Target="../../../../TKP/TKP2024/tkp2024_264_&#1054;&#1050;&#1041;_&#1056;&#1086;&#1089;&#1090;&#1086;&#1074;_&#1052;&#1080;&#1083;&#1100;_&#1089;&#1090;&#1077;&#1085;&#1076;_&#1080;&#1089;&#1087;&#1099;&#1090;&#1072;&#1085;&#1080;&#1081;_&#1074;&#1077;&#1085;&#1090;&#1080;&#1083;&#1103;&#1090;&#1086;&#1088;&#1086;&#1074;_&#1045;&#1078;&#1086;&#1074;&#1072;/&#1058;&#1050;&#1055;_264_24_&#1089;&#1090;&#1072;&#1090;&#1091;&#1089;.xlsm" TargetMode="External"/><Relationship Id="rId426" Type="http://schemas.openxmlformats.org/officeDocument/2006/relationships/hyperlink" Target="../../../../TKP/TKP2025/tkp2025_249_&#1062;&#1048;&#1040;&#1052;_&#1084;&#1086;&#1085;&#1080;&#1090;&#1086;&#1088;_&#1057;&#1084;&#1072;&#1075;&#1080;&#1085;&#1072;/&#1058;&#1050;&#1055;_249_25_&#1089;&#1090;&#1072;&#1090;&#1091;&#1089;.xlsm" TargetMode="External"/><Relationship Id="rId633" Type="http://schemas.openxmlformats.org/officeDocument/2006/relationships/hyperlink" Target="file:///\\fserv\e\MERA\TKP\TKP2026\tkp2026_112_&#1054;&#1050;&#1041;&#1052;_&#1040;&#1092;&#1088;&#1080;&#1082;&#1072;&#1085;&#1090;&#1086;&#1074;_&#1089;&#1090;&#1086;&#1081;&#1082;&#1072;_&#1057;&#1058;&#1058;_&#1052;&#1077;&#1083;&#1080;&#1093;&#1086;&#1074;\" TargetMode="External"/><Relationship Id="rId230" Type="http://schemas.openxmlformats.org/officeDocument/2006/relationships/hyperlink" Target="../../../../TKP/TKP2024/tkp2024_189_&#1040;&#1083;&#1100;&#1103;&#1085;&#1089;_&#1040;&#1074;&#1090;&#1086;&#1084;&#1072;&#1090;&#1080;&#1079;&#1080;&#1088;&#1086;&#1074;&#1072;&#1085;&#1085;&#1072;&#1103;_&#1089;&#1080;&#1089;&#1090;&#1077;&#1084;&#1072;_&#1085;&#1072;&#1075;&#1088;&#1091;&#1078;&#1077;&#1085;&#1080;&#1103;_&#1041;&#1091;&#1088;&#1103;&#1082;/&#1058;&#1050;&#1055;_189_24_&#1089;&#1090;&#1072;&#1090;&#1091;&#1089;.xlsm" TargetMode="External"/><Relationship Id="rId468" Type="http://schemas.openxmlformats.org/officeDocument/2006/relationships/hyperlink" Target="..\..\..\..\TKP\TKP2025\tkp2025_325_&#1050;&#1040;&#1052;&#1040;&#1047;_&#1057;&#1090;&#1077;&#1085;&#1076;_&#1080;&#1089;&#1087;&#1099;&#1090;&#1072;&#1085;&#1080;&#1103;_&#1095;&#1077;&#1090;&#1099;&#1088;&#1077;&#1093;&#1086;&#1089;&#1085;&#1099;&#1081;_&#1052;&#1077;&#1083;&#1080;&#1093;&#1086;&#1074;\" TargetMode="External"/><Relationship Id="rId675" Type="http://schemas.openxmlformats.org/officeDocument/2006/relationships/hyperlink" Target="file:///\\fserv\e\MERA\TKP\TKP2026\tkp2026_203_&#1050;&#1041;&#1061;&#1052;_&#1056;&#1052;2_&#1051;&#1091;&#1085;&#1072;_&#1056;&#1057;&#1057;_&#1040;&#1085;&#1090;&#1080;&#1087;&#1077;&#1085;&#1082;&#1086;\" TargetMode="External"/><Relationship Id="rId25" Type="http://schemas.openxmlformats.org/officeDocument/2006/relationships/hyperlink" Target="..\..\..\..\TKP\TKP2023\tkp2023_164_&#1048;&#1057;_&#1059;&#1047;&#1043;&#1040;_&#1045;&#1078;&#1086;&#1074;&#1072;\" TargetMode="External"/><Relationship Id="rId67" Type="http://schemas.openxmlformats.org/officeDocument/2006/relationships/hyperlink" Target="&#1055;&#1077;&#1088;&#1089;&#1087;&#1077;&#1082;&#1090;&#1080;&#1074;&#1085;&#1099;&#1077;%20&#1058;&#1050;&#1055;.xlsm" TargetMode="External"/><Relationship Id="rId272" Type="http://schemas.openxmlformats.org/officeDocument/2006/relationships/hyperlink" Target="../../../../TKP/TKP2024/tkp2024_156_&#1048;&#1082;&#1072;&#1088;_&#1087;&#1086;&#1088;&#1096;&#1085;&#1077;&#1074;&#1099;&#1077;%20&#1076;&#1074;&#1080;&#1075;&#1072;&#1090;&#1077;&#1083;&#1080;_3-10_&#1052;&#1077;&#1083;&#1080;&#1093;&#1086;&#1074;/" TargetMode="External"/><Relationship Id="rId328" Type="http://schemas.openxmlformats.org/officeDocument/2006/relationships/hyperlink" Target="../../../../TKP/TKP2024/tkp2024_453_&#1059;&#1052;&#1055;&#1054;_&#1090;&#1086;&#1088;&#1084;&#1086;&#1079;&#1085;&#1086;&#1081;_&#1089;&#1090;&#1077;&#1085;&#1076;_PUMA_&#1052;&#1077;&#1083;&#1080;&#1093;&#1086;&#1074;/&#1058;&#1050;&#1055;_453_24_&#1089;&#1090;&#1072;&#1090;&#1091;&#1089;.xlsm" TargetMode="External"/><Relationship Id="rId535" Type="http://schemas.openxmlformats.org/officeDocument/2006/relationships/hyperlink" Target="../../../../TKP/TKP2025/tkp2025_564_&#1053;&#1048;&#1050;&#1048;&#1069;&#1058;_&#1040;&#1085;&#1072;&#1083;&#1086;&#1075;_ONYX_&#1052;&#1077;&#1083;&#1080;&#1093;&#1086;&#1074;/" TargetMode="External"/><Relationship Id="rId577" Type="http://schemas.openxmlformats.org/officeDocument/2006/relationships/hyperlink" Target="../../../../TKP/TKP2026/tkp2026_005_&#1051;&#1048;&#1040;&#1047;_&#1053;&#1072;&#1075;&#1088;&#1091;&#1079;&#1086;&#1095;&#1085;&#1099;&#1077;%20&#1080;&#1089;&#1087;&#1099;&#1090;&#1072;&#1085;&#1080;&#1103;_&#1056;&#1057;&#1057;/" TargetMode="External"/><Relationship Id="rId700" Type="http://schemas.openxmlformats.org/officeDocument/2006/relationships/hyperlink" Target="file:///\\fserv\e\MERA\TKP\TKP2026\tkp2026_232_&#1056;&#1058;-&#1058;&#1077;&#1093;&#1087;&#1088;&#1080;&#1077;&#1084;&#1082;&#1072;_&#1052;&#1086;&#1073;&#1080;&#1083;&#1100;&#1085;&#1099;&#1081;_&#1089;&#1090;&#1077;&#1085;&#1076;&#1086;&#1074;&#1099;&#1081;_&#1082;&#1086;&#1084;&#1087;&#1083;&#1077;&#1082;&#1089;_&#1056;&#1057;&#1057;_&#1041;&#1091;&#1088;&#1103;&#1082;\" TargetMode="External"/><Relationship Id="rId742" Type="http://schemas.openxmlformats.org/officeDocument/2006/relationships/vmlDrawing" Target="../drawings/vmlDrawing1.vml"/><Relationship Id="rId132" Type="http://schemas.openxmlformats.org/officeDocument/2006/relationships/hyperlink" Target="../../../../TKP/TKP2023/tkp2023_163_&#1051;-&#1089;&#1082;&#1072;&#1076;&#1072;_&#1089;&#1090;&#1077;&#1085;&#1076;&#1099;_10_11_&#1040;&#1048;&#1048;&#1057;+&#1044;&#1080;&#1085;&#1072;&#1084;&#1080;&#1082;&#1072;_&#1057;&#1087;&#1080;&#1088;&#1080;&#1076;&#1086;&#1085;&#1089;&#1082;&#1080;&#1081;/" TargetMode="External"/><Relationship Id="rId174" Type="http://schemas.openxmlformats.org/officeDocument/2006/relationships/hyperlink" Target="../../../../TKP/TKP2024/tkp2024_002_&#1058;&#1074;&#1077;&#1088;&#1100;&#1050;&#1072;&#1085;&#1072;&#1090;&#1044;&#1086;&#1088;_&#1080;&#1089;&#1087;&#1099;&#1090;&#1072;&#1085;&#1080;&#1103;_&#1052;&#1072;&#1089;&#1083;&#1086;&#1074;&#1072;/&#1058;&#1050;&#1055;_002_24_&#1089;&#1090;&#1072;&#1090;&#1091;&#1089;.xlsm" TargetMode="External"/><Relationship Id="rId381" Type="http://schemas.openxmlformats.org/officeDocument/2006/relationships/hyperlink" Target="../../../../TKP/TKP2025/tkp2025_125_&#1057;&#1080;&#1083;&#1086;&#1074;&#1099;&#1077;_&#1084;&#1072;&#1096;&#1080;&#1085;&#1099;_&#1040;&#1069;&#1057;_&#1050;&#1091;&#1076;&#1072;&#1085;&#1082;&#1091;&#1083;&#1072;&#1084;_&#1057;&#1050;&#1042;&#1051;_&#1056;&#1057;&#1057;_&#1041;&#1091;&#1088;&#1103;&#1082;/" TargetMode="External"/><Relationship Id="rId602" Type="http://schemas.openxmlformats.org/officeDocument/2006/relationships/hyperlink" Target="..\..\..\..\TKP\TKP2026\tkp2026_116_&#1062;&#1053;&#1048;&#1048;&#1084;&#1072;&#1096;_&#1040;&#1048;&#1057;_500_&#1082;&#1072;&#1085;&#1072;&#1083;&#1086;&#1074;_&#1052;&#1077;&#1083;&#1080;&#1093;&#1086;&#1074;\&#1058;&#1050;&#1055;_116_26_&#1089;&#1090;&#1072;&#1090;&#1091;&#1089;.xlsm" TargetMode="External"/><Relationship Id="rId241" Type="http://schemas.openxmlformats.org/officeDocument/2006/relationships/hyperlink" Target="../../../../TKP/TKP2024/tkp2024_186_&#1054;&#1053;&#1055;&#1055;_&#1058;&#1077;&#1093;&#1085;&#1086;&#1083;&#1086;&#1075;&#1080;&#1103;_MIC-236_&#1041;&#1091;&#1088;&#1103;&#1082;/&#1058;&#1050;&#1055;_186_24_&#1089;&#1090;&#1072;&#1090;&#1091;&#1089;.xlsm" TargetMode="External"/><Relationship Id="rId437" Type="http://schemas.openxmlformats.org/officeDocument/2006/relationships/hyperlink" Target="../../../../TKP/TKP2025/tkp2025_171_&#1053;&#1048;&#1048;&#1052;&#1072;&#1096;_&#1040;&#1057;&#1048;&#1080;&#1059;_&#1053;&#1048;&#1050;-101_&#1052;&#1072;&#1088;&#1090;&#1099;&#1085;&#1086;&#1074;/&#1058;&#1050;&#1055;_171_25_&#1089;&#1090;&#1072;&#1090;&#1091;&#1089;.xlsm" TargetMode="External"/><Relationship Id="rId479" Type="http://schemas.openxmlformats.org/officeDocument/2006/relationships/hyperlink" Target="../../../../TKP/TKP2025/tkp2025_138_&#1062;&#1053;&#1048;&#1048;&#1052;&#1040;&#1064;_&#1091;&#1076;&#1072;&#1088;&#1085;&#1099;&#1081;%20&#1089;&#1090;&#1077;&#1085;&#1076;_&#1087;&#1091;&#1083;&#1100;&#1089;&#1072;&#1094;&#1080;&#1080;_&#1056;&#1057;&#1057;_&#1052;&#1077;&#1083;&#1080;&#1093;&#1086;&#1074;/&#1058;&#1050;&#1055;_138_25_&#1089;&#1090;&#1072;&#1090;&#1091;&#1089;.xlsm" TargetMode="External"/><Relationship Id="rId644" Type="http://schemas.openxmlformats.org/officeDocument/2006/relationships/hyperlink" Target="file:///\\fserv\e\MERA\TKP\TKP2026\tkp2026_003_&#1062;&#1077;&#1085;&#1090;&#1088;&#1048;&#1085;&#1078;&#1080;&#1085;&#1080;&#1088;&#1080;&#1085;&#1075;_&#1064;&#1082;&#1072;&#1092;_&#1089;&#1080;&#1089;&#1090;&#1077;&#1084;&#1099;_&#1087;&#1088;&#1077;&#1087;&#1072;&#1088;&#1080;&#1088;&#1086;&#1074;&#1072;&#1085;&#1080;&#1103;_&#1052;&#1077;&#1083;&#1080;&#1093;&#1086;&#1074;\" TargetMode="External"/><Relationship Id="rId686" Type="http://schemas.openxmlformats.org/officeDocument/2006/relationships/hyperlink" Target="..\..\..\..\TKP\TKP2026\tkp2026_284_&#1040;&#1101;&#1088;&#1086;&#1092;&#1083;&#1086;&#1090;_&#1044;&#1086;&#1087;._&#1086;&#1089;&#1085;&#1072;&#1089;&#1090;&#1082;&#1072;_&#1052;&#1048;&#1056;\&#1058;&#1050;&#1055;_284_26_&#1089;&#1090;&#1072;&#1090;&#1091;&#1089;.xlsm" TargetMode="External"/><Relationship Id="rId36" Type="http://schemas.openxmlformats.org/officeDocument/2006/relationships/hyperlink" Target="..\..\..\..\TKP\TKP2023\tkp2023_187_&#1040;&#1058;&#1052;-&#1043;&#1080;&#1076;&#1088;&#1072;&#1074;&#1083;&#1080;&#1082;_MIC-185_236_&#1057;&#1085;&#1099;&#1075;&#1080;&#1085;&#1072;\&#1058;&#1050;&#1055;_187_23_&#1089;&#1090;&#1072;&#1090;&#1091;&#1089;.xlsm" TargetMode="External"/><Relationship Id="rId283" Type="http://schemas.openxmlformats.org/officeDocument/2006/relationships/hyperlink" Target="../../../../TKP/TKP2024/tkp2024_380_Kingsly_ISRO-TCT_2000+%20channels_&#1056;&#1057;&#1057;_&#1041;&#1091;&#1088;&#1103;&#1082;/&#1058;&#1050;&#1055;_380_24_&#1089;&#1090;&#1072;&#1090;&#1091;&#1089;.xlsm" TargetMode="External"/><Relationship Id="rId339" Type="http://schemas.openxmlformats.org/officeDocument/2006/relationships/hyperlink" Target="../../../../TKP/TKP2025/tkp2025_005_&#1042;&#1040;&#1047;_&#1056;&#1057;&#1057;_&#1052;&#1077;&#1083;&#1080;&#1093;&#1086;&#1074;/&#1058;&#1050;&#1055;_005_25_&#1089;&#1090;&#1072;&#1090;&#1091;&#1089;.xlsm" TargetMode="External"/><Relationship Id="rId490" Type="http://schemas.openxmlformats.org/officeDocument/2006/relationships/hyperlink" Target="..\..\..\..\TKP\TKP2025\tkp2025_351_&#1052;&#1054;_&#1059;&#1055;&#1052;&#1048;_&#1057;&#1086;&#1083;&#1085;&#1099;&#1096;&#1082;&#1086;&#1074;_PXI_&#1056;&#1057;&#1057;_&#1054;&#1089;&#1090;&#1088;&#1086;&#1074;&#1089;&#1082;&#1072;&#1103;\&#1058;&#1050;&#1055;_351_25_&#1089;&#1090;&#1072;&#1090;&#1091;&#1089;.xlsm" TargetMode="External"/><Relationship Id="rId504" Type="http://schemas.openxmlformats.org/officeDocument/2006/relationships/hyperlink" Target="..\..\..\..\TKP\TKP2023\tkp2023_450_&#1053;&#1048;&#1048;&#1055;&#1052;_MIC-236_&#1045;&#1078;&#1086;&#1074;&#1072;\&#1058;&#1050;&#1055;_331_25_&#1089;&#1090;&#1072;&#1090;&#1091;&#1089;.xlsm" TargetMode="External"/><Relationship Id="rId546" Type="http://schemas.openxmlformats.org/officeDocument/2006/relationships/hyperlink" Target="../../../../TKP/TKP2025/tkp2025_338_&#1057;&#1080;&#1083;&#1086;&#1074;&#1099;&#1077;_&#1084;&#1072;&#1096;&#1080;&#1085;&#1099;_ME-405_&#1054;&#1055;&#1057;&#1048;-12-55%20_&#1056;&#1057;&#1057;_&#1041;&#1091;&#1088;&#1103;&#1082;/&#1058;&#1050;&#1055;_338_25_&#1089;&#1090;&#1072;&#1090;&#1091;&#1089;.xlsm" TargetMode="External"/><Relationship Id="rId711" Type="http://schemas.openxmlformats.org/officeDocument/2006/relationships/hyperlink" Target="..\..\..\..\TKP\TKP2026\tkp2026_359_&#1050;&#1041;&#1061;&#1052;_&#1084;&#1086;&#1076;&#1077;&#1088;&#1085;&#1080;&#1079;&#1072;&#1094;&#1080;&#1103;_&#1057;&#1048;&#1052;&#1052;&#1055;_&#1040;&#1085;&#1090;&#1080;&#1087;&#1077;&#1085;&#1082;&#1086;\&#1058;&#1050;&#1055;_359_26_&#1089;&#1090;&#1072;&#1090;&#1091;&#1089;.xlsm" TargetMode="External"/><Relationship Id="rId78" Type="http://schemas.openxmlformats.org/officeDocument/2006/relationships/hyperlink" Target="../../../../TKP/TKP2023/tkp2023_246_&#1054;&#1044;&#1050;_&#1057;&#1072;&#1090;&#1091;&#1088;&#1085;_MIC-026_&#1057;&#1085;&#1099;&#1075;&#1080;&#1085;&#1072;/&#1058;&#1050;&#1055;_246_23_&#1089;&#1090;&#1072;&#1090;&#1091;&#1089;.xlsm" TargetMode="External"/><Relationship Id="rId101" Type="http://schemas.openxmlformats.org/officeDocument/2006/relationships/hyperlink" Target="../../../../TKP/TKP2023/tkp2023_418_&#1052;&#1080;&#1083;&#1100;_&#1080;_&#1050;&#1072;&#1084;&#1086;&#1074;_&#1057;&#1090;&#1077;&#1085;&#1076;_&#1080;&#1089;&#1087;&#1099;&#1090;&#1072;&#1085;&#1080;&#1103;_&#1088;&#1077;&#1076;&#1091;&#1082;&#1090;&#1086;&#1088;&#1086;&#1074;_&#1050;&#1072;-62_&#1052;&#1077;&#1083;&#1080;&#1093;&#1086;&#1074;/" TargetMode="External"/><Relationship Id="rId143" Type="http://schemas.openxmlformats.org/officeDocument/2006/relationships/hyperlink" Target="../../../../TKP/TKP2023/tkp2023_517_&#1062;&#1040;&#1043;&#1048;_MIC-PXI_&#1045;&#1078;&#1086;&#1074;&#1072;/&#1058;&#1050;&#1055;_517_23_&#1089;&#1090;&#1072;&#1090;&#1091;&#1089;.xlsm" TargetMode="External"/><Relationship Id="rId185" Type="http://schemas.openxmlformats.org/officeDocument/2006/relationships/hyperlink" Target="../../../../TKP/TKP2024/tkp2024_055_&#1059;&#1043;&#1040;&#1058;&#1059;_&#1087;&#1086;&#1088;&#1096;&#1085;&#1077;&#1074;&#1099;&#1077;%20&#1076;&#1074;&#1080;&#1075;&#1072;&#1090;&#1077;&#1083;&#1080;_&#1056;&#1057;&#1057;/" TargetMode="External"/><Relationship Id="rId350" Type="http://schemas.openxmlformats.org/officeDocument/2006/relationships/hyperlink" Target="..\..\..\..\TKP\TKP2024\tkp2024_431_Kingsly_MIC-553_&#1041;&#1091;&#1088;&#1103;&#1082;\&#1058;&#1050;&#1055;_431_24_&#1089;&#1090;&#1072;&#1090;&#1091;&#1089;.xlsm" TargetMode="External"/><Relationship Id="rId406" Type="http://schemas.openxmlformats.org/officeDocument/2006/relationships/hyperlink" Target="../../../../TKP/TKP2022/tkp2022_230_&#1057;&#1050;&#1041;&#1052;_&#1050;&#1091;&#1088;&#1075;&#1072;&#1085;&#1052;&#1072;&#1096;&#1047;&#1072;&#1074;&#1086;&#1076;_&#1089;&#1090;&#1077;&#1085;&#1076;%20&#1080;&#1089;&#1087;&#1099;&#1090;&#1072;&#1085;&#1080;&#1081;%20&#1043;&#1052;&#1058;_&#1045;&#1078;&#1086;&#1074;&#1072;_&#1056;&#1057;&#1057;/" TargetMode="External"/><Relationship Id="rId588" Type="http://schemas.openxmlformats.org/officeDocument/2006/relationships/hyperlink" Target="file:///\\fserv\e\MERA\TKP\TKP2026\tkp2026_031_&#1054;&#1044;&#1050;_&#1057;&#1072;&#1090;&#1091;&#1088;&#1085;_&#1040;&#1057;&#1059;&#1058;&#1055;&#1048;_&#1089;&#1090;&#1077;&#1085;&#1076;&#1086;&#1074;_27,_28_&#1052;&#1077;&#1083;&#1080;&#1093;&#1086;&#1074;\&#1058;&#1050;&#1055;_031_26_&#1089;&#1090;&#1072;&#1090;&#1091;&#1089;.xlsm" TargetMode="External"/><Relationship Id="rId9" Type="http://schemas.openxmlformats.org/officeDocument/2006/relationships/hyperlink" Target="../../../../TKP/TKP2022/tkp2022_311_&#1057;&#1080;&#1083;&#1086;&#1074;&#1099;&#1077;_&#1084;&#1072;&#1096;&#1080;&#1085;&#1099;_&#1074;&#1080;&#1073;&#1088;&#1086;&#1082;&#1086;&#1085;&#1090;&#1088;&#1086;&#1083;&#1100;_&#1075;&#1080;&#1076;&#1088;&#1086;&#1090;&#1091;&#1088;&#1073;&#1080;&#1085;&#1072;_&#1045;&#1078;&#1086;&#1074;&#1072;" TargetMode="External"/><Relationship Id="rId210" Type="http://schemas.openxmlformats.org/officeDocument/2006/relationships/hyperlink" Target="../../../../TKP/TKP2024/tkp2024_135_&#1062;&#1048;&#1040;&#1052;_&#1056;&#1072;&#1079;&#1075;&#1086;&#1085;&#1085;&#1099;&#1081;%20&#1089;&#1090;&#1077;&#1085;&#1076;_&#1052;&#1072;&#1089;&#1083;&#1086;&#1074;&#1072;/" TargetMode="External"/><Relationship Id="rId392" Type="http://schemas.openxmlformats.org/officeDocument/2006/relationships/hyperlink" Target="../../../../TKP/TKP2025/tkp2025_140_&#1054;&#1044;&#1050;-&#1050;&#1091;&#1079;&#1085;&#1077;&#1094;&#1086;&#1074;_&#1079;&#1072;&#1075;&#1088;&#1091;&#1079;&#1086;&#1095;&#1085;&#1086;&#1077;_&#1091;&#1089;&#1090;&#1088;&#1086;&#1081;&#1089;&#1090;&#1074;&#1086;_&#1082;&#1086;&#1088;&#1087;.201_&#1094;&#1077;&#1093;60_&#1042;&#1080;&#1085;&#1090;&#1072;&#1081;_&#1052;&#1077;&#1083;&#1080;&#1093;&#1086;&#1074;/" TargetMode="External"/><Relationship Id="rId448" Type="http://schemas.openxmlformats.org/officeDocument/2006/relationships/hyperlink" Target="../../../../TKP/TKP2025/tkp2025_285_&#1062;&#1040;&#1043;&#1048;_&#1084;&#1086;&#1076;&#1072;&#1083;&#1100;&#1085;&#1099;&#1081;%20&#1074;&#1086;&#1079;&#1073;&#1091;&#1076;&#1080;&#1090;&#1077;&#1083;&#1100;%202500&#1053;_&#1056;&#1057;&#1057;_/" TargetMode="External"/><Relationship Id="rId613" Type="http://schemas.openxmlformats.org/officeDocument/2006/relationships/hyperlink" Target="file:///\\fserv\e\MERA\TKP\TKP2026\tkp2026_118_&#1054;&#1044;&#1050;-&#1040;&#1074;&#1080;&#1072;&#1076;&#1074;&#1080;&#1075;&#1072;&#1090;&#1077;&#1083;&#1100;_&#1048;&#1085;&#1076;&#1091;&#1082;&#1090;&#1080;&#1074;&#1085;&#1099;&#1081;_&#1076;&#1072;&#1090;&#1095;&#1080;&#1082;_&#1056;&#1057;&#1057;_&#1052;&#1077;&#1083;&#1080;&#1093;&#1086;&#1074;\" TargetMode="External"/><Relationship Id="rId655" Type="http://schemas.openxmlformats.org/officeDocument/2006/relationships/hyperlink" Target="..\..\..\..\TKP\TKP2026\tkp2026_209_&#1053;&#1048;&#1048;&#1052;&#1072;&#1096;_&#1040;&#1057;&#1048;&#1080;&#1059;_&#1053;&#1048;&#1050;-101_&#1056;&#1057;&#1057;_&#1052;&#1072;&#1088;&#1090;&#1099;&#1085;&#1086;&#1074;\&#1058;&#1050;&#1055;_209_26_&#1089;&#1090;&#1072;&#1090;&#1091;&#1089;.xlsm" TargetMode="External"/><Relationship Id="rId697" Type="http://schemas.openxmlformats.org/officeDocument/2006/relationships/hyperlink" Target="..\..\..\..\TKP\TKP2026\tkp2026_338_&#1050;&#1041;&#1061;&#1052;%20&#1056;&#1052;1_&#1056;&#1052;4_&#1056;&#1057;&#1057;\&#1058;&#1050;&#1055;_338_26_&#1089;&#1090;&#1072;&#1090;&#1091;&#1089;.xlsm" TargetMode="External"/><Relationship Id="rId252" Type="http://schemas.openxmlformats.org/officeDocument/2006/relationships/hyperlink" Target="../../../../TKP/TKP2024/tkp2024_268_&#1055;&#1053;&#1048;&#1055;&#1059;_&#1090;&#1077;&#1085;&#1079;&#1086;&#1089;&#1090;&#1072;&#1085;&#1094;&#1080;&#1103;_&#1056;&#1057;&#1057;_&#1045;&#1078;&#1086;&#1074;&#1072;/&#1058;&#1050;&#1055;_268_24_&#1089;&#1090;&#1072;&#1090;&#1091;&#1089;.xlsm" TargetMode="External"/><Relationship Id="rId294" Type="http://schemas.openxmlformats.org/officeDocument/2006/relationships/hyperlink" Target="../../../../TKP/TKP2024/tkp2024_413_Kingsly_MS_402_MS_405_&#1054;&#1089;&#1090;&#1088;&#1086;&#1074;&#1089;&#1082;&#1072;&#1103;/" TargetMode="External"/><Relationship Id="rId308" Type="http://schemas.openxmlformats.org/officeDocument/2006/relationships/hyperlink" Target="../../../../TKP/TKP2024/tkp2024_440_&#1040;&#1057;&#1059;_&#1082;&#1086;&#1085;&#1076;&#1080;&#1094;&#1080;&#1086;&#1085;&#1077;&#1088;&#1086;&#1074;_&#1052;&#1052;&#1062;&#1041;&#1056;_&#1052;&#1077;&#1083;&#1080;&#1093;&#1086;&#1074;/&#1058;&#1050;&#1055;_440_24_&#1089;&#1090;&#1072;&#1090;&#1091;&#1089;.xlsm" TargetMode="External"/><Relationship Id="rId515" Type="http://schemas.openxmlformats.org/officeDocument/2006/relationships/hyperlink" Target="../../../../TKP/TKP2024/tkp2024_486_&#1056;&#1050;&#1062;_&#1055;&#1088;&#1086;&#1075;&#1088;&#1077;&#1089;&#1089;_&#1048;&#1042;&#1050;_500_&#1082;&#1072;&#1085;&#1072;&#1083;&#1086;&#1074;_&#1052;&#1077;&#1083;&#1080;&#1093;&#1086;&#1074;/" TargetMode="External"/><Relationship Id="rId722" Type="http://schemas.openxmlformats.org/officeDocument/2006/relationships/hyperlink" Target="file:///\\fserv\e\MERA\TKP\TKP2026\tkp2026_402_&#1043;&#1056;&#1062;_&#1052;&#1072;&#1082;&#1077;&#1077;&#1074;&#1072;_&#1048;&#1048;&#1057;_&#1089;&#1090;&#1077;&#1085;&#1076;&#1072;_&#1076;&#1080;&#1085;&#1072;&#1084;&#1080;&#1095;&#1077;&#1089;&#1082;&#1080;&#1093;_&#1080;&#1089;&#1087;&#1099;&#1090;&#1072;&#1085;&#1080;&#1081;_&#1056;&#1057;&#1057;_&#1041;&#1091;&#1088;&#1103;&#1082;\" TargetMode="External"/><Relationship Id="rId47" Type="http://schemas.openxmlformats.org/officeDocument/2006/relationships/hyperlink" Target="../../../../TKP/TKP2023/tkp2023_205_&#1062;&#1048;&#1040;&#1052;_MIC-170_&#1062;-3_&#1045;&#1078;&#1086;&#1074;&#1072;/&#1058;&#1050;&#1055;_205_23_&#1089;&#1090;&#1072;&#1090;&#1091;&#1089;.xlsm" TargetMode="External"/><Relationship Id="rId89" Type="http://schemas.openxmlformats.org/officeDocument/2006/relationships/hyperlink" Target="..\..\..\..\TKP\TKP2023\tkp2023_011_&#1056;&#1091;&#1089;&#1043;&#1080;&#1076;&#1088;&#1086;_&#1046;&#1080;&#1075;&#1091;&#1083;&#1077;&#1074;&#1089;&#1082;&#1072;&#1103;_&#1043;&#1069;&#1057;_&#1055;&#1077;&#1088;&#1077;&#1085;&#1086;&#1089;&#1085;&#1086;&#1081;_&#1094;&#1080;&#1092;&#1088;&#1086;&#1074;&#1086;&#1081;_&#1088;&#1077;&#1075;&#1080;&#1089;&#1090;&#1088;&#1072;&#1090;&#1086;&#1088;_&#1057;&#1085;&#1099;&#1075;&#1080;&#1085;&#1072;\&#1058;&#1050;&#1055;_011_23_&#1089;&#1090;&#1072;&#1090;&#1091;&#1089;.xlsm" TargetMode="External"/><Relationship Id="rId112" Type="http://schemas.openxmlformats.org/officeDocument/2006/relationships/hyperlink" Target="..\..\..\..\..\CLIENTS\FORMULYA\2023\p3031_&#1054;&#1044;&#1050;_&#1069;&#1044;&#1057;&#1059;_&#1051;&#1072;&#1079;&#1072;&#1088;&#1077;&#1074;_&#1056;&#1057;&#1057;.xls" TargetMode="External"/><Relationship Id="rId154" Type="http://schemas.openxmlformats.org/officeDocument/2006/relationships/hyperlink" Target="..\..\..\..\TKP\TKP2023\tkp2023_571_&#1061;&#1088;&#1091;&#1085;&#1080;&#1095;&#1077;&#1074;&#1072;%20&#1056;&#1072;&#1082;&#1077;&#1090;&#1085;&#1086;-&#1082;&#1086;&#1089;&#1084;&#1080;&#1095;&#1077;&#1089;&#1082;&#1080;&#1081;%20&#1047;&#1072;&#1074;&#1086;&#1076;_&#1048;&#1052;%20&#1096;&#1072;&#1075;&#1086;&#1074;&#1086;&#1075;&#1086;%20&#1076;&#1074;&#1080;&#1075;&#1072;&#1090;&#1077;&#1083;&#1103;_&#1056;&#1057;&#1057;\" TargetMode="External"/><Relationship Id="rId361" Type="http://schemas.openxmlformats.org/officeDocument/2006/relationships/hyperlink" Target="..\..\..\..\TKP\TKP2025\tkp2025_076_&#1057;&#1072;&#1090;&#1091;&#1088;&#1085;%20DDS-M-110_&#1056;&#1057;&#1057;_&#1052;&#1077;&#1083;&#1080;&#1093;&#1086;&#1074;\" TargetMode="External"/><Relationship Id="rId557" Type="http://schemas.openxmlformats.org/officeDocument/2006/relationships/hyperlink" Target="../../../../TKP/TKP2025/tkp2025_609_&#1054;&#1050;&#1041;_&#1043;&#1080;&#1076;&#1088;&#1086;&#1087;&#1088;&#1077;&#1089;&#1089;_&#1089;&#1080;&#1089;&#1090;&#1077;&#1084;&#1072;_&#1082;&#1086;&#1085;&#1090;&#1088;&#1086;&#1083;&#1103;_&#1091;&#1089;&#1080;&#1083;&#1080;&#1081;_&#1056;&#1057;&#1057;/" TargetMode="External"/><Relationship Id="rId599" Type="http://schemas.openxmlformats.org/officeDocument/2006/relationships/hyperlink" Target="file:///\\fserv\e\MERA\TKP\TKP2026\tkp2026_045_&#1050;&#1041;&#1061;&#1052;_MIC-553_&#1052;&#1077;&#1083;&#1080;&#1093;&#1086;&#1074;\&#1058;&#1050;&#1055;_045_26_&#1089;&#1090;&#1072;&#1090;&#1091;&#1089;.xlsm" TargetMode="External"/><Relationship Id="rId196" Type="http://schemas.openxmlformats.org/officeDocument/2006/relationships/hyperlink" Target="../../../../TKP/TKP2024/tkp2024_051_&#1062;&#1048;&#1040;&#1052;_&#1087;&#1083;&#1072;&#1075;&#1080;&#1085;_&#1076;&#1083;&#1103;_&#1089;&#1082;&#1072;&#1085;&#1077;&#1088;&#1086;&#1074;_&#1052;&#1072;&#1089;&#1083;&#1086;&#1074;&#1072;/" TargetMode="External"/><Relationship Id="rId417" Type="http://schemas.openxmlformats.org/officeDocument/2006/relationships/hyperlink" Target="../../../../TKP/TKP2025/tkp2025_223_Kingsly_MIC-185_&#1056;&#1057;&#1057;_&#1041;&#1091;&#1088;&#1103;&#1082;/&#1058;&#1050;&#1055;_223_25_&#1089;&#1090;&#1072;&#1090;&#1091;&#1089;.xlsm" TargetMode="External"/><Relationship Id="rId459" Type="http://schemas.openxmlformats.org/officeDocument/2006/relationships/hyperlink" Target="../../../../TKP/TKP2025/tkp2025_339_Kingsly_64-channel%20portable%20system_&#1056;&#1057;&#1057;_&#1041;&#1091;&#1088;&#1103;&#1082;/" TargetMode="External"/><Relationship Id="rId624" Type="http://schemas.openxmlformats.org/officeDocument/2006/relationships/hyperlink" Target="file:///\\fserv\e\MERA\TKP\TKP2026\tkp2026_119_&#1058;&#1052;&#1061;-&#1048;&#1085;&#1078;&#1080;&#1085;&#1080;&#1088;&#1080;&#1085;&#1075;_&#1052;&#1077;&#1090;&#1088;&#1086;&#1042;&#1072;&#1075;&#1086;&#1085;&#1052;&#1072;&#1096;_&#1050;&#1083;&#1080;&#1084;&#1072;&#1090;&#1080;&#1095;&#1077;&#1089;&#1082;&#1072;&#1103;_&#1082;&#1072;&#1084;&#1077;&#1088;&#1072;_&#1056;&#1057;&#1057;_&#1052;&#1077;&#1083;&#1080;&#1093;&#1086;&#1074;\" TargetMode="External"/><Relationship Id="rId666" Type="http://schemas.openxmlformats.org/officeDocument/2006/relationships/hyperlink" Target="file:///\\fserv\e\MERA\TKP\TKP2026\tkp2026_234_&#1059;&#1047;&#1043;&#1040;_MIC236_&#1056;&#1057;&#1057;_&#1048;&#1074;&#1072;&#1085;&#1086;&#1074;&#1072;\&#1058;&#1050;&#1055;_234_26_&#1089;&#1090;&#1072;&#1090;&#1091;&#1089;.xlsm" TargetMode="External"/><Relationship Id="rId16" Type="http://schemas.openxmlformats.org/officeDocument/2006/relationships/hyperlink" Target="../../../../TKP/TKP2023/tkp2023_078_&#1050;&#1041;&#1061;&#1052;_&#1057;&#1048;&#1057;_&#1056;&#1057;&#1057;_&#1052;&#1077;&#1083;&#1080;&#1093;&#1086;&#1074;" TargetMode="External"/><Relationship Id="rId221" Type="http://schemas.openxmlformats.org/officeDocument/2006/relationships/hyperlink" Target="../../../../TKP/TKP2024/tkp2024_055_&#1059;&#1043;&#1040;&#1058;&#1059;_&#1087;&#1086;&#1088;&#1096;&#1085;&#1077;&#1074;&#1099;&#1077;%20&#1076;&#1074;&#1080;&#1075;&#1072;&#1090;&#1077;&#1083;&#1080;_&#1056;&#1057;&#1057;/&#1058;&#1050;&#1055;_055_24_&#1089;&#1090;&#1072;&#1090;&#1091;&#1089;.xlsm" TargetMode="External"/><Relationship Id="rId263" Type="http://schemas.openxmlformats.org/officeDocument/2006/relationships/hyperlink" Target="..\..\..\..\TKP\TKP2024\tkp2024_302_&#1052;&#1080;&#1083;&#1100;%20&#1080;%20&#1050;&#1072;&#1084;&#1086;&#1074;_&#1091;&#1089;&#1090;&#1072;&#1083;&#1086;&#1089;&#1090;&#1085;&#1099;&#1077;_&#1080;&#1089;&#1087;&#1099;&#1090;&#1072;&#1085;&#1080;&#1103;_&#1074;&#1090;&#1091;&#1083;&#1082;&#1080;_&#1080;&#1079;&#1076;.450_&#1045;&#1078;&#1086;&#1074;&#1072;\" TargetMode="External"/><Relationship Id="rId319" Type="http://schemas.openxmlformats.org/officeDocument/2006/relationships/hyperlink" Target="..\..\..\..\TKP\TKP2024\tkp2024_501_&#1041;&#1086;&#1075;&#1091;&#1095;&#1072;&#1085;&#1089;&#1082;&#1072;&#1103;_&#1043;&#1069;&#1057;_&#1057;&#1080;&#1089;&#1090;&#1077;&#1084;&#1072;%20&#1082;&#1086;&#1085;&#1090;&#1088;&#1086;&#1083;&#1103;%20&#1074;&#1080;&#1073;&#1088;&#1072;&#1094;&#1080;&#1080;_&#1041;&#1091;&#1088;&#1103;&#1082;\" TargetMode="External"/><Relationship Id="rId470" Type="http://schemas.openxmlformats.org/officeDocument/2006/relationships/hyperlink" Target="../../../../TKP/TKP2025/tkp2025_285_&#1062;&#1040;&#1043;&#1048;_&#1084;&#1086;&#1076;&#1072;&#1083;&#1100;&#1085;&#1099;&#1081;%20&#1074;&#1086;&#1079;&#1073;&#1091;&#1076;&#1080;&#1090;&#1077;&#1083;&#1100;%202500&#1053;_&#1056;&#1057;&#1057;_/" TargetMode="External"/><Relationship Id="rId526" Type="http://schemas.openxmlformats.org/officeDocument/2006/relationships/hyperlink" Target="..\..\..\..\TKP\TKP2025\tkp2025_537_150%20&#1040;&#1056;&#1047;_&#1052;&#1086;&#1076;&#1077;&#1088;&#1085;&#1080;&#1079;&#1072;&#1094;&#1080;&#1103;%20&#1048;&#1057;%20&#1087;&#1086;&#1076;%20&#1042;&#1050;-2500_&#1056;&#1057;&#1057;_&#1041;&#1091;&#1088;&#1103;&#1082;\&#1058;&#1050;&#1055;_537_25_&#1089;&#1090;&#1072;&#1090;&#1091;&#1089;.xlsm" TargetMode="External"/><Relationship Id="rId58" Type="http://schemas.openxmlformats.org/officeDocument/2006/relationships/hyperlink" Target="https://docs.google.com/spreadsheets/d/1WSgxcg3HSRAmBi5uZ97GAiaDcH0Xi7BdM2JQrOy1mKM/edit" TargetMode="External"/><Relationship Id="rId123" Type="http://schemas.openxmlformats.org/officeDocument/2006/relationships/hyperlink" Target="../../../../TKP/TKP2023/tkp2023_423_&#1050;&#1088;&#1072;&#1089;&#1052;&#1072;&#1096;_MIC-200_&#1052;&#1077;&#1083;&#1080;&#1093;&#1086;&#1074;/&#1058;&#1050;&#1055;_423_23_&#1089;&#1090;&#1072;&#1090;&#1091;&#1089;.xlsm" TargetMode="External"/><Relationship Id="rId330" Type="http://schemas.openxmlformats.org/officeDocument/2006/relationships/hyperlink" Target="../../../../TKP/TKP2024/tkp2024_460_&#1059;&#1088;&#1060;&#1059;_MIC-224_&#1052;&#1077;&#1083;&#1080;&#1093;&#1086;&#1074;/&#1058;&#1050;&#1055;_460_24_&#1089;&#1090;&#1072;&#1090;&#1091;&#1089;.xlsm" TargetMode="External"/><Relationship Id="rId568" Type="http://schemas.openxmlformats.org/officeDocument/2006/relationships/hyperlink" Target="../../../../TKP/TKP2024/tkp2024_294_&#1057;&#1080;&#1083;&#1086;&#1074;&#1099;&#1077;_&#1084;&#1072;&#1096;&#1080;&#1085;&#1099;_&#1050;&#1072;&#1083;&#1080;&#1085;&#1080;&#1085;&#1089;&#1082;&#1072;&#1103;_&#1040;&#1069;&#1057;_MIC-1200_&#1069;&#1041;&#8470;3_&#1045;&#1078;&#1086;&#1074;&#1072;/&#1058;&#1050;&#1055;_294_24_&#1089;&#1090;&#1072;&#1090;&#1091;&#1089;.xlsm" TargetMode="External"/><Relationship Id="rId733" Type="http://schemas.openxmlformats.org/officeDocument/2006/relationships/hyperlink" Target="file:///\\Fserv\e\MERA\TKP\TKP2026\tkp2026_434_&#1059;&#1047;&#1043;&#1040;_&#1048;&#1048;&#1057;_&#1048;&#1057;_&#1084;&#1072;&#1083;&#1086;&#1088;&#1072;&#1079;&#1084;&#1077;&#1088;&#1085;&#1099;&#1093;_&#1043;&#1058;&#1044;_&#1056;&#1057;&#1057;_&#1041;&#1091;&#1088;&#1103;&#1082;\&#1058;&#1050;&#1055;_434_26_&#1089;&#1090;&#1072;&#1090;&#1091;&#1089;.xlsm" TargetMode="External"/><Relationship Id="rId165" Type="http://schemas.openxmlformats.org/officeDocument/2006/relationships/hyperlink" Target="../../../../TKP/TKP2023/tkp2023_581_&#1050;&#1041;&#1061;&#1040;_&#1056;&#1057;&#1057;_&#1052;&#1077;&#1083;&#1080;&#1093;&#1086;&#1074;/" TargetMode="External"/><Relationship Id="rId372" Type="http://schemas.openxmlformats.org/officeDocument/2006/relationships/hyperlink" Target="../../../../TKP/TKP2025/tkp2025_126_&#1040;&#1054;_&#1050;&#1088;&#1086;&#1085;&#1096;&#1090;&#1072;&#1076;&#1090;_&#1048;&#1079;&#1084;&#1077;&#1088;&#1080;&#1090;&#1077;&#1083;&#1100;&#1085;&#1099;&#1077;_&#1089;&#1080;&#1089;&#1090;&#1077;&#1084;&#1099;_&#1054;&#1089;&#1090;&#1088;&#1086;&#1074;&#1089;&#1082;&#1072;&#1103;/" TargetMode="External"/><Relationship Id="rId428" Type="http://schemas.openxmlformats.org/officeDocument/2006/relationships/hyperlink" Target="../../../../TKP/TKP2025/tkp2025_244_&#1051;&#1048;&#1048;&#1055;%20&#1080;&#1084;.%20&#1043;&#1088;&#1080;&#1079;&#1086;&#1076;&#1091;&#1073;&#1086;&#1074;&#1086;&#1081;_&#1048;&#1089;&#1087;&#1099;&#1090;&#1072;&#1085;&#1080;&#1103;%20&#1043;&#1058;&#1044;_&#1056;&#1057;&#1057;_&#1041;&#1091;&#1088;&#1103;&#1082;/&#1058;&#1050;&#1055;_244_25_&#1089;&#1090;&#1072;&#1090;&#1091;&#1089;.xlsm" TargetMode="External"/><Relationship Id="rId635" Type="http://schemas.openxmlformats.org/officeDocument/2006/relationships/hyperlink" Target="file:///\\fserv\e\MERA\TKP\TKP2026\tkp2026_157_&#1056;&#1050;&#1062;_&#1055;&#1088;&#1086;&#1075;&#1088;&#1077;&#1089;&#1089;_NI_&#1057;&#1048;&#1059;_&#1056;&#1057;&#1057;" TargetMode="External"/><Relationship Id="rId677" Type="http://schemas.openxmlformats.org/officeDocument/2006/relationships/hyperlink" Target="..\..\..\..\TKP\TKP2026\tkp2026_203_&#1050;&#1041;&#1061;&#1052;_&#1056;&#1052;2_&#1051;&#1091;&#1085;&#1072;_&#1056;&#1057;&#1057;_&#1040;&#1085;&#1090;&#1080;&#1087;&#1077;&#1085;&#1082;&#1086;\&#1058;&#1050;&#1055;_203_26_&#1089;&#1090;&#1072;&#1090;&#1091;&#1089;.xlsm" TargetMode="External"/><Relationship Id="rId232" Type="http://schemas.openxmlformats.org/officeDocument/2006/relationships/hyperlink" Target="../../../../TKP/TKP2024/tkp2024_176_&#1042;&#1053;&#1048;&#1048;&#1058;&#1060;_&#1057;&#1080;&#1089;&#1090;&#1077;&#1084;&#1072;_&#1085;&#1072;&#1075;&#1088;&#1091;&#1078;&#1077;&#1085;&#1080;&#1103;_&#1041;&#1091;&#1088;&#1103;&#1082;/" TargetMode="External"/><Relationship Id="rId274" Type="http://schemas.openxmlformats.org/officeDocument/2006/relationships/hyperlink" Target="../../../../TKP/TKP2024/tkp2024_305_&#1051;&#1072;&#1074;&#1086;&#1095;&#1082;&#1080;&#1085;&#1072;_MIC-026_&#1055;&#1072;&#1089;&#1090;&#1072;&#1088;&#1085;&#1072;&#1082;&#1086;&#1074;&#1072;/" TargetMode="External"/><Relationship Id="rId481" Type="http://schemas.openxmlformats.org/officeDocument/2006/relationships/hyperlink" Target="../../../../TKP/TKP2025/tkp2025_408_&#1040;&#1054;%20&#1044;&#1059;&#1050;&#1057;_&#1052;&#1077;&#1083;&#1080;&#1093;&#1086;&#1074;_&#1056;&#1057;&#1057;/&#1058;&#1050;&#1055;_408_25_&#1089;&#1090;&#1072;&#1090;&#1091;&#1089;.xlsm" TargetMode="External"/><Relationship Id="rId702" Type="http://schemas.openxmlformats.org/officeDocument/2006/relationships/hyperlink" Target="file:///\\fserv\e\MERA\TKP\TKP2026\tkp2026_350_&#1050;&#1086;&#1084;&#1087;&#1083;&#1077;&#1082;&#1090;_&#1089;&#1080;&#1089;&#1090;&#1077;&#1084;&#1099;_&#1080;&#1079;&#1084;&#1077;&#1088;&#1077;&#1085;&#1080;&#1081;_&#1053;&#1077;&#1088;&#1072;&#1079;&#1088;&#1091;&#1096;&#1072;&#1102;&#1097;&#1080;&#1081;_&#1082;&#1086;&#1085;&#1090;&#1088;&#1086;&#1083;&#1100;_&#1040;&#1085;&#1090;&#1080;&#1087;&#1077;&#1085;&#1082;&#1086;\" TargetMode="External"/><Relationship Id="rId27" Type="http://schemas.openxmlformats.org/officeDocument/2006/relationships/hyperlink" Target="../../../../TKP/TKP2023/in2023/&#1054;&#1054;&#1054;/401-&#1057;&#1085;&#1099;&#1075;&#1080;&#1085;&#1072;%20(&#1054;&#1054;&#1054;).pdf" TargetMode="External"/><Relationship Id="rId69" Type="http://schemas.openxmlformats.org/officeDocument/2006/relationships/hyperlink" Target="../../../../TKP/TKP2023/tkp2023_284_&#1050;&#1088;&#1099;&#1083;&#1086;&#1074;&#1089;&#1082;&#1080;&#1081;_&#1043;&#1053;&#1062;_MIC-026_MIC-355_&#1057;&#1085;&#1099;&#1075;&#1080;&#1085;&#1072;/&#1057;&#1093;&#1077;&#1084;&#1072;%20&#1089;&#1086;&#1077;&#1076;&#1080;&#1085;&#1077;&#1085;&#1080;&#1081;" TargetMode="External"/><Relationship Id="rId134" Type="http://schemas.openxmlformats.org/officeDocument/2006/relationships/hyperlink" Target="..\..\..\..\TKP\TKP2023\tkp2023_489_&#1050;&#1091;&#1088;&#1095;&#1072;&#1090;&#1086;&#1074;&#1089;&#1082;&#1080;&#1081;%20&#1080;&#1085;&#1089;&#1090;&#1080;&#1090;&#1091;&#1090;_&#1052;&#1057;&#1059;-1_&#1040;&#1057;&#1059;%20%20&#1057;&#1048;&#1053;_&#1040;&#1057;&#1059;%20&#1057;&#1050;&#1054;_&#1052;&#1072;&#1089;&#1083;&#1086;&#1074;&#1072;\" TargetMode="External"/><Relationship Id="rId537" Type="http://schemas.openxmlformats.org/officeDocument/2006/relationships/hyperlink" Target="../../../../TKP/TKP2025/tkp2025_541_&#1053;&#1077;&#1074;&#1089;&#1082;&#1080;&#1081;_&#1079;&#1072;&#1074;&#1086;&#1076;_&#1057;&#1080;&#1089;&#1090;&#1077;&#1084;&#1072;_&#1084;&#1072;&#1075;&#1085;&#1080;&#1090;&#1085;&#1086;&#1075;&#1086;_&#1073;&#1080;&#1077;&#1085;&#1080;&#1103;_&#1056;&#1057;&#1057;_&#1052;&#1077;&#1083;&#1080;&#1093;&#1086;&#1074;/" TargetMode="External"/><Relationship Id="rId579" Type="http://schemas.openxmlformats.org/officeDocument/2006/relationships/hyperlink" Target="..\..\..\..\TKP\TKP2026\tkp2026_017_&#1062;&#1048;&#1040;&#1052;_&#1057;&#1048;_&#1089;&#1090;&#1077;&#1085;&#1076;&#1072;_&#1062;&#1047;&#1040;_&#1052;&#1077;&#1083;&#1080;&#1093;&#1086;&#1074;\" TargetMode="External"/><Relationship Id="rId744" Type="http://schemas.openxmlformats.org/officeDocument/2006/relationships/ctrlProp" Target="../ctrlProps/ctrlProp2.xml"/><Relationship Id="rId80" Type="http://schemas.openxmlformats.org/officeDocument/2006/relationships/hyperlink" Target="..\..\..\..\TKP\TKP2023\tkp2023_331_&#1043;&#1050;_&#1056;&#1086;&#1089;&#1082;&#1086;&#1089;&#1084;&#1086;&#1089;_&#1057;&#1080;&#1103;&#1085;&#1080;&#1077;-&#1054;&#1048;_&#1045;&#1078;&#1086;&#1074;&#1072;" TargetMode="External"/><Relationship Id="rId176" Type="http://schemas.openxmlformats.org/officeDocument/2006/relationships/hyperlink" Target="../../../../TKP/TKP2024/tkp2024_047_&#1050;&#1041;&#1061;&#1052;_&#1091;&#1090;&#1074;.&#1090;&#1080;&#1087;&#1072;&#1057;&#1048;_&#1082;&#1086;&#1088;&#1087;&#1091;&#1089;302_&#1045;&#1078;&#1086;&#1074;&#1072;/&#1058;&#1050;&#1055;_047_24_&#1089;&#1090;&#1072;&#1090;&#1091;&#1089;.xlsm" TargetMode="External"/><Relationship Id="rId341" Type="http://schemas.openxmlformats.org/officeDocument/2006/relationships/hyperlink" Target="../../../../TKP/TKP2025/tkp2025_002_Kingsly_16%20channels%20LEOS%20ISRO_&#1056;&#1057;&#1057;_&#1041;&#1091;&#1088;&#1103;&#1082;/&#1058;&#1050;&#1055;_002_25_&#1089;&#1090;&#1072;&#1090;&#1091;&#1089;.xlsm" TargetMode="External"/><Relationship Id="rId383" Type="http://schemas.openxmlformats.org/officeDocument/2006/relationships/hyperlink" Target="../../../../TKP/TKP2025/tkp2025_071_&#1040;&#1054;_&#1057;&#1050;&#1041;&#1052;_&#1052;&#1091;&#1088;&#1072;&#1074;&#1077;&#1081;&#1085;&#1080;&#1082;_&#1044;&#1072;&#1090;&#1095;&#1080;&#1082;&#1080;_&#1054;&#1089;&#1090;&#1088;&#1086;&#1074;&#1089;&#1082;&#1072;&#1103;/&#1058;&#1050;&#1055;_071_25_&#1089;&#1090;&#1072;&#1090;&#1091;&#1089;.xlsm" TargetMode="External"/><Relationship Id="rId439" Type="http://schemas.openxmlformats.org/officeDocument/2006/relationships/hyperlink" Target="../../../../TKP/TKP2025/tkp2025_037_&#1050;&#1041;&#1061;&#1052;_&#1089;&#1080;&#1103;&#1085;&#1080;&#1077;_&#1056;&#1052;-1,3,4_&#1052;&#1077;&#1083;&#1080;&#1093;&#1086;&#1074;/" TargetMode="External"/><Relationship Id="rId590" Type="http://schemas.openxmlformats.org/officeDocument/2006/relationships/hyperlink" Target="file:///\\fserv\e\MERA\TKP\TKP2026\tkp2026_051_&#1040;&#1054;_&#1043;&#1062;&#1052;&#1054;&#1069;&#1052;&#1057;_&#1056;&#1057;&#1057;_&#1080;&#1089;&#1087;&#1099;&#1090;&#1072;&#1085;&#1080;&#1077;_&#1090;&#1088;&#1072;&#1085;&#1089;&#1084;&#1080;&#1089;&#1089;&#1080;&#1081;\" TargetMode="External"/><Relationship Id="rId604" Type="http://schemas.openxmlformats.org/officeDocument/2006/relationships/hyperlink" Target="../../../../TKP/TKP2025/tkp2025_621_&#1062;&#1048;&#1040;&#1052;_MIC-315_&#1045;&#1078;&#1086;&#1074;&#1072;/&#1058;&#1050;&#1055;_621_25_&#1089;&#1090;&#1072;&#1090;&#1091;&#1089;.xlsm" TargetMode="External"/><Relationship Id="rId646" Type="http://schemas.openxmlformats.org/officeDocument/2006/relationships/hyperlink" Target="..\..\..\..\TKP\TKP2026\tkp2026_162_&#1056;&#1050;&#1062;_&#1055;&#1088;&#1086;&#1075;&#1088;&#1077;&#1089;_%20&#1089;&#1080;&#1089;&#1090;&#1077;&#1084;&#1072;_&#1075;&#1080;&#1076;&#1088;&#1086;&#1089;&#1090;&#1072;&#1090;&#1080;&#1095;&#1077;&#1089;&#1082;&#1086;&#1075;&#1086;_&#1085;&#1072;&#1075;&#1088;&#1091;&#1078;&#1077;&#1085;&#1080;&#1103;%20_&#1056;&#1057;&#1057;\&#1058;&#1050;&#1055;_162_26_&#1089;&#1090;&#1072;&#1090;&#1091;&#1089;.xlsm" TargetMode="External"/><Relationship Id="rId201" Type="http://schemas.openxmlformats.org/officeDocument/2006/relationships/hyperlink" Target="../../../../TKP/TKP2024/tkp2024_116_&#1058;&#1077;&#1093;&#1087;&#1088;&#1080;&#1073;&#1086;&#1088;_&#1074;&#1079;&#1088;&#1099;&#1074;&#1086;&#1079;&#1072;&#1097;&#1080;&#1090;&#1072;_&#1079;.2797_&#1045;&#1078;&#1086;&#1074;&#1072;/" TargetMode="External"/><Relationship Id="rId243" Type="http://schemas.openxmlformats.org/officeDocument/2006/relationships/hyperlink" Target="../../../../TKP/TKP2022/tkp2022_447_&#1054;&#1044;&#1050;_&#1057;&#1072;&#1090;&#1091;&#1088;&#1085;_&#1057;&#1057;&#1044;&#1059;-&#1047;&#1051;&#1050;_&#1045;&#1078;&#1086;&#1074;&#1072;_&#1056;&#1057;&#1057;/&#1058;&#1050;&#1055;_447_22_&#1089;&#1090;&#1072;&#1090;&#1091;&#1089;.xlsm" TargetMode="External"/><Relationship Id="rId285" Type="http://schemas.openxmlformats.org/officeDocument/2006/relationships/hyperlink" Target="..\..\..\..\TKP\TKP2022\tkp2022_511_&#1040;&#1074;&#1072;&#1085;&#1075;&#1072;&#1088;&#1076;_&#1057;&#1090;&#1077;&#1085;&#1076;_&#1080;&#1089;&#1087;&#1099;&#1090;&#1072;&#1085;&#1080;&#1103;_&#1082;&#1086;&#1088;&#1087;&#1091;&#1089;&#1086;&#1074;_&#1052;&#1077;&#1083;&#1080;&#1093;&#1086;&#1074;\&#1058;&#1050;&#1055;_511_22_&#1089;&#1090;&#1072;&#1090;&#1091;&#1089;.xlsm" TargetMode="External"/><Relationship Id="rId450" Type="http://schemas.openxmlformats.org/officeDocument/2006/relationships/hyperlink" Target="../../../../TKP/TKP2025/tkp2025_290_Kingsly_strain%20recorder%2020000hz_&#1056;&#1057;&#1057;_&#1041;&#1091;&#1088;&#1103;&#1082;/" TargetMode="External"/><Relationship Id="rId506" Type="http://schemas.openxmlformats.org/officeDocument/2006/relationships/hyperlink" Target="../../../../TKP/TKP2023/tkp2023_498_&#1051;&#1052;&#1047;_MIC-356_1150_&#1052;&#1072;&#1089;&#1083;&#1086;&#1074;&#1072;/&#1058;&#1050;&#1055;_498_23_&#1089;&#1090;&#1072;&#1090;&#1091;&#1089;.xlsm" TargetMode="External"/><Relationship Id="rId688" Type="http://schemas.openxmlformats.org/officeDocument/2006/relationships/hyperlink" Target="file:///\\fserv\e\MERA\TKP\TKP2026\tkp2026_285_&#1060;&#1043;&#1040;&#1054;&#1059;%20&#1042;&#1054;%20&#1059;&#1088;&#1060;&#1059;_&#1089;&#1090;&#1077;&#1085;&#1076;%20&#1076;&#1083;&#1103;%20&#1080;&#1089;&#1087;&#1099;&#1090;&#1072;&#1085;&#1080;&#1081;%20&#1089;&#1077;&#1088;&#1074;&#1086;&#1087;&#1088;&#1080;&#1074;&#1086;&#1076;&#1086;&#1074;_&#1048;&#1074;&#1072;&#1085;&#1086;&#1074;&#1072;\" TargetMode="External"/><Relationship Id="rId38" Type="http://schemas.openxmlformats.org/officeDocument/2006/relationships/hyperlink" Target="../../../../TKP/TKP2022/tkp2022_412_&#1054;&#1044;&#1050;-&#1057;&#1072;&#1090;&#1091;&#1088;&#1085;_&#1072;&#1074;&#1090;&#1086;&#1084;&#1072;&#1090;&#1080;&#1079;&#1080;&#1088;&#1086;&#1074;&#1072;&#1085;&#1085;&#1072;&#1103;%20&#1087;&#1086;&#1074;&#1077;&#1088;&#1082;&#1072;_&#1057;&#1085;&#1099;&#1075;&#1080;&#1085;&#1072;/&#1058;&#1050;&#1055;_412_22_&#1089;&#1090;&#1072;&#1090;&#1091;&#1089;.xlsm" TargetMode="External"/><Relationship Id="rId103" Type="http://schemas.openxmlformats.org/officeDocument/2006/relationships/hyperlink" Target="../../../../TKP/TKP2023/tkp2023_138_&#1053;&#1048;&#1048;&#1055;&#1052;_&#1052;&#1045;-402_&#1057;&#1085;&#1099;&#1075;&#1080;&#1085;&#1072;/" TargetMode="External"/><Relationship Id="rId310" Type="http://schemas.openxmlformats.org/officeDocument/2006/relationships/hyperlink" Target="../../../../TKP/TKP2024/tkp2024_205_&#1054;&#1044;&#1050;-&#1050;&#1083;&#1080;&#1084;&#1086;&#1074;_&#1069;&#1057;&#1059;&#1044;-200_&#1045;&#1078;&#1086;&#1074;&#1072;/" TargetMode="External"/><Relationship Id="rId492" Type="http://schemas.openxmlformats.org/officeDocument/2006/relationships/hyperlink" Target="../../../../TKP/TKP2025/tkp2025_465_&#1052;&#1040;&#1048;_&#1043;&#1057;&#1059;500_&#1052;&#1077;&#1083;&#1080;&#1093;&#1086;&#1074;/" TargetMode="External"/><Relationship Id="rId548" Type="http://schemas.openxmlformats.org/officeDocument/2006/relationships/hyperlink" Target="../../../../TKP/TKP2025/tkp2025_590_&#1070;&#1059;&#1088;&#1043;&#1059;_&#1040;&#1085;&#1072;&#1083;&#1086;&#1075;%20LMS_&#1056;&#1057;&#1057;/&#1058;&#1050;&#1055;_590_25_&#1089;&#1090;&#1072;&#1090;&#1091;&#1089;.xlsm" TargetMode="External"/><Relationship Id="rId713" Type="http://schemas.openxmlformats.org/officeDocument/2006/relationships/hyperlink" Target="file:///\\fserv\e\MERA\TKP\TKP2026\tkp2026_331_&#1050;&#1086;&#1084;&#1087;&#1083;&#1077;&#1082;&#1090;_&#1089;&#1080;&#1089;&#1090;&#1077;&#1084;&#1099;_&#1080;&#1079;&#1084;&#1077;&#1088;&#1077;&#1085;&#1080;&#1081;_&#1053;&#1048;&#1050;&#1048;&#1069;&#1058;_&#1040;&#1085;&#1090;&#1080;&#1087;&#1077;&#1085;&#1082;&#1086;\" TargetMode="External"/><Relationship Id="rId91" Type="http://schemas.openxmlformats.org/officeDocument/2006/relationships/hyperlink" Target="../../../../TKP/TKP2023/tkp2023_368_&#1059;&#1047;&#1043;&#1040;_&#1089;&#1090;&#1077;&#1085;&#1076;_&#1087;&#1088;&#1086;&#1084;&#1099;&#1074;&#1082;&#1080;_&#1057;&#1087;&#1080;&#1088;&#1080;&#1076;&#1086;&#1085;&#1089;&#1082;&#1080;&#1081;/" TargetMode="External"/><Relationship Id="rId145" Type="http://schemas.openxmlformats.org/officeDocument/2006/relationships/hyperlink" Target="..\..\..\..\TKP\TKP2023\tkp2023_509_&#1057;&#1080;&#1083;&#1086;&#1074;&#1099;&#1077;_&#1084;&#1072;&#1096;&#1080;&#1085;&#1099;_(&#1051;&#1052;&#1047;)_&#1042;&#1080;&#1073;&#1088;&#1086;&#1084;&#1077;&#1090;&#1088;+&#1055;&#1054;_&#1052;&#1077;&#1083;&#1080;&#1093;&#1086;&#1074;\&#1058;&#1050;&#1055;_509_23_&#1089;&#1090;&#1072;&#1090;&#1091;&#1089;.xlsm" TargetMode="External"/><Relationship Id="rId187" Type="http://schemas.openxmlformats.org/officeDocument/2006/relationships/hyperlink" Target="&#1058;&#1050;&#1055;%20&#1087;&#1088;&#1086;&#1088;&#1072;&#1073;&#1086;&#1090;&#1082;&#1072;\2022\08_&#1054;&#1044;&#1050;%20&#1057;&#1090;&#1072;&#1088;%20&#1062;&#1080;&#1092;&#1088;%20&#1076;&#1074;&#1086;&#1081;&#1085;&#1080;&#1082;\&#1058;&#1050;&#1055;_08_22_&#1089;&#1090;&#1072;&#1090;&#1091;&#1089;.xlsm" TargetMode="External"/><Relationship Id="rId352" Type="http://schemas.openxmlformats.org/officeDocument/2006/relationships/hyperlink" Target="../../../../TKP/TKP2025/tkp2025_043_Kingsly_OF_MIC-312_&#1056;&#1057;&#1057;_&#1041;&#1091;&#1088;&#1103;&#1082;/" TargetMode="External"/><Relationship Id="rId394" Type="http://schemas.openxmlformats.org/officeDocument/2006/relationships/hyperlink" Target="../../../../TKP/TKP2025/tkp2025_140_&#1054;&#1044;&#1050;-&#1050;&#1091;&#1079;&#1085;&#1077;&#1094;&#1086;&#1074;_&#1079;&#1072;&#1075;&#1088;&#1091;&#1079;&#1086;&#1095;&#1085;&#1086;&#1077;_&#1091;&#1089;&#1090;&#1088;&#1086;&#1081;&#1089;&#1090;&#1074;&#1086;_&#1082;&#1086;&#1088;&#1087;.201_&#1094;&#1077;&#1093;60_&#1042;&#1080;&#1085;&#1090;&#1072;&#1081;_&#1052;&#1077;&#1083;&#1080;&#1093;&#1086;&#1074;/&#1058;&#1050;&#1055;_140_25_&#1089;&#1090;&#1072;&#1090;&#1091;&#1089;.xlsm" TargetMode="External"/><Relationship Id="rId408" Type="http://schemas.openxmlformats.org/officeDocument/2006/relationships/hyperlink" Target="../../../../TKP/TKP2025/tkp2025_202_Kingsly_System%20for%20Gear%20box%20testing_&#1056;&#1057;&#1057;_&#1041;&#1091;&#1088;&#1103;&#1082;/" TargetMode="External"/><Relationship Id="rId615" Type="http://schemas.openxmlformats.org/officeDocument/2006/relationships/hyperlink" Target="../../../../TKP/TKP2026/tkp2026_118_&#1054;&#1044;&#1050;-&#1040;&#1074;&#1080;&#1072;&#1076;&#1074;&#1080;&#1075;&#1072;&#1090;&#1077;&#1083;&#1100;_&#1048;&#1085;&#1076;&#1091;&#1082;&#1090;&#1080;&#1074;&#1085;&#1099;&#1081;_&#1076;&#1072;&#1090;&#1095;&#1080;&#1082;_&#1056;&#1057;&#1057;_&#1052;&#1077;&#1083;&#1080;&#1093;&#1086;&#1074;/&#1058;&#1050;&#1055;_118_26_&#1089;&#1090;&#1072;&#1090;&#1091;&#1089;.xlsm" TargetMode="External"/><Relationship Id="rId212" Type="http://schemas.openxmlformats.org/officeDocument/2006/relationships/hyperlink" Target="../../../../TKP/TKP2024/tkp2024_139_&#1071;&#1043;&#1058;&#1059;_&#1089;&#1090;&#1077;&#1085;&#1076;_&#1045;&#1078;&#1086;&#1074;&#1072;/" TargetMode="External"/><Relationship Id="rId254" Type="http://schemas.openxmlformats.org/officeDocument/2006/relationships/hyperlink" Target="../../../../TKP/TKP2024/tkp2024_280_&#1062;&#1048;&#1040;&#1052;_&#1041;&#1072;&#1088;&#1072;&#1085;&#1086;&#1074;&#1072;_&#1082;&#1072;&#1073;&#1077;&#1083;&#1100;_&#1041;&#1091;&#1088;&#1103;&#1082;/" TargetMode="External"/><Relationship Id="rId657" Type="http://schemas.openxmlformats.org/officeDocument/2006/relationships/hyperlink" Target="file:///\\fserv\e\MERA\TKP\TKP2026\tkp2026_231_&#1054;&#1044;&#1050;-&#1059;&#1052;&#1055;&#1054;_&#1052;&#1086;&#1073;&#1080;&#1083;&#1100;&#1085;&#1099;&#1081;_&#1089;&#1090;&#1077;&#1085;&#1076;&#1086;&#1074;&#1099;&#1081;_&#1082;&#1086;&#1084;&#1087;&#1083;&#1077;&#1082;&#1089;_&#1056;&#1057;&#1057;_&#1041;&#1091;&#1088;&#1103;&#1082;\" TargetMode="External"/><Relationship Id="rId699" Type="http://schemas.openxmlformats.org/officeDocument/2006/relationships/hyperlink" Target="../../../../TKP/TKP2025/tkp2025_610_&#1053;&#1055;&#1054;_&#1051;&#1072;&#1074;&#1086;&#1095;&#1082;&#1080;&#1085;&#1072;_&#1062;&#1080;&#1085;&#1090;&#1088;&#1080;&#1092;&#1091;&#1075;&#1072;_&#1057;&#1059;-268_&#1052;&#1072;&#1088;&#1090;&#1099;&#1085;&#1086;&#1074;/&#1058;&#1050;&#1055;_610_25_&#1089;&#1090;&#1072;&#1090;&#1091;&#1089;.xlsm" TargetMode="External"/><Relationship Id="rId49" Type="http://schemas.openxmlformats.org/officeDocument/2006/relationships/hyperlink" Target="..\..\..\..\TKP\TKP2022\tkp2022_591_&#1057;&#1080;&#1083;&#1086;&#1074;&#1099;&#1077;_&#1084;&#1072;&#1096;&#1080;&#1085;&#1099;_MIC-1150_&#1052;&#1077;&#1083;&#1080;&#1093;&#1086;&#1074;\&#1058;&#1050;&#1055;_591_22_&#1089;&#1090;&#1072;&#1090;&#1091;&#1089;.xlsm" TargetMode="External"/><Relationship Id="rId114" Type="http://schemas.openxmlformats.org/officeDocument/2006/relationships/hyperlink" Target="..\..\..\..\TKP\TKP2023\tkp2023_140_&#1054;&#1044;&#1050;_&#1057;&#1072;&#1083;&#1102;&#1090;_MIC-355_&#1057;&#1085;&#1099;&#1075;&#1080;&#1085;&#1072;\&#1058;&#1050;&#1055;_140_23_&#1089;&#1090;&#1072;&#1090;&#1091;&#1089;.xlsm" TargetMode="External"/><Relationship Id="rId296" Type="http://schemas.openxmlformats.org/officeDocument/2006/relationships/hyperlink" Target="../../../../TKP/TKP2024/tkp2024_434_&#1054;&#1044;&#1050;_&#1057;&#1072;&#1090;&#1091;&#1088;&#1085;_&#1055;&#1091;&#1083;&#1100;&#1090;&#1099;_&#1040;&#1048;&#1059;&#1057;_&#1052;&#1077;&#1083;&#1080;&#1093;&#1086;&#1074;/" TargetMode="External"/><Relationship Id="rId461" Type="http://schemas.openxmlformats.org/officeDocument/2006/relationships/hyperlink" Target="../../../../TKP/TKP2025/tkp2025_356_&#1052;&#1040;&#1047;_&#1055;&#1086;&#1088;&#1090;&#1072;&#1090;&#1080;&#1074;&#1085;&#1072;&#1103;_&#1089;&#1080;&#1089;&#1090;&#1077;&#1084;&#1072;_&#1089;&#1073;&#1086;&#1088;&#1072;_&#1076;&#1072;&#1085;&#1085;&#1099;&#1093;_&#1054;&#1089;&#1090;&#1088;&#1086;&#1074;&#1089;&#1082;&#1072;&#1103;/&#1058;&#1050;&#1055;_356_25_&#1089;&#1090;&#1072;&#1090;&#1091;&#1089;.xlsm" TargetMode="External"/><Relationship Id="rId517" Type="http://schemas.openxmlformats.org/officeDocument/2006/relationships/hyperlink" Target="../../../../TKP/TKP2023/tkp2023_498_&#1051;&#1052;&#1047;_MIC-356_1150_&#1052;&#1072;&#1089;&#1083;&#1086;&#1074;&#1072;/&#1058;&#1050;&#1055;_498_23_&#1089;&#1090;&#1072;&#1090;&#1091;&#1089;.xlsm" TargetMode="External"/><Relationship Id="rId559" Type="http://schemas.openxmlformats.org/officeDocument/2006/relationships/hyperlink" Target="../../../../TKP/TKP2025/tkp2025_615_&#1057;&#1080;&#1083;&#1086;&#1074;&#1099;&#1077;%20&#1084;&#1072;&#1096;&#1080;&#1085;&#1099;_&#1051;&#1040;&#1069;&#1057;_&#1057;&#1050;&#1042;&#1051;_&#1056;&#1057;&#1057;/" TargetMode="External"/><Relationship Id="rId724" Type="http://schemas.openxmlformats.org/officeDocument/2006/relationships/hyperlink" Target="file:///\\fserv\e\MERA\TKP\TKP2026\tkp2026_408_Micronel_Thrust_Measurement_System_&#1040;&#1074;&#1080;&#1072;_&#1041;&#1091;&#1088;&#1103;&#1082;\" TargetMode="External"/><Relationship Id="rId60" Type="http://schemas.openxmlformats.org/officeDocument/2006/relationships/hyperlink" Target="../../../../TKP/TKP2023/tkp2023_188_&#1054;&#1044;&#1050;-&#1089;&#1077;&#1088;&#1074;&#1080;&#1089;_&#1089;&#1080;&#1089;&#1090;&#1077;&#1084;&#1072;_&#1079;&#1072;&#1075;&#1088;&#1091;&#1079;&#1082;&#1080;_&#1091;&#1089;&#1090;&#1072;&#1085;&#1086;&#1074;&#1082;&#1080;_&#1053;&#1057;&#1054;_&#1040;&#1051;-31&#1060;_&#1057;&#1087;&#1080;&#1088;&#1080;&#1076;&#1086;&#1085;&#1089;&#1082;&#1080;&#1081;/&#1058;&#1047;" TargetMode="External"/><Relationship Id="rId156" Type="http://schemas.openxmlformats.org/officeDocument/2006/relationships/hyperlink" Target="..\..\..\..\TKP\TKP2023\tkp2023_573_%20&#1062;&#1077;&#1085;&#1090;&#1088;_&#1050;&#1077;&#1083;&#1076;&#1099;&#1096;&#1072;_MIC_&#1045;&#1078;&#1086;&#1074;&#1072;\" TargetMode="External"/><Relationship Id="rId198" Type="http://schemas.openxmlformats.org/officeDocument/2006/relationships/hyperlink" Target="../../../../TKP/TKP2024/tkp2024_125_&#1050;&#1058;&#1056;&#1042;_MIC-224_&#1052;&#1072;&#1089;&#1083;&#1086;&#1074;&#1072;/" TargetMode="External"/><Relationship Id="rId321" Type="http://schemas.openxmlformats.org/officeDocument/2006/relationships/hyperlink" Target="../../../../TKP/TKP2024/tkp2024_508_&#1057;&#1050;&#1041;%20&#1040;&#1056;&#1044;_&#1048;&#1048;&#1057;%20&#1040;&#1055;&#1044;-200_&#1041;&#1091;&#1088;&#1103;&#1082;/" TargetMode="External"/><Relationship Id="rId363" Type="http://schemas.openxmlformats.org/officeDocument/2006/relationships/hyperlink" Target="../../../../TKP/TKP2025/tkp2025_071_&#1040;&#1054;_&#1057;&#1050;&#1041;&#1052;_&#1052;&#1091;&#1088;&#1072;&#1074;&#1077;&#1081;&#1085;&#1080;&#1082;_&#1044;&#1072;&#1090;&#1095;&#1080;&#1082;&#1080;_&#1054;&#1089;&#1090;&#1088;&#1086;&#1074;&#1089;&#1082;&#1072;&#1103;/" TargetMode="External"/><Relationship Id="rId419" Type="http://schemas.openxmlformats.org/officeDocument/2006/relationships/hyperlink" Target="../../../../TKP/TKP2025/tkp2025_219_&#1054;&#1044;&#1050;_&#1050;&#1091;&#1079;&#1085;&#1077;&#1094;&#1086;&#1074;_&#1040;&#1057;&#1059;&#1058;&#1055;_&#1089;&#1090;.3,4_&#1042;&#1080;&#1085;&#1090;&#1072;&#1081;_&#1052;&#1077;&#1083;&#1080;&#1093;&#1086;&#1074;/&#1058;&#1050;&#1055;_219_25_&#1089;&#1090;&#1072;&#1090;&#1091;&#1089;.xlsm" TargetMode="External"/><Relationship Id="rId570" Type="http://schemas.openxmlformats.org/officeDocument/2006/relationships/hyperlink" Target="../../../../TKP/TKP2025/tkp2025_554_&#1062;&#1080;&#1072;&#1084;_&#1050;&#1086;&#1089;&#1082;&#1080;&#1085;_MIC-553_&#1056;&#1057;&#1057;_&#1052;&#1077;&#1083;&#1080;&#1093;&#1086;&#1074;/&#1058;&#1050;&#1055;_554_25_&#1089;&#1090;&#1072;&#1090;&#1091;&#1089;.xlsm" TargetMode="External"/><Relationship Id="rId626" Type="http://schemas.openxmlformats.org/officeDocument/2006/relationships/hyperlink" Target="file:///\\fserv\e\MERA\TKP\TKP2026\tkp2026_049_&#1040;&#1054;_&#1052;&#1045;&#1058;&#1056;&#1054;&#1042;&#1040;&#1043;&#1054;&#1053;&#1052;&#1040;&#1064;_&#1056;&#1057;&#1057;_&#1082;&#1088;&#1072;&#1085;&#1099;_&#1079;&#1072;&#1087;&#1086;&#1088;&#1085;&#1099;&#1077;_&#1052;&#1077;&#1083;&#1080;&#1093;&#1086;&#1074;\" TargetMode="External"/><Relationship Id="rId223" Type="http://schemas.openxmlformats.org/officeDocument/2006/relationships/hyperlink" Target="../../../../TKP/TKP2024/tkp2024_177_&#1062;&#1077;&#1085;&#1090;&#1088;%20&#1050;&#1077;&#1083;&#1076;&#1099;&#1096;&#1072;_&#1089;&#1080;&#1089;&#1090;&#1077;&#1084;&#1072;%20&#1089;&#1073;&#1086;&#1088;&#1072;%20&#1080;&#1085;&#1092;&#1086;&#1088;&#1084;&#1072;&#1094;&#1080;&#1080;_&#1055;&#1072;&#1089;&#1090;&#1072;&#1088;&#1085;&#1072;&#1082;&#1086;&#1074;&#1072;/&#1058;&#1050;&#1055;_177_24_&#1089;&#1090;&#1072;&#1090;&#1091;&#1089;.xlsm" TargetMode="External"/><Relationship Id="rId430" Type="http://schemas.openxmlformats.org/officeDocument/2006/relationships/hyperlink" Target="../../../../TKP/TKP2025/tkp2025_154_&#1050;&#1041;&#1061;&#1040;_&#1089;&#1090;.9%20&#1044;&#1086;&#1086;&#1089;&#1085;&#1072;&#1097;&#1077;&#1085;&#1080;&#1077;_&#1056;&#1057;&#1057;_&#1052;&#1077;&#1083;&#1080;&#1093;&#1086;&#1074;/&#1058;&#1050;&#1055;_154_25_&#1089;&#1090;&#1072;&#1090;&#1091;&#1089;.xlsm" TargetMode="External"/><Relationship Id="rId668" Type="http://schemas.openxmlformats.org/officeDocument/2006/relationships/hyperlink" Target="file:///\\fserv\e\MERA\TKP\TKP2026\tkp2026_146_&#1057;&#1043;&#1040;&#1059;_&#1052;&#1086;&#1076;&#1077;&#1088;&#1085;&#1080;&#1079;&#1072;&#1094;&#1080;&#1103;_&#1089;&#1090;&#1086;&#1081;&#1082;&#1080;_+MIC-170_&#1056;&#1057;&#1057;_&#1052;&#1077;&#1083;&#1080;&#1093;&#1086;&#1074;\" TargetMode="External"/><Relationship Id="rId18" Type="http://schemas.openxmlformats.org/officeDocument/2006/relationships/hyperlink" Target="../../../../TKP/TKP2023/tkp2023_090_&#1053;&#1048;&#1048;_&#1050;&#1086;&#1084;&#1072;&#1085;&#1076;&#1085;&#1099;&#1093;_&#1087;&#1088;&#1080;&#1073;&#1086;&#1088;&#1086;&#1074;_&#1040;&#1085;&#1072;&#1083;&#1086;&#1075;_NI_&#1052;&#1077;&#1083;&#1080;&#1093;&#1086;&#1074;" TargetMode="External"/><Relationship Id="rId265" Type="http://schemas.openxmlformats.org/officeDocument/2006/relationships/hyperlink" Target="..\..\..\..\TKP\TKP2024\tkp2024_339_&#1054;&#1044;&#1050;-&#1057;&#1077;&#1088;&#1074;&#1080;&#1089;_&#1040;&#1082;&#1091;&#1089;&#1090;&#1080;&#1095;&#1077;&#1089;&#1082;&#1080;&#1081;_&#1074;&#1086;&#1083;&#1085;&#1086;&#1074;&#1086;&#1076;_&#1052;&#1077;&#1083;&#1080;&#1093;&#1086;&#1074;\" TargetMode="External"/><Relationship Id="rId472" Type="http://schemas.openxmlformats.org/officeDocument/2006/relationships/hyperlink" Target="../../../../TKP/TKP2025/tkp2025_337_&#1043;&#1080;&#1076;&#1088;&#1086;&#1087;&#1088;&#1077;&#1089;&#1089;_&#1057;&#1080;&#1089;&#1090;&#1077;&#1084;&#1072;_&#1076;&#1083;&#1103;_&#1074;&#1080;&#1073;&#1088;&#1086;&#1080;&#1089;&#1087;&#1099;&#1090;&#1072;&#1085;&#1080;&#1081;_&#1054;&#1089;&#1090;&#1088;&#1086;&#1074;&#1089;&#1082;&#1072;&#1103;/" TargetMode="External"/><Relationship Id="rId528" Type="http://schemas.openxmlformats.org/officeDocument/2006/relationships/hyperlink" Target="../../../../TKP/TKP2025/tkp2025_063_&#1050;&#1041;&#1061;&#1052;_&#1057;&#1059;-&#1057;&#1056;_&#1089;&#1090;&#1077;&#1085;&#1076;&#1072;_&#1086;&#1075;&#1085;&#1077;&#1074;&#1099;&#1093;_&#1080;&#1089;&#1087;&#1099;&#1090;&#1072;&#1085;&#1080;&#1081;_&#1052;&#1077;&#1083;&#1080;&#1093;&#1086;&#1074;/" TargetMode="External"/><Relationship Id="rId735" Type="http://schemas.openxmlformats.org/officeDocument/2006/relationships/hyperlink" Target="file:///\\fserv\e\MERA\TKP\TKP2026\tkp2026_415_&#1054;&#1054;&#1054;%20&#1047;&#1080;&#1083;&#1072;&#1085;&#1090;_&#1080;&#1089;&#1087;&#1099;&#1090;&#1072;&#1085;&#1080;&#1103;%20&#1058;&#1056;&#1044;_&#1056;&#1057;&#1057;_&#1048;&#1074;&#1072;&#1085;&#1086;&#1074;&#1072;\&#1058;&#1050;&#1055;_415_26_&#1089;&#1090;&#1072;&#1090;&#1091;&#1089;.xlsm" TargetMode="External"/><Relationship Id="rId125" Type="http://schemas.openxmlformats.org/officeDocument/2006/relationships/hyperlink" Target="../../../../TKP/TKP2023/tkp2023_481_&#1053;&#1048;&#1048;&#1052;&#1040;&#1064;_&#1040;&#1057;&#1059;&#1080;&#1059;_&#1090;&#1077;&#1093;_&#1087;&#1088;&#1086;&#1094;&#1077;&#1089;&#1089;&#1072;&#1084;&#1080;_&#1052;&#1072;&#1088;&#1090;&#1099;&#1085;&#1086;&#1074;/" TargetMode="External"/><Relationship Id="rId167" Type="http://schemas.openxmlformats.org/officeDocument/2006/relationships/hyperlink" Target="..\..\..\..\TKP\TKP2023\tkp2023_555_&#1053;&#1048;&#1050;&#1048;&#1069;&#1058;_MIC553_&#1056;&#1057;&#1057;\&#1058;&#1050;&#1055;_555_23_&#1089;&#1090;&#1072;&#1090;&#1091;&#1089;.xlsm" TargetMode="External"/><Relationship Id="rId332" Type="http://schemas.openxmlformats.org/officeDocument/2006/relationships/hyperlink" Target="../../../../TKP/TKP2025/tkp2025_002_Kingsly_16%20channels%20LEOS%20ISRO_&#1056;&#1057;&#1057;_&#1041;&#1091;&#1088;&#1103;&#1082;/" TargetMode="External"/><Relationship Id="rId374" Type="http://schemas.openxmlformats.org/officeDocument/2006/relationships/hyperlink" Target="../../../../TKP/TKP2025/tkp2025_127_&#1040;&#1054;%20&#1069;&#1082;&#1086;&#1083;&#1080;&#1073;&#1088;&#1080;_&#1057;&#1084;&#1072;&#1075;&#1080;&#1085;&#1072;/" TargetMode="External"/><Relationship Id="rId581" Type="http://schemas.openxmlformats.org/officeDocument/2006/relationships/hyperlink" Target="file:///\\fserv\e\MERA\TKP\TKP2026\tkp2026_018_&#1056;&#1058;&#1059;_&#1052;&#1048;&#1056;&#1069;&#1040;_&#1057;&#1080;&#1089;&#1090;&#1077;&#1084;&#1072;_&#1074;&#1072;&#1082;&#1091;&#1091;&#1084;&#1085;&#1072;&#1103;_&#1056;&#1057;&#1057;_&#1041;&#1091;&#1088;&#1103;&#1082;\" TargetMode="External"/><Relationship Id="rId71" Type="http://schemas.openxmlformats.org/officeDocument/2006/relationships/hyperlink" Target="../../../../TKP/TKP2023/tkp2023_261_&#1057;&#1072;&#1090;&#1091;&#1088;&#1085;_&#1072;&#1076;&#1072;&#1087;&#1090;&#1072;&#1094;&#1080;&#1103;%20&#1089;&#1090;&#1077;&#1085;&#1076;&#1072;_&#1084;&#1072;&#1096;&#1080;&#1085;&#1085;&#1086;&#1077;%20&#1079;&#1088;&#1077;&#1085;&#1080;&#1077;_&#1045;&#1078;&#1086;&#1074;&#1072;/" TargetMode="External"/><Relationship Id="rId234" Type="http://schemas.openxmlformats.org/officeDocument/2006/relationships/hyperlink" Target="../../../../TKP/TKP2024/tkp2024_032_&#1050;&#1072;&#1079;&#1072;&#1085;&#1089;&#1082;&#1080;&#1081;%20&#1074;&#1077;&#1088;&#1090;&#1086;&#1083;&#1077;&#1090;&#1085;&#1099;&#1081;%20&#1079;&#1072;&#1074;&#1086;&#1076;_&#1080;&#1089;&#1087;&#1099;&#1090;&#1072;&#1085;&#1080;&#1103;_&#1052;&#1072;&#1089;&#1083;&#1086;&#1074;&#1072;/" TargetMode="External"/><Relationship Id="rId637" Type="http://schemas.openxmlformats.org/officeDocument/2006/relationships/hyperlink" Target="../../../../TKP/TKP2025/tkp2025_630_&#1052;&#1040;&#1048;%20&#1050;&#1086;&#1084;&#1089;&#1086;&#1084;&#1086;&#1083;&#1100;&#1089;&#1082;_&#1055;&#1086;&#1074;&#1090;&#1086;&#1088;&#1085;&#1086;%20&#1089;&#1090;&#1072;&#1090;&#1080;&#1095;&#1077;&#1089;&#1082;&#1080;&#1077;%20&#1080;&#1089;&#1087;&#1099;&#1090;&#1072;&#1085;&#1080;&#1103;_&#1056;&#1057;&#1057;_&#1052;&#1077;&#1083;&#1080;&#1093;&#1086;&#1074;/&#1058;&#1050;&#1055;_630_25_&#1089;&#1090;&#1072;&#1090;&#1091;&#1089;.xlsm" TargetMode="External"/><Relationship Id="rId679" Type="http://schemas.openxmlformats.org/officeDocument/2006/relationships/hyperlink" Target="file:///\\fserv\e\MERA\TKP\TKP2026\tkp2026_048_&#1040;&#1054;_&#1052;&#1045;&#1058;&#1056;&#1054;&#1042;&#1040;&#1043;&#1054;&#1053;&#1052;&#1040;&#1064;_&#1056;&#1057;&#1057;_&#1087;&#1088;&#1091;&#1078;&#1080;&#1085;&#1099;_&#1052;&#1077;&#1083;&#1080;&#1093;&#1086;&#1074;\" TargetMode="External"/><Relationship Id="rId2" Type="http://schemas.openxmlformats.org/officeDocument/2006/relationships/hyperlink" Target="." TargetMode="External"/><Relationship Id="rId29" Type="http://schemas.openxmlformats.org/officeDocument/2006/relationships/hyperlink" Target="../../../../TKP/TKP2023/tkp2023_171_&#1057;&#1055;&#1073;&#1043;&#1052;&#1058;&#1059;_MIC_&#1045;&#1078;&#1086;&#1074;&#1072;" TargetMode="External"/><Relationship Id="rId276" Type="http://schemas.openxmlformats.org/officeDocument/2006/relationships/hyperlink" Target="../../../../TKP/TKP2024/tkp2024_365_&#1053;&#1055;&#1054;_&#1052;&#1072;&#1096;&#1080;&#1085;&#1086;&#1089;&#1090;&#1088;&#1086;&#1077;&#1085;&#1080;&#1103;_&#1043;&#1072;&#1083;&#1100;&#1074;&#1072;&#1085;&#1080;&#1095;&#1077;&#1089;&#1082;&#1080;&#1077;_&#1073;&#1083;&#1086;&#1082;&#1080;_&#1052;&#1077;&#1083;&#1080;&#1093;&#1086;&#1074;/" TargetMode="External"/><Relationship Id="rId441" Type="http://schemas.openxmlformats.org/officeDocument/2006/relationships/hyperlink" Target="../../../../TKP/TKP2025/tkp2025_245_&#1057;&#1072;&#1090;&#1091;&#1088;&#1085;_&#1052;&#1043;&#1058;&#1044;%20&#1089;&#1090;&#1077;&#1085;&#1076;%20&#1059;-05_&#1056;&#1057;&#1057;_&#1041;&#1091;&#1088;&#1103;&#1082;/" TargetMode="External"/><Relationship Id="rId483" Type="http://schemas.openxmlformats.org/officeDocument/2006/relationships/hyperlink" Target="../../../../TKP/TKP2025/tkp2025_403_&#1050;&#1041;&#1061;&#1040;_&#1041;&#1083;&#1086;&#1082;&#1080;_&#1048;&#1042;&#1047;_&#1052;&#1077;&#1083;&#1080;&#1093;&#1086;&#1074;/" TargetMode="External"/><Relationship Id="rId539" Type="http://schemas.openxmlformats.org/officeDocument/2006/relationships/hyperlink" Target="../../../../TKP/TKP2025/tkp2025_564_&#1053;&#1048;&#1050;&#1048;&#1069;&#1058;_&#1040;&#1085;&#1072;&#1083;&#1086;&#1075;_ONYX_&#1056;&#1057;&#1057;_&#1052;&#1077;&#1083;&#1080;&#1093;&#1086;&#1074;/" TargetMode="External"/><Relationship Id="rId690" Type="http://schemas.openxmlformats.org/officeDocument/2006/relationships/hyperlink" Target="file:///\\fserv\e\MERA\TKP\TKP2026\tkp2026_055_&#1053;&#1048;&#1062;_&#1056;&#1050;&#1055;_&#1052;&#1086;&#1076;&#1077;&#1088;&#1085;&#1080;&#1079;&#1072;&#1094;&#1080;&#1103;_&#1048;&#1042;&#1050;_&#1048;&#1057;_&#1041;&#1052;&#1055;_&#1052;&#1077;&#1083;&#1080;&#1093;&#1086;&#1074;\" TargetMode="External"/><Relationship Id="rId704" Type="http://schemas.openxmlformats.org/officeDocument/2006/relationships/hyperlink" Target="..\..\..\..\TKP\TKP2026\tkp2026_347_&#1056;&#1060;&#1071;&#1062;_&#1042;&#1053;&#1048;&#1048;&#1058;&#1060;_&#1040;&#1048;&#1057;_&#1056;&#1057;&#1057;_&#1040;&#1085;&#1090;&#1080;&#1087;&#1077;&#1085;&#1082;&#1086;\&#1058;&#1050;&#1055;_347_26_&#1089;&#1090;&#1072;&#1090;&#1091;&#1089;.xlsm" TargetMode="External"/><Relationship Id="rId746" Type="http://schemas.openxmlformats.org/officeDocument/2006/relationships/ctrlProp" Target="../ctrlProps/ctrlProp4.xml"/><Relationship Id="rId40" Type="http://schemas.openxmlformats.org/officeDocument/2006/relationships/hyperlink" Target="..\..\..\..\TKP\TKP2023\tkp2023_164_&#1048;&#1057;_&#1059;&#1047;&#1043;&#1040;_&#1045;&#1078;&#1086;&#1074;&#1072;\&#1058;&#1050;&#1055;_164_23_&#1089;&#1090;&#1072;&#1090;&#1091;&#1089;.xlsm" TargetMode="External"/><Relationship Id="rId136" Type="http://schemas.openxmlformats.org/officeDocument/2006/relationships/hyperlink" Target="../../../../TKP/TKP2023/tkp2023_416_&#1054;&#1044;&#1050;_&#1048;&#1085;&#1078;&#1080;&#1085;&#1080;&#1088;&#1080;&#1085;&#1075;_MIC-026_036_&#1052;&#1072;&#1089;&#1083;&#1086;&#1074;&#1072;/" TargetMode="External"/><Relationship Id="rId178" Type="http://schemas.openxmlformats.org/officeDocument/2006/relationships/hyperlink" Target="../../../../TKP/TKP2022/tkp2022_056_&#1043;&#1040;&#1055;_&#1089;&#1086;&#1102;&#1079;_&#1040;&#1057;&#1059;&#1058;&#1055;_&#1051;&#1042;&#1044;_&#1057;&#1087;&#1080;&#1088;&#1080;&#1076;&#1086;&#1085;&#1089;&#1082;&#1080;&#1081;_&#1056;&#1057;&#1057;/" TargetMode="External"/><Relationship Id="rId301" Type="http://schemas.openxmlformats.org/officeDocument/2006/relationships/hyperlink" Target="..\..\..\..\TKP\TKP2024\tkp2024_460_&#1059;&#1088;&#1060;&#1059;_MIC-224_&#1052;&#1077;&#1083;&#1080;&#1093;&#1086;&#1074;\" TargetMode="External"/><Relationship Id="rId343" Type="http://schemas.openxmlformats.org/officeDocument/2006/relationships/hyperlink" Target="../../../../TKP/TKP2025/tkp2025_030_Kingsly_128%20temperature%20recorder_&#1056;&#1057;&#1057;_&#1041;&#1091;&#1088;&#1103;&#1082;/" TargetMode="External"/><Relationship Id="rId550" Type="http://schemas.openxmlformats.org/officeDocument/2006/relationships/hyperlink" Target="../../../../TKP/TKP2025/tkp2025_586_&#1044;&#1086;&#1087;.&#1040;&#1056;&#1052;_&#1043;&#1058;&#1069;-65.1_&#1074;_&#1082;&#1086;&#1085;&#1090;&#1077;&#1081;&#1085;&#1077;&#1088;&#1077;_&#1052;&#1077;&#1083;&#1080;&#1093;&#1086;&#1074;/" TargetMode="External"/><Relationship Id="rId82" Type="http://schemas.openxmlformats.org/officeDocument/2006/relationships/hyperlink" Target="..\..\..\..\TKP\TKP2023\tkp2023_342_&#1050;&#1088;&#1072;&#1089;&#1084;&#1072;&#1096;_&#1057;&#1048;&#1059;_&#1045;&#1078;&#1086;&#1074;&#1072;\" TargetMode="External"/><Relationship Id="rId203" Type="http://schemas.openxmlformats.org/officeDocument/2006/relationships/hyperlink" Target="../../../../TKP/TKP2024/tkp2024_147_&#1062;&#1048;&#1040;&#1052;_&#1043;&#1058;&#1059;_&#1052;&#1072;&#1089;&#1083;&#1086;&#1074;&#1072;/" TargetMode="External"/><Relationship Id="rId385" Type="http://schemas.openxmlformats.org/officeDocument/2006/relationships/hyperlink" Target="../../../../TKP/TKP2024/tkp2024_109_&#1054;&#1044;&#1050;%20&#1059;&#1052;&#1055;&#1054;_&#1080;&#1089;&#1087;&#1099;&#1090;&#1072;&#1085;&#1080;&#1103;%20&#1087;&#1086;&#1088;&#1096;&#1085;&#1077;&#1074;&#1099;&#1093;%20&#1076;&#1074;&#1080;&#1075;&#1072;&#1090;&#1077;&#1083;&#1077;&#1081;_&#1041;&#1091;&#1088;&#1103;&#1082;/&#1058;&#1050;&#1055;_109_24_&#1089;&#1090;&#1072;&#1090;&#1091;&#1089;.xlsm" TargetMode="External"/><Relationship Id="rId592" Type="http://schemas.openxmlformats.org/officeDocument/2006/relationships/hyperlink" Target="file:///\\fserv\e\MERA\TKP\TKP2025\tkp2025_296_&#1056;&#1058;&#1059;_&#1052;&#1048;&#1056;&#1069;&#1040;_&#1057;&#1060;&#1053;&#1042;&#1055;_&#1056;&#1057;&#1057;_&#1041;&#1091;&#1088;&#1103;&#1082;\" TargetMode="External"/><Relationship Id="rId606" Type="http://schemas.openxmlformats.org/officeDocument/2006/relationships/hyperlink" Target="file:///\\fserv\e\MERA\TKP\TKP2026\tkp2026_076_&#1054;&#1044;&#1050;-&#1057;&#1072;&#1090;&#1091;&#1088;&#1085;_&#1058;&#1086;&#1087;&#1083;&#1080;&#1074;&#1085;&#1072;&#1103;_&#1089;&#1080;&#1089;&#1090;&#1077;&#1084;&#1072;_&#1052;&#1048;&#1056;_&#1041;&#1091;&#1088;&#1103;&#1082;\" TargetMode="External"/><Relationship Id="rId648" Type="http://schemas.openxmlformats.org/officeDocument/2006/relationships/hyperlink" Target="file:///\\fserv\e\MERA\TKP\TKP2026\tkp2026_167_&#1057;&#1043;&#1040;&#1059;_MIC-170_(&#1072;&#1073;&#1089;.7&#1072;&#1090;&#1084;.)_&#1052;&#1077;&#1083;&#1080;&#1093;&#1086;&#1074;\" TargetMode="External"/><Relationship Id="rId245" Type="http://schemas.openxmlformats.org/officeDocument/2006/relationships/hyperlink" Target="../../../../TKP/TKP2024/tkp2024_220_&#1053;&#1055;&#1050;_&#1050;&#1041;&#1052;_&#1057;&#1080;&#1089;&#1090;&#1077;&#1084;&#1072;_&#1085;&#1072;&#1075;&#1088;&#1091;&#1078;&#1077;&#1085;&#1080;&#1103;_&#1045;&#1078;&#1086;&#1074;&#1072;/&#1058;&#1050;&#1055;_220_24_&#1089;&#1090;&#1072;&#1090;&#1091;&#1089;.xlsm" TargetMode="External"/><Relationship Id="rId287" Type="http://schemas.openxmlformats.org/officeDocument/2006/relationships/hyperlink" Target="..\..\..\..\TKP\TKP2024\tkp2024_360_Kingsly_24%20channels_&#1056;&#1057;&#1057;_&#1041;&#1091;&#1088;&#1103;&#1082;\" TargetMode="External"/><Relationship Id="rId410" Type="http://schemas.openxmlformats.org/officeDocument/2006/relationships/hyperlink" Target="../../../../TKP/TKP2025/tkp2025_223_Kingsly_MIC-185_&#1056;&#1057;&#1057;_&#1041;&#1091;&#1088;&#1103;&#1082;/" TargetMode="External"/><Relationship Id="rId452" Type="http://schemas.openxmlformats.org/officeDocument/2006/relationships/hyperlink" Target="../../../../TKP/TKP2025/tkp2025_291_&#1071;&#1043;&#1058;&#1059;_MIC-224_&#1057;&#1084;&#1072;&#1075;&#1080;&#1085;&#1072;/" TargetMode="External"/><Relationship Id="rId494" Type="http://schemas.openxmlformats.org/officeDocument/2006/relationships/hyperlink" Target="../../../../TKP/TKP2025/tkp2025_452_&#1057;&#1043;&#1040;&#1059;_&#1089;&#1090;&#1077;&#1085;&#1076;&#1099;_&#1080;&#1089;&#1087;&#1099;&#1090;&#1072;&#1085;&#1080;&#1081;_&#1052;&#1043;&#1058;&#1044;_550H_&#1052;&#1077;&#1083;&#1080;&#1093;&#1086;&#1074;/&#1058;&#1050;&#1055;_452_25_&#1089;&#1090;&#1072;&#1090;&#1091;&#1089;.xlsm" TargetMode="External"/><Relationship Id="rId508" Type="http://schemas.openxmlformats.org/officeDocument/2006/relationships/hyperlink" Target="../../../../TKP/TKP2025/tkp2025_501_&#1062;&#1048;&#1040;&#1052;_&#1040;&#1050;&#1041;_&#1056;&#1057;&#1057;_&#1041;&#1091;&#1088;&#1103;&#1082;/" TargetMode="External"/><Relationship Id="rId715" Type="http://schemas.openxmlformats.org/officeDocument/2006/relationships/hyperlink" Target="file:///\\fserv\e\MERA\TKP\TKP2024\tkp2024_046_&#1050;&#1041;&#1061;M_MIC-236_MIC-553_&#1045;&#1078;&#1086;&#1074;&#1072;\" TargetMode="External"/><Relationship Id="rId105" Type="http://schemas.openxmlformats.org/officeDocument/2006/relationships/hyperlink" Target="&#1058;&#1050;&#1055;%20C&#1090;&#1072;&#1090;&#1080;&#1089;&#1090;&#1080;&#1082;&#1072;%20V1.4.xlsm" TargetMode="External"/><Relationship Id="rId147" Type="http://schemas.openxmlformats.org/officeDocument/2006/relationships/hyperlink" Target="../../../../TKP/TKP2023/tkp2023_326_&#1054;&#1044;&#1050;_&#1050;&#1091;&#1079;&#1085;&#1077;&#1094;&#1086;&#1074;_&#1057;&#1080;&#1089;&#1090;&#1077;&#1084;&#1072;_&#1074;&#1080;&#1073;&#1088;&#1086;&#1082;&#1086;&#1085;&#1090;&#1088;&#1086;&#1083;&#1103;_&#1052;&#1077;&#1083;&#1080;&#1093;&#1086;&#1074;/&#1058;&#1050;&#1055;_326_23_&#1089;&#1090;&#1072;&#1090;&#1091;&#1089;.xlsm" TargetMode="External"/><Relationship Id="rId312" Type="http://schemas.openxmlformats.org/officeDocument/2006/relationships/hyperlink" Target="../../../../TKP/TKP2024/tkp2024_451_&#1050;&#1072;&#1083;&#1080;&#1085;&#1080;&#1085;&#1089;&#1082;&#1072;&#1103;_&#1040;&#1069;&#1057;_&#1057;&#1080;&#1089;&#1090;&#1077;&#1084;&#1072;%20&#1082;&#1086;&#1085;&#1090;&#1088;&#1086;&#1083;&#1103;%20&#1074;&#1080;&#1073;&#1088;&#1072;&#1094;&#1080;&#1080;%20&#1083;&#1086;&#1087;&#1072;&#1090;&#1086;&#1082;_&#1041;&#1091;&#1088;&#1103;&#1082;/" TargetMode="External"/><Relationship Id="rId354" Type="http://schemas.openxmlformats.org/officeDocument/2006/relationships/hyperlink" Target="..\..\..\..\TKP\TKP2025\tkp2025_043_Kingsly_OF_MIC-312_&#1056;&#1057;&#1057;_&#1041;&#1091;&#1088;&#1103;&#1082;\&#1058;&#1050;&#1055;_043_25_&#1089;&#1090;&#1072;&#1090;&#1091;&#1089;.xlsm" TargetMode="External"/><Relationship Id="rId51" Type="http://schemas.openxmlformats.org/officeDocument/2006/relationships/hyperlink" Target="..\..\..\..\TKP\TKP2023\tkp2023_245_&#1053;&#1042;&#1062;_&#1052;&#1080;&#1083;&#1100;_&#1080;_&#1050;&#1072;&#1084;&#1086;&#1074;_&#1089;&#1090;&#1072;&#1090;&#1079;&#1072;&#1083;_&#1069;&#1048;&#1050;_&#1052;&#1077;&#1083;&#1080;&#1093;&#1086;&#1074;\" TargetMode="External"/><Relationship Id="rId93" Type="http://schemas.openxmlformats.org/officeDocument/2006/relationships/hyperlink" Target="../../../../TKP/TKP2023/tkp2023_386_&#1054;&#1053;&#1055;&#1055;_&#1058;&#1077;&#1093;&#1085;&#1086;&#1083;&#1086;&#1075;&#1080;&#1103;_&#1087;&#1088;&#1080;&#1074;&#1086;&#1076;&#1099;_&#1101;&#1083;&#1077;&#1082;&#1090;&#1088;&#1086;&#1096;&#1082;&#1072;&#1092;&#1099;_&#1052;&#1072;&#1089;&#1083;&#1086;&#1074;&#1072;/" TargetMode="External"/><Relationship Id="rId189" Type="http://schemas.openxmlformats.org/officeDocument/2006/relationships/hyperlink" Target="../../../../TKP/TKP2023/tkp2023_002_&#1062;&#1040;&#1043;&#1048;_MIC-553_&#1057;&#1085;&#1099;&#1075;&#1080;&#1085;&#1072;/&#1058;&#1050;&#1055;_002_23_&#1089;&#1090;&#1072;&#1090;&#1091;&#1089;.xlsm" TargetMode="External"/><Relationship Id="rId396" Type="http://schemas.openxmlformats.org/officeDocument/2006/relationships/hyperlink" Target="..\..\..\..\TKP\TKP2025\tkp2025_091_&#1053;&#1048;&#1062;_&#1056;&#1050;&#1055;_&#1050;&#1072;&#1084;&#1077;&#1088;&#1072;_&#1090;&#1077;&#1088;&#1084;&#1086;&#1074;&#1072;&#1082;&#1091;&#1091;&#1084;&#1085;&#1086;&#1081;_&#1089;&#1091;&#1096;&#1082;&#1080;_&#1052;&#1072;&#1088;&#1090;&#1099;&#1085;&#1086;&#1074;\&#1058;&#1047;\&#1058;&#1050;&#1055;_91_25_&#1089;&#1090;&#1072;&#1090;&#1091;&#1089;.xlsm" TargetMode="External"/><Relationship Id="rId561" Type="http://schemas.openxmlformats.org/officeDocument/2006/relationships/hyperlink" Target="..\..\..\..\TKP\TKP2025\tkp2025_609_&#1054;&#1050;&#1041;_&#1043;&#1080;&#1076;&#1088;&#1086;&#1087;&#1088;&#1077;&#1089;&#1089;_&#1089;&#1080;&#1089;&#1090;&#1077;&#1084;&#1072;_&#1082;&#1086;&#1085;&#1090;&#1088;&#1086;&#1083;&#1103;_&#1091;&#1089;&#1080;&#1083;&#1080;&#1081;_&#1056;&#1057;&#1057;\&#1058;&#1050;&#1055;_609_25_&#1089;&#1090;&#1072;&#1090;&#1091;&#1089;.xlsm" TargetMode="External"/><Relationship Id="rId617" Type="http://schemas.openxmlformats.org/officeDocument/2006/relationships/hyperlink" Target="..\..\..\..\TKP\TKP2026\tkp2026_115_&#1044;&#1050;&#1041;&#1040;_&#1058;&#1077;&#1087;&#1083;&#1086;&#1074;&#1086;&#1081;_&#1089;&#1090;&#1077;&#1085;&#1076;_&#1052;&#1077;&#1083;&#1080;&#1093;&#1086;&#1074;\&#1058;&#1050;&#1055;_115_26_&#1089;&#1090;&#1072;&#1090;&#1091;&#1089;.xlsm" TargetMode="External"/><Relationship Id="rId659" Type="http://schemas.openxmlformats.org/officeDocument/2006/relationships/hyperlink" Target="..\..\..\..\TKP\TKP2026\tkp2026_231_&#1054;&#1044;&#1050;-&#1059;&#1052;&#1055;&#1054;_&#1052;&#1086;&#1073;&#1080;&#1083;&#1100;&#1085;&#1099;&#1081;_&#1089;&#1090;&#1077;&#1085;&#1076;&#1086;&#1074;&#1099;&#1081;_&#1082;&#1086;&#1084;&#1087;&#1083;&#1077;&#1082;&#1089;_&#1056;&#1057;&#1057;_&#1041;&#1091;&#1088;&#1103;&#1082;\&#1058;&#1050;&#1055;_231_26_&#1089;&#1090;&#1072;&#1090;&#1091;&#1089;.xlsm" TargetMode="External"/><Relationship Id="rId214" Type="http://schemas.openxmlformats.org/officeDocument/2006/relationships/hyperlink" Target="../../../../TKP/TKP2024/tkp2024_166_&#1051;&#1072;&#1073;%20&#1052;&#1077;&#1082;&#1082;&#1072;&#1085;&#1080;&#1082;&#1072;_&#1056;&#1057;&#1057;_&#1045;&#1078;&#1086;&#1074;&#1072;/" TargetMode="External"/><Relationship Id="rId256" Type="http://schemas.openxmlformats.org/officeDocument/2006/relationships/hyperlink" Target="../../../../TKP/TKP2024/tkp2024_280_&#1062;&#1048;&#1040;&#1052;_&#1041;&#1072;&#1088;&#1072;&#1085;&#1086;&#1074;&#1072;_&#1082;&#1072;&#1073;&#1077;&#1083;&#1100;_&#1041;&#1091;&#1088;&#1103;&#1082;/&#1058;&#1050;&#1055;_280_24_&#1089;&#1090;&#1072;&#1090;&#1091;&#1089;.xlsm" TargetMode="External"/><Relationship Id="rId298" Type="http://schemas.openxmlformats.org/officeDocument/2006/relationships/hyperlink" Target="../../../../TKP/TKP2024/tkp2024_410_&#1059;&#1047;&#1043;&#1040;_&#1069;&#1084;&#1091;&#1083;&#1103;&#1090;&#1086;&#1088;_&#1087;&#1080;&#1083;&#1086;&#1090;&#1072;_&#1040;&#1055;&#1044;-300_&#1052;&#1077;&#1083;&#1080;&#1093;&#1086;&#1074;/&#1058;&#1050;&#1055;_410_24_&#1089;&#1090;&#1072;&#1090;&#1091;&#1089;.xlsm" TargetMode="External"/><Relationship Id="rId421" Type="http://schemas.openxmlformats.org/officeDocument/2006/relationships/hyperlink" Target="../../../../TKP/TKP2025/tkp2025_176_&#1050;&#1072;&#1083;&#1080;&#1083;&#1080;&#1085;&#1089;&#1082;&#1072;&#1103;_&#1040;&#1069;&#1057;_&#1056;&#1072;&#1073;&#1086;&#1090;&#1099;%20&#1074;%20&#1095;&#1072;&#1089;&#1090;&#1080;%20&#1079;&#1072;&#1084;&#1077;&#1088;&#1086;&#1074;%20&#1074;&#1080;&#1073;&#1088;&#1072;&#1094;&#1080;&#1080;%20&#1083;&#1086;&#1087;&#1072;&#1090;&#1086;&#1082;_&#1041;&#1091;&#1088;&#1103;&#1082;/" TargetMode="External"/><Relationship Id="rId463" Type="http://schemas.openxmlformats.org/officeDocument/2006/relationships/hyperlink" Target="..\..\..\..\TKP\TKP2025\tkp2025_351_&#1052;&#1054;_&#1059;&#1055;&#1052;&#1048;_&#1057;&#1086;&#1083;&#1085;&#1099;&#1096;&#1082;&#1086;&#1074;_PXI_&#1056;&#1057;&#1057;_&#1054;&#1089;&#1090;&#1088;&#1086;&#1074;&#1089;&#1082;&#1072;&#1103;\" TargetMode="External"/><Relationship Id="rId519" Type="http://schemas.openxmlformats.org/officeDocument/2006/relationships/hyperlink" Target="../../../../TKP/TKP2024/tkp2024_329_&#1050;&#1041;&#1061;&#1052;_&#1056;&#1054;&#1057;_&#1059;&#1042;&#1050;_&#1040;&#1057;&#1055;&#1059;_&#1052;&#1077;&#1083;&#1080;&#1093;&#1086;&#1074;/" TargetMode="External"/><Relationship Id="rId670" Type="http://schemas.openxmlformats.org/officeDocument/2006/relationships/hyperlink" Target="file:///\\fserv\e\MERA\TKP\TKP2026\tkp2026_212_&#1050;&#1041;&#1061;&#1052;_&#1056;&#1042;&#1050;_&#1056;&#1052;8_&#1056;&#1057;&#1057;_&#1052;&#1077;&#1083;&#1080;&#1093;&#1086;&#1074;\" TargetMode="External"/><Relationship Id="rId116" Type="http://schemas.openxmlformats.org/officeDocument/2006/relationships/hyperlink" Target="../../../../TKP/TKP2023/tkp2023_434_&#1052;&#1058;&#1047;_&#1057;&#1090;&#1077;&#1085;&#1076;_&#1080;&#1089;&#1087;&#1099;&#1090;&#1072;&#1085;&#1080;&#1103;_&#1082;&#1072;&#1073;&#1080;&#1085;_&#1052;&#1077;&#1083;&#1080;&#1093;&#1086;&#1074;/" TargetMode="External"/><Relationship Id="rId158" Type="http://schemas.openxmlformats.org/officeDocument/2006/relationships/hyperlink" Target="..\..\..\..\TKP\TKP2023\tkp2023_497_&#1051;&#1052;&#1047;_MIC-355_&#1052;&#1072;&#1089;&#1083;&#1086;&#1074;&#1072;\&#1058;&#1050;&#1055;_497_23_&#1089;&#1090;&#1072;&#1090;&#1091;&#1089;.xlsm" TargetMode="External"/><Relationship Id="rId323" Type="http://schemas.openxmlformats.org/officeDocument/2006/relationships/hyperlink" Target="../../../../TKP/TKP2024/tkp2024_504_&#1040;&#1054;_&#1060;&#1062;&#1044;&#1058;_&#1057;&#1086;&#1102;&#1079;_&#1048;&#1042;&#1050;%20&#1082;%20&#1057;&#1048;&#1055;&#1055;_&#1052;&#1077;&#1083;&#1080;&#1093;&#1086;&#1074;/" TargetMode="External"/><Relationship Id="rId530" Type="http://schemas.openxmlformats.org/officeDocument/2006/relationships/hyperlink" Target="../../../../TKP/TKP2025/tkp2025_465_&#1052;&#1040;&#1048;_&#1043;&#1057;&#1059;500_&#1052;&#1077;&#1083;&#1080;&#1093;&#1086;&#1074;/&#1058;&#1050;&#1055;_465_25_&#1089;&#1090;&#1072;&#1090;&#1091;&#1089;.xlsm" TargetMode="External"/><Relationship Id="rId726" Type="http://schemas.openxmlformats.org/officeDocument/2006/relationships/hyperlink" Target="file:///\\fserv\e\MERA\TKP\TKP2026\tkp2026_419_&#1054;&#1044;&#1050;-&#1057;&#1040;&#1051;&#1070;&#1058;_&#1055;&#1053;&#1056;_&#1048;&#1074;&#1072;&#1085;&#1086;&#1074;&#1072;\" TargetMode="External"/><Relationship Id="rId20" Type="http://schemas.openxmlformats.org/officeDocument/2006/relationships/hyperlink" Target="&#1054;&#1090;&#1076;&#1077;&#1083;%20&#1087;&#1088;&#1086;&#1076;&#1072;&#1078;.xlsx" TargetMode="External"/><Relationship Id="rId62" Type="http://schemas.openxmlformats.org/officeDocument/2006/relationships/hyperlink" Target="..\..\..\..\TKP\TKP2023\tkp2023_239_&#1059;&#1052;&#1055;&#1054;_&#1088;&#1072;&#1073;&#1086;&#1090;&#1099;_&#1057;&#1085;&#1099;&#1075;&#1080;&#1085;&#1072;\" TargetMode="External"/><Relationship Id="rId365" Type="http://schemas.openxmlformats.org/officeDocument/2006/relationships/hyperlink" Target="../../../../TKP/TKP2025/tkp2025_081_&#1054;&#1044;&#1050;-&#1048;&#1085;&#1078;&#1080;&#1085;&#1080;&#1088;&#1080;&#1085;&#1075;_&#1057;&#1080;&#1089;&#1090;&#1077;&#1084;&#1072;_&#1074;&#1080;&#1073;&#1088;&#1086;&#1076;&#1080;&#1072;&#1075;&#1085;&#1086;&#1089;&#1090;&#1080;&#1082;&#1080;_(&#1040;&#1088;&#1082;&#1090;&#1080;&#1082;_&#1057;&#1055;&#1043;-2)_&#1052;&#1077;&#1083;&#1080;&#1093;&#1086;&#1074;/" TargetMode="External"/><Relationship Id="rId572" Type="http://schemas.openxmlformats.org/officeDocument/2006/relationships/hyperlink" Target="../../../../TKP/TKP2021/tkp2021_293_&#1057;&#1080;&#1083;&#1086;&#1074;&#1099;&#1077;_&#1084;&#1072;&#1096;&#1080;&#1085;&#1099;_MIC-1200_&#1050;&#1091;&#1076;&#1072;&#1085;&#1050;&#1091;&#1083;&#1072;&#1084;_&#1057;&#1087;&#1080;&#1088;&#1080;&#1076;&#1086;&#1085;&#1089;&#1082;&#1080;&#1081;/" TargetMode="External"/><Relationship Id="rId628" Type="http://schemas.openxmlformats.org/officeDocument/2006/relationships/hyperlink" Target="file:///\\fserv\e\MERA\TKP\TKP2026\tkp2026_137_&#1054;&#1050;&#1041;&#1052;_&#1040;&#1092;&#1088;&#1080;&#1082;&#1072;&#1085;&#1090;&#1086;&#1074;_&#1057;&#1058;&#1058;_&#1052;&#1077;&#1083;&#1080;&#1093;&#1086;&#1074;\" TargetMode="External"/><Relationship Id="rId225" Type="http://schemas.openxmlformats.org/officeDocument/2006/relationships/hyperlink" Target="../../../../TKP/TKP2024/tkp2024_172_&#1062;&#1048;&#1040;&#1052;_&#1082;&#1086;&#1084;&#1087;&#1083;&#1077;&#1082;&#1090;%20&#1076;&#1083;&#1103;%20&#1076;&#1080;&#1072;&#1075;&#1085;&#1086;&#1089;&#1090;&#1080;&#1082;&#1080;_&#1052;&#1072;&#1089;&#1083;&#1086;&#1074;&#1072;/&#1058;&#1050;&#1055;_172_24_&#1089;&#1090;&#1072;&#1090;&#1091;&#1089;.xlsm" TargetMode="External"/><Relationship Id="rId267" Type="http://schemas.openxmlformats.org/officeDocument/2006/relationships/hyperlink" Target="..\..\..\..\TKP\TKP2024\tkp2024_302_&#1052;&#1080;&#1083;&#1100;%20&#1080;%20&#1050;&#1072;&#1084;&#1086;&#1074;_&#1091;&#1089;&#1090;&#1072;&#1083;&#1086;&#1089;&#1090;&#1085;&#1099;&#1077;_&#1080;&#1089;&#1087;&#1099;&#1090;&#1072;&#1085;&#1080;&#1103;_&#1074;&#1090;&#1091;&#1083;&#1082;&#1080;_&#1080;&#1079;&#1076;.450_&#1045;&#1078;&#1086;&#1074;&#1072;\&#1058;&#1050;&#1055;_302_24_&#1089;&#1090;&#1072;&#1090;&#1091;&#1089;.xlsm" TargetMode="External"/><Relationship Id="rId432" Type="http://schemas.openxmlformats.org/officeDocument/2006/relationships/hyperlink" Target="../../../../TKP/TKP2025/tkp2025_257_&#1055;&#1050;_&#1057;&#1072;&#1083;&#1102;&#1090;_&#1040;&#1101;&#1088;&#1086;&#1076;&#1080;&#1085;&#1072;&#1084;&#1080;&#1095;&#1077;&#1089;&#1082;&#1080;&#1081;_&#1088;&#1072;&#1089;&#1095;&#1077;&#1090;_&#1073;&#1086;&#1082;&#1089;&#1072;_&#1056;&#1057;&#1057;_&#1041;&#1091;&#1088;&#1103;&#1082;/" TargetMode="External"/><Relationship Id="rId474" Type="http://schemas.openxmlformats.org/officeDocument/2006/relationships/hyperlink" Target="../../../../TKP/TKP2025/tkp2025_335_&#1043;&#1072;&#1079;&#1087;&#1088;&#1086;&#1084;_&#1058;&#1088;&#1072;&#1085;&#1089;&#1075;&#1072;&#1079;_&#1070;&#1075;&#1086;&#1088;&#1089;&#1082;_MIC-1500_&#1054;&#1089;&#1090;&#1088;&#1086;&#1074;&#1089;&#1082;&#1072;&#1103;/" TargetMode="External"/><Relationship Id="rId127" Type="http://schemas.openxmlformats.org/officeDocument/2006/relationships/hyperlink" Target="..\..\..\..\TKP\TKP2023\tkp2023_515_&#1043;&#1088;&#1091;&#1087;&#1087;&#1072;%20&#1040;&#1081;-&#1069;&#1084;-&#1057;&#1080;_&#1090;&#1077;&#1085;&#1079;&#1086;&#1084;&#1077;&#1090;&#1088;&#1080;&#1095;&#1077;&#1089;&#1082;&#1072;&#1103;_&#1089;&#1090;&#1072;&#1085;&#1094;&#1080;&#1103;_&#1045;&#1078;&#1086;&#1074;&#1072;\" TargetMode="External"/><Relationship Id="rId681" Type="http://schemas.openxmlformats.org/officeDocument/2006/relationships/hyperlink" Target="file:///\\fserv\e\MERA\TKP\TKP2026\tkp2026_092_&#1056;&#1077;&#1089;&#1091;&#1088;&#1089;_&#1052;&#1058;-200_&#1056;&#1057;&#1057;_&#1041;&#1091;&#1088;&#1103;&#1082;\" TargetMode="External"/><Relationship Id="rId737" Type="http://schemas.openxmlformats.org/officeDocument/2006/relationships/hyperlink" Target="../../../../TKP/TKP2026/tkp2026_401_&#1060;&#1053;&#1055;&#1062;%20&#1040;&#1083;&#1090;&#1072;&#1081;_&#1040;&#1085;&#1090;&#1080;&#1087;&#1077;&#1085;&#1082;&#1086;_&#1056;&#1057;&#1057;_&#1043;&#1088;&#1103;&#1079;&#1085;&#1077;&#1074;/&#1058;&#1050;&#1055;_401_26_&#1089;&#1090;&#1072;&#1090;&#1091;&#1089;.xlsm" TargetMode="External"/><Relationship Id="rId10" Type="http://schemas.openxmlformats.org/officeDocument/2006/relationships/hyperlink" Target="..\..\..\..\TKP\TKP2022\tkp2022_406_&#1055;&#1088;&#1086;&#1075;&#1088;&#1077;&#1089;&#1089;_HBM_Catman_&#1057;&#1085;&#1099;&#1075;&#1080;&#1085;&#1072;_&#1056;&#1057;&#1057;" TargetMode="External"/><Relationship Id="rId31" Type="http://schemas.openxmlformats.org/officeDocument/2006/relationships/hyperlink" Target="../../../../TKP/TKP2023/tkp2023_175_&#1053;&#1055;&#1054;_&#1040;&#1074;&#1090;&#1086;&#1084;&#1072;&#1090;&#1080;&#1082;&#1080;_&#1050;&#1057;&#1058;-2_&#1052;&#1072;&#1088;&#1090;&#1099;&#1085;&#1086;&#1074;/&#1058;&#1050;&#1055;_175_23_&#1089;&#1090;&#1072;&#1090;&#1091;&#1089;.xlsm" TargetMode="External"/><Relationship Id="rId52" Type="http://schemas.openxmlformats.org/officeDocument/2006/relationships/hyperlink" Target="../../../../TKP/TKP2023/tkp2023_189_&#1059;&#1047;&#1043;&#1040;_&#1089;&#1090;&#1077;&#1085;&#1076;_&#1087;&#1088;&#1077;&#1076;&#1084;&#1086;&#1085;&#1090;&#1072;&#1078;&#1085;&#1086;&#1081;_&#1085;&#1072;&#1083;&#1072;&#1076;&#1082;&#1080;_&#1057;&#1087;&#1080;&#1088;&#1080;&#1076;&#1086;&#1085;&#1089;&#1082;&#1080;&#1081;/&#1058;&#1050;&#1055;_189_23_&#1089;&#1090;&#1072;&#1090;&#1091;&#1089;.xlsm" TargetMode="External"/><Relationship Id="rId73" Type="http://schemas.openxmlformats.org/officeDocument/2006/relationships/hyperlink" Target="../../../../TKP/TKP2023/tkp2023_293_&#1056;&#1069;&#1055;&#1061;_&#1058;&#1077;&#1085;&#1079;&#1086;&#1089;&#1090;&#1072;&#1085;&#1094;&#1080;&#1103;_(MIC-355M+4&#1093;MX-340)_&#1052;&#1077;&#1083;&#1080;&#1093;&#1086;&#1074;/" TargetMode="External"/><Relationship Id="rId94" Type="http://schemas.openxmlformats.org/officeDocument/2006/relationships/hyperlink" Target="../../../../TKP/TKP2023/tkp2023_400_&#1053;&#1048;&#1062;_&#1054;&#1088;&#1077;&#1083;_MIC-170_&#1052;&#1072;&#1089;&#1083;&#1086;&#1074;&#1072;/" TargetMode="External"/><Relationship Id="rId148" Type="http://schemas.openxmlformats.org/officeDocument/2006/relationships/hyperlink" Target="..\..\..\..\TKP\TKP2023\tkp2023_497_&#1051;&#1052;&#1047;_MIC-355_&#1052;&#1072;&#1089;&#1083;&#1086;&#1074;&#1072;\" TargetMode="External"/><Relationship Id="rId169" Type="http://schemas.openxmlformats.org/officeDocument/2006/relationships/hyperlink" Target="../../../../TKP/TKP2024/tkp2024_022_Kingsly_MIC-355M_&#1045;&#1078;&#1086;&#1074;&#1072;/&#1058;&#1050;&#1055;_022_24_&#1089;&#1090;&#1072;&#1090;&#1091;&#1089;.xlsm" TargetMode="External"/><Relationship Id="rId334" Type="http://schemas.openxmlformats.org/officeDocument/2006/relationships/hyperlink" Target="..\..\..\..\TKP\TKP2024\tkp2024_511_&#1057;&#1080;&#1083;&#1086;&#1074;&#1099;&#1077;_&#1084;&#1072;&#1096;&#1080;&#1085;&#1099;_&#1043;&#1058;&#1069;170.2_&#1056;&#1057;&#1057;_&#1052;&#1077;&#1083;&#1080;&#1093;&#1086;&#1074;\&#1058;&#1050;&#1055;_511_24_&#1089;&#1090;&#1072;&#1090;&#1091;&#1089;.xlsm" TargetMode="External"/><Relationship Id="rId355" Type="http://schemas.openxmlformats.org/officeDocument/2006/relationships/hyperlink" Target="../../../../TKP/TKP2024/tkp2024_418_&#1054;&#1044;&#1050;_&#1057;&#1072;&#1090;&#1091;&#1088;&#1085;_&#1040;&#1057;&#1059;&#1058;&#1055;&#1048;_(&#1089;&#1090;&#1077;&#1085;&#1076;&#1099;_26,_27,_28)_&#1052;&#1077;&#1083;&#1080;&#1093;&#1086;&#1074;/" TargetMode="External"/><Relationship Id="rId376" Type="http://schemas.openxmlformats.org/officeDocument/2006/relationships/hyperlink" Target="../../../../TKP/TKP2025/tkp2025_153_&#1059;&#1052;&#1055;&#1054;_&#1040;&#1057;&#1059;&#1058;&#1055;%20&#1073;&#1086;&#1082;&#1089;%203,4_&#1056;&#1057;&#1057;_&#1054;&#1089;&#1090;&#1088;&#1086;&#1074;&#1089;&#1082;&#1072;&#1103;/" TargetMode="External"/><Relationship Id="rId397" Type="http://schemas.openxmlformats.org/officeDocument/2006/relationships/hyperlink" Target="../../../../TKP/TKP2025/tkp2025_159_&#1069;&#1088;&#1089;&#1090;&#1074;&#1072;&#1082;_&#1062;&#1080;&#1092;&#1088;&#1086;&#1074;&#1086;&#1081;%20&#1089;&#1090;&#1077;&#1085;&#1076;_&#1041;&#1091;&#1088;&#1103;&#1082;/" TargetMode="External"/><Relationship Id="rId520" Type="http://schemas.openxmlformats.org/officeDocument/2006/relationships/hyperlink" Target="..\..\..\..\TKP\TKP2025\tkp2025_206_&#1053;&#1055;&#1054;_&#1052;&#1072;&#1096;&#1080;&#1085;&#1086;&#1089;&#1090;&#1088;&#1086;&#1077;&#1085;&#1080;&#1103;_&#1040;&#1055;&#1050;_&#1040;&#1054;_&#1058;&#1052;&#1048;_&#1052;&#1072;&#1088;&#1090;&#1099;&#1085;&#1086;&#1074;\" TargetMode="External"/><Relationship Id="rId541" Type="http://schemas.openxmlformats.org/officeDocument/2006/relationships/hyperlink" Target="../../../../TKP/TKP2025/tkp2025_112_&#1053;&#1055;&#1055;_&#1057;&#1090;&#1072;&#1088;&#1090;_&#1071;&#1089;&#1082;&#1080;&#1085;&#1072;_&#1052;&#1086;&#1076;&#1077;&#1088;&#1085;&#1080;&#1079;&#1072;&#1094;&#1080;&#1103;_&#1089;&#1080;&#1089;&#1090;&#1077;&#1084;&#1099;_&#1054;&#1089;&#1090;&#1088;&#1086;&#1074;&#1089;&#1082;&#1072;&#1103;/" TargetMode="External"/><Relationship Id="rId562" Type="http://schemas.openxmlformats.org/officeDocument/2006/relationships/hyperlink" Target="..\..\..\..\TKP\TKP2025\tkp2025_607_&#1053;&#1055;&#1054;_&#1051;&#1072;&#1074;&#1086;&#1095;&#1082;&#1080;&#1085;&#1072;_&#1057;&#1048;_&#1094;&#1077;&#1085;&#1090;&#1088;&#1080;&#1092;&#1091;&#1075;&#1072;_&#1057;&#1059;-267_&#1052;&#1072;&#1088;&#1090;&#1099;&#1085;&#1086;&#1074;\&#1058;&#1050;&#1055;_607_25_&#1089;&#1090;&#1072;&#1090;&#1091;&#1089;.xlsm" TargetMode="External"/><Relationship Id="rId583" Type="http://schemas.openxmlformats.org/officeDocument/2006/relationships/hyperlink" Target="file:///\\fserv\e\MERA\TKP\TKP2026\tkp2026_029_&#1054;&#1050;&#1041;&#1052;_&#1040;&#1092;&#1088;&#1080;&#1082;&#1072;&#1085;&#1090;&#1086;&#1074;_ME-908_&#1052;&#1077;&#1083;&#1080;&#1093;&#1086;&#1074;\" TargetMode="External"/><Relationship Id="rId618" Type="http://schemas.openxmlformats.org/officeDocument/2006/relationships/hyperlink" Target="file:///\\fserv\e\MERA\TKP\TKP2023\tkp2023_534_&#1057;&#1080;&#1083;&#1086;&#1074;&#1099;&#1077;%20&#1084;&#1072;&#1096;&#1080;&#1085;&#1099;_&#1051;&#1040;&#1069;&#1057;-2_mic1200%20&#1076;&#1092;&#1084;_&#1056;&#1057;&#1057;_&#1045;&#1078;&#1086;&#1074;&#1072;\" TargetMode="External"/><Relationship Id="rId639" Type="http://schemas.openxmlformats.org/officeDocument/2006/relationships/hyperlink" Target="file:///\\fserv\e\MERA\TKP\TKP2026\tkp2026_161_&#1064;&#1087;&#1080;&#1085;&#1076;&#1077;&#1083;&#1100;%20&#1083;&#1072;&#1073;_&#1056;&#1057;&#1057;\" TargetMode="External"/><Relationship Id="rId4" Type="http://schemas.openxmlformats.org/officeDocument/2006/relationships/hyperlink" Target="..\..\..\..\TKP\TKP2023\tkp2023_134_&#1040;&#1092;&#1088;&#1080;&#1082;&#1072;&#1085;&#1090;&#1086;&#1074;_&#1074;&#1080;&#1073;&#1088;&#1086;&#1084;&#1086;&#1085;&#1080;&#1090;&#1086;&#1088;&#1080;&#1085;&#1075;%20&#1085;&#1072;&#1089;&#1086;&#1089;&#1086;&#1074;_&#1052;&#1077;&#1083;&#1080;&#1093;&#1086;&#1074;_&#1056;&#1057;&#1057;\" TargetMode="External"/><Relationship Id="rId180" Type="http://schemas.openxmlformats.org/officeDocument/2006/relationships/hyperlink" Target="../../../../TKP/TKP2024/tkp2024_033_&#1062;&#1048;&#1040;&#1052;_&#1058;&#1058;_&#1085;&#1072;_&#1040;&#1048;&#1048;&#1057;_&#1052;&#1072;&#1089;&#1083;&#1086;&#1074;&#1072;/&#1058;&#1050;&#1055;_033_24_&#1089;&#1090;&#1072;&#1090;&#1091;&#1089;.xlsm" TargetMode="External"/><Relationship Id="rId215" Type="http://schemas.openxmlformats.org/officeDocument/2006/relationships/hyperlink" Target="../../../../TKP/TKP2024/tkp2024_166_&#1051;&#1072;&#1073;%20&#1052;&#1077;&#1082;&#1082;&#1072;&#1085;&#1080;&#1082;&#1072;_&#1056;&#1057;&#1057;_&#1045;&#1078;&#1086;&#1074;&#1072;/&#1058;&#1050;&#1055;_166_24_&#1089;&#1090;&#1072;&#1090;&#1091;&#1089;.xlsm" TargetMode="External"/><Relationship Id="rId236" Type="http://schemas.openxmlformats.org/officeDocument/2006/relationships/hyperlink" Target="../../../../TKP/TKP2024/tkp2024_175_&#1052;&#1052;&#1055;%20&#1080;&#1084;.%20&#1042;.&#1042;.&#1063;&#1077;&#1088;&#1085;&#1099;&#1096;&#1077;&#1074;&#1072;_&#1087;&#1077;&#1088;&#1077;&#1073;&#1072;&#1079;&#1080;&#1088;&#1086;&#1074;&#1082;&#1072;_&#1089;&#1090;&#1077;&#1085;&#1076;&#1086;&#1074;_&#1045;&#1078;&#1086;&#1074;&#1072;/&#1058;&#1050;&#1055;_175_24_&#1089;&#1090;&#1072;&#1090;&#1091;&#1089;.xlsm" TargetMode="External"/><Relationship Id="rId257" Type="http://schemas.openxmlformats.org/officeDocument/2006/relationships/hyperlink" Target="../../../../TKP/TKP2024/tkp2024_306_&#1057;&#1080;&#1083;&#1086;&#1074;&#1099;&#1077;_&#1084;&#1072;&#1096;&#1080;&#1085;&#1099;_(&#1051;&#1052;&#1047;)_&#1042;&#1080;&#1073;&#1088;&#1086;&#1084;&#1077;&#1090;&#1088;+&#1055;&#1054;_&#1052;&#1077;&#1083;&#1080;&#1093;&#1086;&#1074;/" TargetMode="External"/><Relationship Id="rId278" Type="http://schemas.openxmlformats.org/officeDocument/2006/relationships/hyperlink" Target="../../../../TKP/TKP2024/tkp2024_309_&#1051;&#1052;&#1047;_&#1054;&#1073;&#1086;&#1088;&#1091;&#1076;&#1086;&#1074;&#1072;&#1085;&#1080;&#1077;_&#1052;&#1077;&#1083;&#1080;&#1093;&#1086;&#1074;/&#1058;&#1050;&#1055;_309_24_&#1089;&#1090;&#1072;&#1090;&#1091;&#1089;.xlsm" TargetMode="External"/><Relationship Id="rId401" Type="http://schemas.openxmlformats.org/officeDocument/2006/relationships/hyperlink" Target="../../../../TKP/TKP2025/tkp2025_156_&#1050;&#1041;&#1061;&#1052;_&#1054;&#1087;&#1077;&#1088;&#1072;&#1090;&#1086;&#1088;&#1089;&#1082;&#1080;&#1077;_&#1089;&#1090;&#1072;&#1085;&#1094;&#1080;&#1080;_&#1052;&#1077;&#1083;&#1080;&#1093;&#1086;&#1074;/" TargetMode="External"/><Relationship Id="rId422" Type="http://schemas.openxmlformats.org/officeDocument/2006/relationships/hyperlink" Target="../../../../TKP/TKP2025/tkp2025_176_&#1050;&#1072;&#1083;&#1080;&#1083;&#1080;&#1085;&#1089;&#1082;&#1072;&#1103;_&#1040;&#1069;&#1057;_&#1056;&#1072;&#1073;&#1086;&#1090;&#1099;%20&#1074;%20&#1095;&#1072;&#1089;&#1090;&#1080;%20&#1079;&#1072;&#1084;&#1077;&#1088;&#1086;&#1074;%20&#1074;&#1080;&#1073;&#1088;&#1072;&#1094;&#1080;&#1080;%20&#1083;&#1086;&#1087;&#1072;&#1090;&#1086;&#1082;_&#1041;&#1091;&#1088;&#1103;&#1082;/&#1058;&#1050;&#1055;_176_25_&#1089;&#1090;&#1072;&#1090;&#1091;&#1089;.xlsm" TargetMode="External"/><Relationship Id="rId443" Type="http://schemas.openxmlformats.org/officeDocument/2006/relationships/hyperlink" Target="../../../../TKP/TKP2025/tkp2025_241_Kingsly_MIC-185_demo_&#1056;&#1057;&#1057;_&#1041;&#1091;&#1088;&#1103;&#1082;/&#1058;&#1050;&#1055;_241_25_&#1089;&#1090;&#1072;&#1090;&#1091;&#1089;.xlsm" TargetMode="External"/><Relationship Id="rId464" Type="http://schemas.openxmlformats.org/officeDocument/2006/relationships/hyperlink" Target="../../../../TKP/TKP2025/tkp2025_313_&#1054;&#1050;&#1041;_&#1052;&#1080;&#1082;&#1086;&#1103;&#1085;&#1072;_&#1084;&#1086;&#1076;&#1072;&#1083;&#1100;&#1085;&#1099;&#1081;_&#1072;&#1085;&#1072;&#1083;&#1080;&#1079;_&#1056;&#1057;&#1057;_&#1052;&#1077;&#1083;&#1080;&#1093;&#1086;&#1074;/&#1058;&#1050;&#1055;_313_25_&#1089;&#1090;&#1072;&#1090;&#1091;&#1089;.xlsm" TargetMode="External"/><Relationship Id="rId650" Type="http://schemas.openxmlformats.org/officeDocument/2006/relationships/hyperlink" Target="..\..\..\..\TKP\TKP2026\tkp2026_200_&#1052;&#1040;&#1048;_&#1048;&#1079;&#1084;&#1077;&#1088;&#1080;&#1090;&#1077;&#1083;&#1100;&#1085;&#1072;&#1103;_&#1089;&#1080;&#1089;&#1090;&#1077;&#1084;&#1072;_&#1054;&#1089;&#1090;&#1088;&#1086;&#1074;&#1089;&#1082;&#1072;&#1103;\&#1058;&#1050;&#1055;_200_26_&#1089;&#1090;&#1072;&#1090;&#1091;&#1089;.xlsm" TargetMode="External"/><Relationship Id="rId303" Type="http://schemas.openxmlformats.org/officeDocument/2006/relationships/hyperlink" Target="../../../../TKP/TKP2024/tkp2024_440_&#1040;&#1057;&#1059;_&#1082;&#1086;&#1085;&#1076;&#1080;&#1094;&#1080;&#1086;&#1085;&#1077;&#1088;&#1086;&#1074;_&#1052;&#1052;&#1062;&#1041;&#1056;_&#1052;&#1077;&#1083;&#1080;&#1093;&#1086;&#1074;/" TargetMode="External"/><Relationship Id="rId485" Type="http://schemas.openxmlformats.org/officeDocument/2006/relationships/hyperlink" Target="../../../../TKP/TKP2025/tkp2025_432_Kingsly_160%20chan%20Hi%20voltage_&#1056;&#1057;&#1057;_&#1041;&#1091;&#1088;&#1103;&#1082;/" TargetMode="External"/><Relationship Id="rId692" Type="http://schemas.openxmlformats.org/officeDocument/2006/relationships/hyperlink" Target="file:///\\fserv\e\MERA\TKP\TKP2026\tkp2026_338_&#1050;&#1041;&#1061;&#1052;%20&#1056;&#1052;1_&#1056;&#1052;4_&#1056;&#1057;&#1057;\" TargetMode="External"/><Relationship Id="rId706" Type="http://schemas.openxmlformats.org/officeDocument/2006/relationships/hyperlink" Target="../../../../TKP/TKP2026/tkp2026_050_&#1040;&#1054;_&#1052;&#1045;&#1058;&#1056;&#1054;&#1042;&#1040;&#1043;&#1054;&#1053;&#1052;&#1040;&#1064;_&#1056;&#1057;&#1057;_&#1090;&#1077;&#1089;&#1090;&#1077;&#1088;_&#1052;&#1077;&#1083;&#1080;&#1093;&#1086;&#1074;/&#1058;&#1050;&#1055;_050_26_&#1089;&#1090;&#1072;&#1090;&#1091;&#1089;.xlsm" TargetMode="External"/><Relationship Id="rId748" Type="http://schemas.openxmlformats.org/officeDocument/2006/relationships/ctrlProp" Target="../ctrlProps/ctrlProp6.xml"/><Relationship Id="rId42" Type="http://schemas.openxmlformats.org/officeDocument/2006/relationships/hyperlink" Target="..\..\..\..\TKP\TKP2023\tkp2023_080_&#1059;&#1047;&#1043;&#1040;_&#1089;&#1090;&#1077;&#1085;&#1076;_&#1087;&#1088;&#1086;&#1074;&#1077;&#1088;&#1082;&#1080;_&#1085;&#1072;&#1089;&#1086;&#1089;&#1086;&#1074;_&#1057;&#1087;&#1080;&#1088;&#1080;&#1076;&#1086;&#1085;&#1089;&#1082;&#1080;&#1081;\&#1058;&#1050;&#1055;_080_23_&#1089;&#1090;&#1072;&#1090;&#1091;&#1089;.xlsm" TargetMode="External"/><Relationship Id="rId84" Type="http://schemas.openxmlformats.org/officeDocument/2006/relationships/hyperlink" Target="../../../../TKP/TKP2023/tkp2023_358_&#1058;&#1056;&#1040;&#1050;&#1057;_&#1072;&#1074;&#1090;&#1086;&#1084;&#1072;&#1090;&#1080;&#1079;&#1072;&#1094;&#1080;&#1103;_&#1089;&#1090;&#1077;&#1085;&#1076;&#1072;_&#1072;&#1101;&#1088;&#1086;&#1076;&#1080;&#1085;.&#1080;&#1089;&#1087;&#1099;&#1090;&#1072;&#1085;&#1080;&#1081;_&#1074;&#1077;&#1085;&#1090;&#1080;&#1083;&#1103;&#1090;&#1086;&#1088;&#1086;&#1074;_&#1045;&#1078;&#1086;&#1074;&#1072;/" TargetMode="External"/><Relationship Id="rId138" Type="http://schemas.openxmlformats.org/officeDocument/2006/relationships/hyperlink" Target="../../../../TKP/TKP2023/tkp2023_440_&#1043;&#1050;&#1053;&#1055;&#1062;_&#1061;&#1088;&#1091;&#1085;&#1080;&#1095;&#1077;&#1074;&#1072;_&#1057;&#1080;&#1089;&#1090;&#1077;&#1084;&#1072;_&#1090;&#1077;&#1085;&#1079;&#1086;&#1080;&#1079;&#1084;&#1077;&#1088;&#1077;&#1085;&#1080;&#1081;_&#1052;&#1072;&#1088;&#1090;&#1099;&#1085;&#1086;&#1074;/&#1058;&#1050;&#1055;_440_23_&#1089;&#1090;&#1072;&#1090;&#1091;&#1089;.xlsm" TargetMode="External"/><Relationship Id="rId345" Type="http://schemas.openxmlformats.org/officeDocument/2006/relationships/hyperlink" Target="..\..\..\..\TKP\TKP2025\tkp2025_025_&#1055;&#1058;&#1045;&#1056;&#1054;_&#1052;&#1086;&#1073;&#1080;&#1083;&#1100;&#1085;&#1072;&#1103;%20&#1052;&#1048;&#1057;_&#1056;&#1057;&#1057;_&#1041;&#1091;&#1088;&#1103;&#1082;\&#1058;&#1050;&#1055;_025_25_&#1089;&#1090;&#1072;&#1090;&#1091;&#1089;.xlsm" TargetMode="External"/><Relationship Id="rId387" Type="http://schemas.openxmlformats.org/officeDocument/2006/relationships/hyperlink" Target="../../../../TKP/TKP2025/tkp2025_098_&#1057;&#1080;&#1083;&#1086;&#1074;&#1099;&#1077;_&#1084;&#1072;&#1096;&#1080;&#1085;&#1099;_&#1051;&#1040;&#1069;&#1057;-2_&#1057;&#1050;&#1042;&#1051;_&#1056;&#1057;&#1057;_&#1041;&#1091;&#1088;&#1103;&#1082;/" TargetMode="External"/><Relationship Id="rId510" Type="http://schemas.openxmlformats.org/officeDocument/2006/relationships/hyperlink" Target="../../../../TKP/TKP2025/tkp2025_334_&#1040;&#1101;&#1088;&#1086;&#1092;&#1083;&#1086;&#1090;_&#1058;&#1077;&#1093;&#1085;&#1080;&#1095;&#1077;&#1089;&#1082;&#1080;&#1081;_&#1072;&#1091;&#1076;&#1080;&#1090;_&#1040;&#1060;&#1051;%20(&#1040;&#1088;&#1073;&#1072;&#1090;)_&#1052;&#1048;&#1056;_&#1041;&#1091;&#1088;&#1103;&#1082;/&#1058;&#1050;&#1055;_334_25_&#1089;&#1090;&#1072;&#1090;&#1091;&#1089;.xlsm" TargetMode="External"/><Relationship Id="rId552" Type="http://schemas.openxmlformats.org/officeDocument/2006/relationships/hyperlink" Target="../../../../TKP/TKP2023/tkp2023_391_&#1053;&#1048;&#1048;_&#1055;&#1061;_&#1050;&#1072;&#1073;&#1077;&#1083;&#1080;_&#1052;&#1072;&#1089;&#1083;&#1086;&#1074;&#1072;/" TargetMode="External"/><Relationship Id="rId594" Type="http://schemas.openxmlformats.org/officeDocument/2006/relationships/hyperlink" Target="file:///\\fserv\e\MERA\TKP\TKP2026\tkp2026_025_&#1057;&#1055;&#1045;&#1062;&#1069;&#1053;&#1045;&#1056;&#1043;&#1054;&#1050;&#1054;&#1052;&#1055;&#1051;&#1045;&#1050;&#1058;_&#1040;&#1048;&#1048;&#1057;_&#1040;&#1055;&#1044;-520_&#1056;&#1057;&#1057;_&#1052;&#1077;&#1083;&#1080;&#1093;&#1086;&#1074;\" TargetMode="External"/><Relationship Id="rId608" Type="http://schemas.openxmlformats.org/officeDocument/2006/relationships/hyperlink" Target="file:///\\fserv\e\MERA\TKP\TKP2026\tkp2026_076_&#1054;&#1044;&#1050;-&#1057;&#1072;&#1090;&#1091;&#1088;&#1085;_&#1058;&#1086;&#1087;&#1083;&#1080;&#1074;&#1085;&#1072;&#1103;_&#1089;&#1080;&#1089;&#1090;&#1077;&#1084;&#1072;_&#1052;&#1048;&#1056;_&#1041;&#1091;&#1088;&#1103;&#1082;\&#1058;&#1050;&#1055;_076_26_&#1089;&#1090;&#1072;&#1090;&#1091;&#1089;.xlsm" TargetMode="External"/><Relationship Id="rId191" Type="http://schemas.openxmlformats.org/officeDocument/2006/relationships/hyperlink" Target="../../../../TKP/TKP2024/tkp2024_075_&#1052;&#1080;&#1083;&#1100;%20&#1080;%20&#1050;&#1072;&#1084;&#1086;&#1074;%20&#1057;&#1048;&#1059;%20&#1052;&#1048;-8_&#1056;&#1057;&#1057;_/&#1058;&#1050;&#1055;_075_24_&#1089;&#1090;&#1072;&#1090;&#1091;&#1089;.xlsm" TargetMode="External"/><Relationship Id="rId205" Type="http://schemas.openxmlformats.org/officeDocument/2006/relationships/hyperlink" Target="../../../../TKP/TKP2024/tkp2024_116_&#1058;&#1077;&#1093;&#1087;&#1088;&#1080;&#1073;&#1086;&#1088;_&#1074;&#1079;&#1088;&#1099;&#1074;&#1086;&#1079;&#1072;&#1097;&#1080;&#1090;&#1072;_&#1079;.2797_&#1045;&#1078;&#1086;&#1074;&#1072;/&#1058;&#1050;&#1055;_116_24_&#1089;&#1090;&#1072;&#1090;&#1091;&#1089;.xlsm" TargetMode="External"/><Relationship Id="rId247" Type="http://schemas.openxmlformats.org/officeDocument/2006/relationships/hyperlink" Target="../../../../TKP/TKP2024/tkp2024_252_NDTrus_&#1080;&#1089;&#1087;&#1099;&#1090;&#1072;&#1090;&#1077;&#1083;&#1100;&#1085;&#1099;&#1081;%20&#1089;&#1090;&#1077;&#1085;&#1076;_&#1056;&#1057;&#1057;_&#1045;&#1078;&#1086;&#1074;&#1072;/&#1058;&#1050;&#1055;_252_24_&#1089;&#1090;&#1072;&#1090;&#1091;&#1089;.xlsm" TargetMode="External"/><Relationship Id="rId412" Type="http://schemas.openxmlformats.org/officeDocument/2006/relationships/hyperlink" Target="../../../../TKP/TKP2023/tkp2023_457_&#1057;&#1080;&#1083;&#1086;&#1074;&#1099;&#1077;_&#1084;&#1072;&#1096;&#1080;&#1085;&#1099;_&#1040;&#1048;&#1057;_&#1043;&#1058;&#1069;-65.1_&#1052;&#1077;&#1083;&#1080;&#1093;&#1086;&#1074;/&#1058;&#1050;&#1055;_457_23_&#1089;&#1090;&#1072;&#1090;&#1091;&#1089;.xlsm" TargetMode="External"/><Relationship Id="rId107" Type="http://schemas.openxmlformats.org/officeDocument/2006/relationships/hyperlink" Target="../../../../TKP/TKP2023/tkp2023_439_&#1057;&#1080;&#1083;&#1086;&#1074;&#1099;&#1077;_&#1084;&#1072;&#1096;&#1080;&#1085;&#1099;_&#1057;&#1048;_&#1080;&#1089;&#1087;&#1099;&#1090;&#1072;&#1085;&#1080;&#1103;_&#1087;&#1072;&#1090;&#1088;&#1091;&#1073;&#1082;&#1086;&#1074;_&#1045;&#1078;&#1086;&#1074;&#1072;/&#1058;&#1050;&#1055;_439_23_&#1089;&#1090;&#1072;&#1090;&#1091;&#1089;.xlsm" TargetMode="External"/><Relationship Id="rId289" Type="http://schemas.openxmlformats.org/officeDocument/2006/relationships/hyperlink" Target="..\..\..\..\TKP\TKP2024\tkp2024_379_&#1040;&#1083;&#1090;&#1072;&#1081;_&#1048;&#1042;&#1050;_&#1052;&#1077;&#1083;&#1080;&#1093;&#1086;&#1074;\" TargetMode="External"/><Relationship Id="rId454" Type="http://schemas.openxmlformats.org/officeDocument/2006/relationships/hyperlink" Target="../../../../TKP/TKP2025/tkp2025_298_&#1053;&#1055;&#1050;_&#1050;&#1041;&#1052;_MT_200_&#1054;&#1089;&#1090;&#1088;&#1086;&#1074;&#1089;&#1082;&#1072;&#1103;/" TargetMode="External"/><Relationship Id="rId496" Type="http://schemas.openxmlformats.org/officeDocument/2006/relationships/hyperlink" Target="../../../../TKP/TKP2025/tkp2025_479_Kingsly_Rocket_Project_Horizontal_Static_Test_&#1054;5_&#1041;&#1091;&#1088;&#1103;&#1082;/" TargetMode="External"/><Relationship Id="rId661" Type="http://schemas.openxmlformats.org/officeDocument/2006/relationships/hyperlink" Target="file:///\\fserv\e\MERA\TKP\TKP2026\tkp2026_239_&#1060;&#1088;&#1072;&#1082;&#1044;&#1078;&#1077;&#1090;-&#1057;&#1090;&#1088;&#1086;&#1081;_&#1076;&#1080;&#1085;&#1072;&#1084;&#1080;&#1095;&#1077;&#1089;&#1082;&#1080;&#1077;_&#1080;&#1089;&#1087;&#1099;&#1090;&#1072;&#1085;&#1080;&#1103;_&#1089;&#1074;&#1072;&#1081;_&#1052;&#1077;&#1083;&#1080;&#1093;&#1086;&#1074;\" TargetMode="External"/><Relationship Id="rId717" Type="http://schemas.openxmlformats.org/officeDocument/2006/relationships/hyperlink" Target="..\..\..\..\TKP\TKP2026\tkp2026_373_&#1054;&#1050;&#1041;%20&#1052;&#1080;&#1082;&#1086;&#1103;&#1085;&#1072;_&#1084;&#1086;&#1076;&#1072;&#1083;&#1100;&#1085;&#1099;&#1077;%20&#1080;&#1089;&#1087;&#1099;&#1090;&#1072;&#1085;&#1080;&#1103;_&#1056;&#1057;&#1057;\&#1058;&#1050;&#1055;_373_26_&#1089;&#1090;&#1072;&#1090;&#1091;&#1089;.xlsm" TargetMode="External"/><Relationship Id="rId11" Type="http://schemas.openxmlformats.org/officeDocument/2006/relationships/hyperlink" Target="..\..\..\..\TKP\TKP2022\tkp2022_591_&#1057;&#1080;&#1083;&#1086;&#1074;&#1099;&#1077;_&#1084;&#1072;&#1096;&#1080;&#1085;&#1099;_MIC-1150_&#1052;&#1077;&#1083;&#1080;&#1093;&#1086;&#1074;\" TargetMode="External"/><Relationship Id="rId53" Type="http://schemas.openxmlformats.org/officeDocument/2006/relationships/hyperlink" Target="..\..\..\..\TKP\TKP2022\tkp2022_202_&#1050;&#1041;_&#1060;&#1072;&#1082;&#1077;&#1083;_MIC-355_&#1057;&#1085;&#1099;&#1075;&#1080;&#1085;&#1072;\&#1058;&#1050;&#1055;_202_22_&#1089;&#1090;&#1072;&#1090;&#1091;&#1089;.xlsm" TargetMode="External"/><Relationship Id="rId149" Type="http://schemas.openxmlformats.org/officeDocument/2006/relationships/hyperlink" Target="..\..\..\..\TKP\TKP2023\tkp2023_342_&#1050;&#1088;&#1072;&#1089;&#1084;&#1072;&#1096;_&#1057;&#1048;&#1059;_&#1045;&#1078;&#1086;&#1074;&#1072;\&#1058;&#1050;&#1055;_342_23_&#1089;&#1090;&#1072;&#1090;&#1091;&#1089;.xlsm" TargetMode="External"/><Relationship Id="rId314" Type="http://schemas.openxmlformats.org/officeDocument/2006/relationships/hyperlink" Target="../../../../TKP/TKP2024/tkp2024_205_&#1054;&#1044;&#1050;-&#1050;&#1083;&#1080;&#1084;&#1086;&#1074;_&#1069;&#1057;&#1059;&#1044;-200_&#1045;&#1078;&#1086;&#1074;&#1072;/&#1058;&#1050;&#1055;_205_24_&#1089;&#1090;&#1072;&#1090;&#1091;&#1089;.xlsm" TargetMode="External"/><Relationship Id="rId356" Type="http://schemas.openxmlformats.org/officeDocument/2006/relationships/hyperlink" Target="..\..\..\..\TKP\TKP2025\tkp2025_066_EKLES%20SERTIFICATE_&#1058;&#1077;&#1085;&#1079;&#1086;&#1089;&#1090;&#1072;&#1085;&#1094;&#1080;&#1103;_24_&#1082;&#1072;&#1085;&#1072;&#1083;&#1072;_&#1054;&#1089;&#1090;&#1088;&#1086;&#1074;&#1089;&#1082;&#1072;&#1103;\" TargetMode="External"/><Relationship Id="rId398" Type="http://schemas.openxmlformats.org/officeDocument/2006/relationships/hyperlink" Target="../../../../TKP/TKP2025/tkp2025_171_&#1053;&#1048;&#1048;&#1052;&#1072;&#1096;_&#1040;&#1057;&#1048;&#1080;&#1059;_&#1053;&#1048;&#1050;-101_&#1052;&#1072;&#1088;&#1090;&#1099;&#1085;&#1086;&#1074;/" TargetMode="External"/><Relationship Id="rId521" Type="http://schemas.openxmlformats.org/officeDocument/2006/relationships/hyperlink" Target="..\..\..\..\TKP\TKP2024\tkp2024_329_&#1050;&#1041;&#1061;&#1052;_&#1056;&#1054;&#1057;_&#1059;&#1042;&#1050;_&#1040;&#1057;&#1055;&#1059;_&#1052;&#1077;&#1083;&#1080;&#1093;&#1086;&#1074;\&#1058;&#1050;&#1055;_329_24_&#1089;&#1090;&#1072;&#1090;&#1091;&#1089;.xlsm" TargetMode="External"/><Relationship Id="rId563" Type="http://schemas.openxmlformats.org/officeDocument/2006/relationships/hyperlink" Target="../../../../TKP/TKP2025/tkp2025_627_Kingsly_High_Bandwidth%20DAQ_&#1056;&#1057;&#1057;_&#1041;&#1091;&#1088;&#1103;&#1082;/" TargetMode="External"/><Relationship Id="rId619" Type="http://schemas.openxmlformats.org/officeDocument/2006/relationships/hyperlink" Target="file:///\\fserv\e\MERA\TKP\TKP2023\tkp2023_534_&#1057;&#1080;&#1083;&#1086;&#1074;&#1099;&#1077;%20&#1084;&#1072;&#1096;&#1080;&#1085;&#1099;_&#1051;&#1040;&#1069;&#1057;-2_mic1200%20&#1076;&#1092;&#1084;_&#1056;&#1057;&#1057;_&#1045;&#1078;&#1086;&#1074;&#1072;\&#1058;&#1050;&#1055;_534_23_&#1089;&#1090;&#1072;&#1090;&#1091;&#1089;.xlsm" TargetMode="External"/><Relationship Id="rId95" Type="http://schemas.openxmlformats.org/officeDocument/2006/relationships/hyperlink" Target="../../../../TKP/TKP2023/tkp2023_386_&#1054;&#1053;&#1055;&#1055;_&#1058;&#1077;&#1093;&#1085;&#1086;&#1083;&#1086;&#1075;&#1080;&#1103;_&#1087;&#1088;&#1080;&#1074;&#1086;&#1076;&#1099;_&#1101;&#1083;&#1077;&#1082;&#1090;&#1088;&#1086;&#1096;&#1082;&#1072;&#1092;&#1099;_&#1052;&#1072;&#1089;&#1083;&#1086;&#1074;&#1072;/&#1058;&#1050;&#1055;_386_23_&#1089;&#1090;&#1072;&#1090;&#1091;&#1089;.xlsm" TargetMode="External"/><Relationship Id="rId160" Type="http://schemas.openxmlformats.org/officeDocument/2006/relationships/hyperlink" Target="..\..\..\..\TKP\TKP2023\tkp2023_154_&#1043;&#1072;&#1079;&#1087;&#1088;&#1086;&#1084;_&#1076;&#1086;&#1073;&#1099;&#1095;&#1072;_&#1048;&#1088;&#1082;&#1091;&#1090;&#1089;&#1082;_MIC-355_&#1052;&#1077;&#1083;&#1080;&#1093;&#1086;&#1074;\&#1058;&#1050;&#1055;_154_23_&#1089;&#1090;&#1072;&#1090;&#1091;&#1089;.xlsm" TargetMode="External"/><Relationship Id="rId216" Type="http://schemas.openxmlformats.org/officeDocument/2006/relationships/hyperlink" Target="../../../../TKP/TKP2024/tkp2024_165_Kingsly_&#1056;&#1057;&#1057;_&#1045;&#1078;&#1086;&#1074;&#1072;/&#1058;&#1050;&#1055;_165_24_&#1089;&#1090;&#1072;&#1090;&#1091;&#1089;.xlsm" TargetMode="External"/><Relationship Id="rId423" Type="http://schemas.openxmlformats.org/officeDocument/2006/relationships/hyperlink" Target="../../../../TKP/TKP2025/tkp2025_241_Kingsly_MIC-185_demo_&#1056;&#1057;&#1057;_&#1041;&#1091;&#1088;&#1103;&#1082;/" TargetMode="External"/><Relationship Id="rId258" Type="http://schemas.openxmlformats.org/officeDocument/2006/relationships/hyperlink" Target="../../../../TKP/TKP2024/tkp2024_306_&#1057;&#1080;&#1083;&#1086;&#1074;&#1099;&#1077;_&#1084;&#1072;&#1096;&#1080;&#1085;&#1099;_(&#1051;&#1052;&#1047;)_&#1042;&#1080;&#1073;&#1088;&#1086;&#1084;&#1077;&#1090;&#1088;+&#1055;&#1054;_&#1052;&#1077;&#1083;&#1080;&#1093;&#1086;&#1074;/&#1058;&#1050;&#1055;_306_24_&#1089;&#1090;&#1072;&#1090;&#1091;&#1089;.xlsm" TargetMode="External"/><Relationship Id="rId465" Type="http://schemas.openxmlformats.org/officeDocument/2006/relationships/hyperlink" Target="..\..\..\..\TKP\TKP2025\tkp2025_319_&#1056;&#1050;&#1062;_&#1055;&#1088;&#1086;&#1075;&#1088;&#1077;&#1089;&#1089;_&#1048;&#1089;&#1087;&#1099;&#1090;&#1072;&#1090;&#1077;&#1083;&#1100;&#1085;&#1099;&#1081;_&#1089;&#1090;&#1077;&#1085;&#1076;_&#1056;&#1057;&#1057;_&#1054;&#1089;&#1090;&#1088;&#1086;&#1074;&#1089;&#1082;&#1072;&#1103;\" TargetMode="External"/><Relationship Id="rId630" Type="http://schemas.openxmlformats.org/officeDocument/2006/relationships/hyperlink" Target="file:///\\fserv\e\MERA\TKP\TKP2026\tkp2026_046_&#1057;&#1080;&#1083;&#1086;&#1074;&#1099;&#1077;%20&#1084;&#1072;&#1096;&#1080;&#1085;&#1099;_&#1069;&#1083;&#1077;&#1082;&#1090;&#1088;&#1086;&#1089;&#1080;&#1083;&#1072;_&#1074;&#1080;&#1073;&#1088;&#1086;&#1094;&#1080;&#1086;&#1085;&#1085;&#1099;&#1081;%20&#1080;%20&#1084;&#1086;&#1076;&#1072;&#1083;&#1100;&#1085;&#1099;&#1081;%20&#1072;&#1085;&#1072;&#1083;&#1080;&#1079;_&#1056;&#1057;&#1057;_&#1052;&#1077;&#1083;&#1080;&#1093;&#1086;&#1074;\&#1058;&#1050;&#1055;_046_26_&#1089;&#1090;&#1072;&#1090;&#1091;&#1089;.xlsm" TargetMode="External"/><Relationship Id="rId672" Type="http://schemas.openxmlformats.org/officeDocument/2006/relationships/hyperlink" Target="file:///\\fserv\e\MERA\TKP\TKP2026\tkp2026_272_&#1057;&#1080;&#1083;&#1086;&#1074;&#1099;&#1077;%20&#1084;&#1072;&#1096;&#1080;&#1085;&#1099;_&#1056;&#1057;&#1057;_&#1044;&#1060;&#1052;%20&#1077;&#1084;&#1082;&#1086;&#1089;&#1090;&#1085;&#1099;&#1077;%20&#1076;&#1072;&#1090;&#1095;&#1080;&#1082;&#1080;_&#1052;&#1077;&#1083;&#1080;&#1093;&#1086;&#1074;\" TargetMode="External"/><Relationship Id="rId728" Type="http://schemas.openxmlformats.org/officeDocument/2006/relationships/hyperlink" Target="file:///\\fserv\e\MERA\TKP\TKP2026\tkp2026_427_&#1059;&#1047;&#1043;&#1040;_&#1064;&#1083;&#1102;&#1079;_CAN_2.0-Modbus_TCP_&#1056;&#1057;&#1057;_&#1041;&#1091;&#1088;&#1103;&#1082;\" TargetMode="External"/><Relationship Id="rId22" Type="http://schemas.openxmlformats.org/officeDocument/2006/relationships/hyperlink" Target="..\..\..\..\TKP\TKP2023\in2023\&#1054;&#1054;&#1054;\101-200\" TargetMode="External"/><Relationship Id="rId64" Type="http://schemas.openxmlformats.org/officeDocument/2006/relationships/hyperlink" Target="..\..\..\..\TKP\TKP2023\tkp2023_239_&#1059;&#1052;&#1055;&#1054;_&#1088;&#1072;&#1073;&#1086;&#1090;&#1099;_&#1057;&#1085;&#1099;&#1075;&#1080;&#1085;&#1072;\&#1058;&#1050;&#1055;_239_23_&#1089;&#1090;&#1072;&#1090;&#1091;&#1089;.xlsm" TargetMode="External"/><Relationship Id="rId118" Type="http://schemas.openxmlformats.org/officeDocument/2006/relationships/hyperlink" Target="../../../../TKP/TKP2023/tkp2023_440_&#1043;&#1050;&#1053;&#1055;&#1062;_&#1061;&#1088;&#1091;&#1085;&#1080;&#1095;&#1077;&#1074;&#1072;_&#1057;&#1080;&#1089;&#1090;&#1077;&#1084;&#1072;_&#1090;&#1077;&#1085;&#1079;&#1086;&#1080;&#1079;&#1084;&#1077;&#1088;&#1077;&#1085;&#1080;&#1081;_&#1052;&#1072;&#1088;&#1090;&#1099;&#1085;&#1086;&#1074;/" TargetMode="External"/><Relationship Id="rId325" Type="http://schemas.openxmlformats.org/officeDocument/2006/relationships/hyperlink" Target="../../../../TKP/TKP2024/tkp2024_496_&#1057;&#1080;&#1083;&#1086;&#1074;&#1099;&#1077;%20&#1084;&#1072;&#1096;&#1080;&#1085;&#1099;_MIC-1200_&#1041;&#1091;&#1088;&#1103;&#1082;/" TargetMode="External"/><Relationship Id="rId367" Type="http://schemas.openxmlformats.org/officeDocument/2006/relationships/hyperlink" Target="../../../../TKP/TKP2025/tkp2025_063_&#1050;&#1041;&#1061;&#1052;_&#1057;&#1059;-&#1057;&#1056;_&#1089;&#1090;&#1077;&#1085;&#1076;&#1072;_&#1086;&#1075;&#1085;&#1077;&#1074;&#1099;&#1093;_&#1080;&#1089;&#1087;&#1099;&#1090;&#1072;&#1085;&#1080;&#1081;_&#1052;&#1077;&#1083;&#1080;&#1093;&#1086;&#1074;/" TargetMode="External"/><Relationship Id="rId532" Type="http://schemas.openxmlformats.org/officeDocument/2006/relationships/hyperlink" Target="../../../../TKP/TKP2024/tkp2024_518_&#1053;&#1048;&#1062;%20&#1056;&#1050;&#1055;_&#1058;&#1048;&#1057;_&#1056;&#1044;171_&#1056;&#1057;&#1057;_&#1052;&#1077;&#1083;&#1080;&#1093;&#1086;&#1074;/" TargetMode="External"/><Relationship Id="rId574" Type="http://schemas.openxmlformats.org/officeDocument/2006/relationships/hyperlink" Target="../../../../TKP/TKP2024/tkp2024_283_&#1057;&#1080;&#1083;&#1086;&#1074;&#1099;&#1077;%20&#1084;&#1072;&#1096;&#1080;&#1085;&#1099;_MIC-1200_&#1052;&#1072;&#1089;&#1083;&#1086;&#1074;&#1072;/&#1058;&#1050;&#1055;_283_24_&#1089;&#1090;&#1072;&#1090;&#1091;&#1089;.xlsm" TargetMode="External"/><Relationship Id="rId171" Type="http://schemas.openxmlformats.org/officeDocument/2006/relationships/hyperlink" Target="../../../../TKP/TKP2024/tkp2024_047_&#1050;&#1041;&#1061;&#1052;_&#1091;&#1090;&#1074;.&#1090;&#1080;&#1087;&#1072;&#1057;&#1048;_&#1082;&#1086;&#1088;&#1087;&#1091;&#1089;302_&#1045;&#1078;&#1086;&#1074;&#1072;/" TargetMode="External"/><Relationship Id="rId227" Type="http://schemas.openxmlformats.org/officeDocument/2006/relationships/hyperlink" Target="../../../../TKP/TKP2024/tkp2024_154_&#1050;&#1040;&#1044;&#1042;&#1048;_&#1074;&#1080;&#1073;&#1088;&#1086;&#1089;&#1090;&#1077;&#1085;&#1076;_&#1045;&#1078;&#1086;&#1074;&#1072;/&#1058;&#1050;&#1055;_154_24_&#1089;&#1090;&#1072;&#1090;&#1091;&#1089;.xlsm" TargetMode="External"/><Relationship Id="rId269" Type="http://schemas.openxmlformats.org/officeDocument/2006/relationships/hyperlink" Target="../../../../TKP/TKP2024/tkp2024_338_Kingsly_600chan+camera_&#1056;&#1057;&#1057;_&#1045;&#1078;&#1086;&#1074;&#1072;/&#1058;&#1050;&#1055;_338_24_&#1089;&#1090;&#1072;&#1090;&#1091;&#1089;.xlsm" TargetMode="External"/><Relationship Id="rId434" Type="http://schemas.openxmlformats.org/officeDocument/2006/relationships/hyperlink" Target="../../../../TKP/TKP2024/tkp2024_468_&#1040;&#1044;&#1052;&#1057;&#1087;&#1077;&#1094;.&#1056;&#1058;_&#1057;&#1048;_&#1076;&#1083;&#1103;_&#1057;&#1058;&#1045;&#1053;&#1044;.&#1082;&#1086;&#1088;&#1087;&#1091;&#1089;_&#1051;&#1050;&#1041;&#1052;_&#1052;&#1077;&#1083;&#1080;&#1093;&#1086;&#1074;/&#1058;&#1050;&#1055;_468_24_&#1089;&#1090;&#1072;&#1090;&#1091;&#1089;.xlsm" TargetMode="External"/><Relationship Id="rId476" Type="http://schemas.openxmlformats.org/officeDocument/2006/relationships/hyperlink" Target="../../../../TKP/TKP2025/tkp2025_366_Kingsly_MP-07_&#1056;&#1057;&#1057;_&#1041;&#1091;&#1088;&#1103;&#1082;/" TargetMode="External"/><Relationship Id="rId641" Type="http://schemas.openxmlformats.org/officeDocument/2006/relationships/hyperlink" Target="../../../../TKP/TKP2026/tkp2026_161_&#1064;&#1087;&#1080;&#1085;&#1076;&#1077;&#1083;&#1100;%20&#1083;&#1072;&#1073;_&#1056;&#1057;&#1057;/&#1058;&#1050;&#1055;_161_26_&#1089;&#1090;&#1072;&#1090;&#1091;&#1089;.xlsm" TargetMode="External"/><Relationship Id="rId683" Type="http://schemas.openxmlformats.org/officeDocument/2006/relationships/hyperlink" Target="file:///\\fserv\e\MERA\TKP\TKP2026\tkp2026_284_&#1040;&#1101;&#1088;&#1086;&#1092;&#1083;&#1086;&#1090;_&#1044;&#1086;&#1087;._&#1086;&#1089;&#1085;&#1072;&#1089;&#1090;&#1082;&#1072;_&#1052;&#1048;&#1056;\" TargetMode="External"/><Relationship Id="rId739" Type="http://schemas.openxmlformats.org/officeDocument/2006/relationships/hyperlink" Target="../../../../TKP/TKP2026/tkp2026_417_&#1062;&#1048;&#1040;&#1052;_&#1055;&#1086;&#1088;&#1090;&#1072;&#1090;&#1080;&#1074;&#1085;&#1072;&#1103;%20&#1089;&#1080;&#1089;&#1090;&#1077;&#1084;&#1072;%20&#1080;&#1079;&#1084;&#1077;&#1088;&#1077;&#1085;&#1080;&#1103;/&#1058;&#1050;&#1055;_417_26_&#1089;&#1090;&#1072;&#1090;&#1091;&#1089;.xlsm" TargetMode="External"/><Relationship Id="rId33" Type="http://schemas.openxmlformats.org/officeDocument/2006/relationships/hyperlink" Target="&#1058;&#1050;&#1055;_&#1064;&#1072;&#1073;&#1083;&#1086;&#1085;_&#1089;&#1090;&#1072;&#1090;&#1091;&#1089;.xlsm" TargetMode="External"/><Relationship Id="rId129" Type="http://schemas.openxmlformats.org/officeDocument/2006/relationships/hyperlink" Target="..\..\..\..\TKP\TKP2023\tkp2023_509_&#1057;&#1080;&#1083;&#1086;&#1074;&#1099;&#1077;_&#1084;&#1072;&#1096;&#1080;&#1085;&#1099;_(&#1051;&#1052;&#1047;)_&#1042;&#1080;&#1073;&#1088;&#1086;&#1084;&#1077;&#1090;&#1088;+&#1055;&#1054;_&#1052;&#1077;&#1083;&#1080;&#1093;&#1086;&#1074;\" TargetMode="External"/><Relationship Id="rId280" Type="http://schemas.openxmlformats.org/officeDocument/2006/relationships/hyperlink" Target="../../../../TKP/TKP2024/tkp2024_372_&#1050;&#1088;&#1086;&#1085;&#1096;&#1090;&#1072;&#1076;&#1090;_&#1080;&#1089;&#1087;.%20&#1089;&#1080;&#1083;&#1086;&#1074;&#1086;&#1081;%20&#1091;&#1089;&#1090;&#1072;&#1085;&#1086;&#1074;&#1082;&#1080;_&#1056;&#1057;&#1057;_&#1052;&#1077;&#1083;&#1080;&#1093;&#1086;&#1074;/" TargetMode="External"/><Relationship Id="rId336" Type="http://schemas.openxmlformats.org/officeDocument/2006/relationships/hyperlink" Target="../../../../TKP/TKP2025/tkp2025_015_Kingsly%2064%20chan.%20DAQ_&#1056;&#1057;&#1057;_&#1041;&#1091;&#1088;&#1103;&#1082;/" TargetMode="External"/><Relationship Id="rId501" Type="http://schemas.openxmlformats.org/officeDocument/2006/relationships/hyperlink" Target="../../../../TKP/TKP2025/tkp2025_488_&#1050;&#1053;&#1048;&#1058;&#1059;_&#1048;&#1085;&#1078;&#1077;&#1085;&#1077;&#1088;&#1085;&#1086;-&#1089;&#1077;&#1081;&#1089;&#1084;&#1086;&#1084;&#1077;&#1090;&#1088;&#1080;&#1095;&#1077;&#1089;&#1082;&#1072;&#1103;_&#1089;&#1090;&#1072;&#1085;&#1094;&#1080;&#1103;_&#1054;&#1089;&#1090;&#1088;&#1086;&#1074;&#1089;&#1082;&#1072;&#1103;/&#1058;&#1050;&#1055;_488_25_&#1089;&#1090;&#1072;&#1090;&#1091;&#1089;.xlsm" TargetMode="External"/><Relationship Id="rId543" Type="http://schemas.openxmlformats.org/officeDocument/2006/relationships/hyperlink" Target="../../../../TKP/TKP2025/tkp2025_112_&#1053;&#1055;&#1055;_&#1057;&#1090;&#1072;&#1088;&#1090;_&#1071;&#1089;&#1082;&#1080;&#1085;&#1072;_&#1052;&#1086;&#1076;&#1077;&#1088;&#1085;&#1080;&#1079;&#1072;&#1094;&#1080;&#1103;_&#1089;&#1080;&#1089;&#1090;&#1077;&#1084;&#1099;_&#1054;&#1089;&#1090;&#1088;&#1086;&#1074;&#1089;&#1082;&#1072;&#1103;/&#1058;&#1050;&#1055;_112_25_&#1089;&#1090;&#1072;&#1090;&#1091;&#1089;.xlsm" TargetMode="External"/><Relationship Id="rId75" Type="http://schemas.openxmlformats.org/officeDocument/2006/relationships/hyperlink" Target="../../../../TKP/TKP2023/tkp2023_261_&#1057;&#1072;&#1090;&#1091;&#1088;&#1085;_&#1072;&#1076;&#1072;&#1087;&#1090;&#1072;&#1094;&#1080;&#1103;%20&#1089;&#1090;&#1077;&#1085;&#1076;&#1072;_&#1084;&#1072;&#1096;&#1080;&#1085;&#1085;&#1086;&#1077;%20&#1079;&#1088;&#1077;&#1085;&#1080;&#1077;_&#1045;&#1078;&#1086;&#1074;&#1072;/&#1058;&#1050;&#1055;_261_23_&#1089;&#1090;&#1072;&#1090;&#1091;&#1089;.xlsm" TargetMode="External"/><Relationship Id="rId140" Type="http://schemas.openxmlformats.org/officeDocument/2006/relationships/hyperlink" Target="&#1058;&#1050;&#1055;%20&#1087;&#1088;&#1086;&#1088;&#1072;&#1073;&#1086;&#1090;&#1082;&#1072;\2022\08_&#1054;&#1044;&#1050;%20&#1057;&#1090;&#1072;&#1088;%20&#1062;&#1080;&#1092;&#1088;%20&#1076;&#1074;&#1086;&#1081;&#1085;&#1080;&#1082;" TargetMode="External"/><Relationship Id="rId182" Type="http://schemas.openxmlformats.org/officeDocument/2006/relationships/hyperlink" Target="..\..\..\..\TKP\TKP2024\tkp2024_059_&#1054;&#1044;&#1050;_&#1057;&#1072;&#1090;&#1091;&#1088;&#1085;_&#1076;&#1080;&#1085;&#1072;&#1084;&#1080;&#1082;&#1072;_&#1089;&#1090;&#1077;&#1085;&#1076;&#1099;%20&#8470;3,4_&#1045;&#1078;&#1086;&#1074;&#1072;\" TargetMode="External"/><Relationship Id="rId378" Type="http://schemas.openxmlformats.org/officeDocument/2006/relationships/hyperlink" Target="../../../../TKP/TKP2025/tkp2025_125_&#1057;&#1080;&#1083;&#1086;&#1074;&#1099;&#1077;_&#1084;&#1072;&#1096;&#1080;&#1085;&#1099;_&#1040;&#1069;&#1057;_&#1050;&#1091;&#1076;&#1072;&#1085;&#1082;&#1091;&#1083;&#1072;&#1084;_&#1057;&#1050;&#1042;&#1051;_&#1056;&#1057;&#1057;_&#1041;&#1091;&#1088;&#1103;&#1082;/&#1058;&#1050;&#1055;_125_25_&#1089;&#1090;&#1072;&#1090;&#1091;&#1089;.xlsm" TargetMode="External"/><Relationship Id="rId403" Type="http://schemas.openxmlformats.org/officeDocument/2006/relationships/hyperlink" Target="../../../../TKP/TKP2025/tkp2025_156_&#1050;&#1041;&#1061;&#1052;_&#1054;&#1087;&#1077;&#1088;&#1072;&#1090;&#1086;&#1088;&#1089;&#1082;&#1080;&#1077;_&#1089;&#1090;&#1072;&#1085;&#1094;&#1080;&#1080;_&#1052;&#1077;&#1083;&#1080;&#1093;&#1086;&#1074;/&#1058;&#1050;&#1055;_156_25_&#1089;&#1090;&#1072;&#1090;&#1091;&#1089;.xlsm" TargetMode="External"/><Relationship Id="rId585" Type="http://schemas.openxmlformats.org/officeDocument/2006/relationships/hyperlink" Target="file:///\\fserv\e\MERA\TKP\TKP2026\tkp2026_044_&#1059;&#1047;&#1043;&#1040;_&#1042;&#1048;&#1050;%20&#1076;&#1083;&#1103;%20&#1089;&#1090;&#1077;&#1085;&#1076;&#1072;%20&#1057;&#1069;&#1057;_&#1056;&#1057;&#1057;\" TargetMode="External"/><Relationship Id="rId750" Type="http://schemas.openxmlformats.org/officeDocument/2006/relationships/ctrlProp" Target="../ctrlProps/ctrlProp8.xml"/><Relationship Id="rId6" Type="http://schemas.openxmlformats.org/officeDocument/2006/relationships/hyperlink" Target="..\..\..\..\TKP\TKP2021\tkp2021_391_&#1058;&#1052;&#1050;_&#1053;&#1058;&#1062;_&#1057;&#1090;&#1077;&#1085;&#1076;_&#1085;&#1072;_&#1091;&#1089;&#1090;&#1072;&#1083;&#1086;&#1089;&#1090;&#1100;_&#1052;&#1072;&#1088;&#1090;&#1099;&#1085;&#1086;&#1074;\" TargetMode="External"/><Relationship Id="rId238" Type="http://schemas.openxmlformats.org/officeDocument/2006/relationships/hyperlink" Target="../../../../TKP/TKP2024/tkp2024_181_&#1053;&#1055;&#1054;_&#1051;&#1072;&#1074;&#1086;&#1095;&#1082;&#1080;&#1085;&#1072;_&#1048;&#1042;&#1050;_&#1054;&#1089;&#1090;&#1088;&#1086;&#1074;&#1089;&#1082;&#1072;&#1103;/" TargetMode="External"/><Relationship Id="rId445" Type="http://schemas.openxmlformats.org/officeDocument/2006/relationships/hyperlink" Target="../../../../TKP/TKP2025/tkp2025_242_&#1043;&#1050;&#1053;&#1055;&#1062;_&#1061;&#1088;&#1091;&#1085;&#1080;&#1095;&#1077;&#1074;&#1072;_&#1048;&#1057;&#1057;&#1056;_&#1050;&#1040;_&#1056;&#1057;&#1057;_&#1052;&#1072;&#1088;&#1090;&#1099;&#1085;&#1086;&#1074;/&#1058;&#1050;&#1055;_242_25_&#1089;&#1090;&#1072;&#1090;&#1091;&#1089;.xlsm" TargetMode="External"/><Relationship Id="rId487" Type="http://schemas.openxmlformats.org/officeDocument/2006/relationships/hyperlink" Target="../../../../TKP/TKP2025/tkp2025_403_&#1050;&#1041;&#1061;&#1040;_&#1041;&#1083;&#1086;&#1082;&#1080;_&#1048;&#1042;&#1047;_&#1052;&#1077;&#1083;&#1080;&#1093;&#1086;&#1074;/&#1058;&#1050;&#1055;_403_25_&#1089;&#1090;&#1072;&#1090;&#1091;&#1089;.xlsm" TargetMode="External"/><Relationship Id="rId610" Type="http://schemas.openxmlformats.org/officeDocument/2006/relationships/hyperlink" Target="file:///\\fserv\e\MERA\TKP\TKP2026\tkp2026_030_&#1062;&#1053;&#1048;&#1048;&#1084;&#1072;&#1096;_&#1057;&#1080;&#1089;&#1090;&#1077;&#1084;&#1072;_&#1075;&#1086;&#1083;&#1086;&#1089;&#1086;&#1074;&#1086;&#1081;_&#1089;&#1074;&#1103;&#1079;&#1080;_&#1052;&#1077;&#1083;&#1080;&#1093;&#1086;&#1074;\" TargetMode="External"/><Relationship Id="rId652" Type="http://schemas.openxmlformats.org/officeDocument/2006/relationships/hyperlink" Target="file:///\\fserv\e\MERA\TKP\TKP2026\tkp2026_185_&#1050;&#1041;&#1061;&#1040;%20&#1072;&#1085;&#1072;&#1083;&#1086;&#1075;%20&#1089;&#1090;.62_p1264_&#1056;&#1057;&#1057;_&#1040;&#1085;&#1090;&#1080;&#1087;&#1077;&#1085;&#1082;&#1086;\" TargetMode="External"/><Relationship Id="rId694" Type="http://schemas.openxmlformats.org/officeDocument/2006/relationships/hyperlink" Target="file:///\\fserv\e\MERA\TKP\TKP2026\tkp2026_342_&#1057;&#1080;&#1083;&#1086;&#1074;&#1099;&#1077;_&#1084;&#1072;&#1096;&#1080;&#1085;&#1099;_&#1050;&#1048;_&#1044;&#1060;&#1052;_&#1056;&#1057;&#1057;_&#1052;&#1077;&#1083;&#1080;&#1093;&#1086;&#1074;\" TargetMode="External"/><Relationship Id="rId708" Type="http://schemas.openxmlformats.org/officeDocument/2006/relationships/hyperlink" Target="../../../../TKP/TKP2026/tkp2026_190_&#1053;&#1055;&#1054;_&#1051;&#1072;&#1074;&#1086;&#1095;&#1082;&#1080;&#1085;&#1072;_&#1057;&#1090;&#1077;&#1085;&#1076;_&#1089;&#1090;&#1072;&#1090;&#1080;&#1095;&#1077;&#1089;&#1082;&#1080;&#1093;_&#1080;&#1089;&#1087;&#1099;&#1090;&#1072;&#1085;&#1080;&#1081;_&#1056;&#1057;&#1057;_&#1040;&#1085;&#1090;&#1080;&#1087;&#1077;&#1085;&#1082;&#1086;/&#1058;&#1050;&#1055;_190_26_&#1089;&#1090;&#1072;&#1090;&#1091;&#1089;.xlsm" TargetMode="External"/><Relationship Id="rId291" Type="http://schemas.openxmlformats.org/officeDocument/2006/relationships/hyperlink" Target="..\..\..\..\TKP\TKP2024\tkp2024_392_&#1054;&#1050;&#1041;&#1052;_&#1040;&#1092;&#1088;&#1080;&#1082;&#1072;&#1085;&#1090;&#1086;&#1074;&#1072;_&#1056;&#1057;&#1057;_&#1052;&#1077;&#1083;&#1080;&#1093;&#1086;&#1074;\" TargetMode="External"/><Relationship Id="rId305" Type="http://schemas.openxmlformats.org/officeDocument/2006/relationships/hyperlink" Target="../../../../TKP/TKP2024/tkp2024_413_Kingsly_MS_402_MS_405_&#1054;&#1089;&#1090;&#1088;&#1086;&#1074;&#1089;&#1082;&#1072;&#1103;/&#1058;&#1050;&#1055;_413_24_&#1089;&#1090;&#1072;&#1090;&#1091;&#1089;.xlsm" TargetMode="External"/><Relationship Id="rId347" Type="http://schemas.openxmlformats.org/officeDocument/2006/relationships/hyperlink" Target="../../../../TKP/TKP2025/tkp2025_048_&#1040;&#1074;&#1090;&#1086;&#1074;&#1072;&#1079;_&#1052;&#1086;&#1076;&#1077;&#1088;&#1085;&#1080;&#1079;&#1072;&#1094;&#1080;&#1103;%20&#1089;&#1090;&#1077;&#1085;&#1076;&#1086;&#1074;_&#1056;&#1057;&#1057;/" TargetMode="External"/><Relationship Id="rId512" Type="http://schemas.openxmlformats.org/officeDocument/2006/relationships/hyperlink" Target="../../../../TKP/TKP2025/tkp2025_501_&#1062;&#1048;&#1040;&#1052;_&#1040;&#1050;&#1041;_&#1056;&#1057;&#1057;_&#1041;&#1091;&#1088;&#1103;&#1082;/&#1058;&#1050;&#1055;_501_25_&#1089;&#1090;&#1072;&#1090;&#1091;&#1089;.xlsm" TargetMode="External"/><Relationship Id="rId44" Type="http://schemas.openxmlformats.org/officeDocument/2006/relationships/hyperlink" Target="..\..\..\..\TKP\TKP2021\tkp2021_391_&#1058;&#1052;&#1050;_&#1053;&#1058;&#1062;_&#1057;&#1090;&#1077;&#1085;&#1076;_&#1085;&#1072;_&#1091;&#1089;&#1090;&#1072;&#1083;&#1086;&#1089;&#1090;&#1100;_&#1052;&#1072;&#1088;&#1090;&#1099;&#1085;&#1086;&#1074;\&#1058;&#1050;&#1055;_391_21_&#1089;&#1090;&#1072;&#1090;&#1091;&#1089;.xlsm" TargetMode="External"/><Relationship Id="rId86" Type="http://schemas.openxmlformats.org/officeDocument/2006/relationships/hyperlink" Target="..\..\..\..\TKP\TKP2023\tkp2023_331_&#1043;&#1050;_&#1056;&#1086;&#1089;&#1082;&#1086;&#1089;&#1084;&#1086;&#1089;_&#1057;&#1080;&#1103;&#1085;&#1080;&#1077;-&#1054;&#1048;_&#1045;&#1078;&#1086;&#1074;&#1072;\&#1058;&#1050;&#1055;_331_23_&#1089;&#1090;&#1072;&#1090;&#1091;&#1089;.xlsm" TargetMode="External"/><Relationship Id="rId151" Type="http://schemas.openxmlformats.org/officeDocument/2006/relationships/hyperlink" Target="../../../../TKP/TKP2023/tkp2023_231_&#1041;&#1048;&#1057;-&#1056;&#1059;&#1057;_&#1048;&#1079;&#1084;&#1077;&#1088;&#1080;&#1090;&#1077;&#1083;&#1100;_&#1074;&#1080;&#1073;&#1088;&#1072;&#1094;&#1080;&#1080;_&#1076;&#1083;&#1103;_&#1101;&#1083;&#1077;&#1082;&#1090;&#1088;&#1086;&#1082;&#1086;&#1084;&#1087;&#1088;&#1077;&#1089;&#1089;&#1086;&#1088;&#1072;_&#1040;&#1053;&#1061;&#1050;_&#1052;&#1077;&#1083;&#1080;&#1093;&#1086;&#1074;/" TargetMode="External"/><Relationship Id="rId389" Type="http://schemas.openxmlformats.org/officeDocument/2006/relationships/hyperlink" Target="../../../../../CLIENTS/FORMULYA/2025/p3209_&#1059;&#1047;&#1043;&#1040;_&#1040;&#1055;&#1044;-500_&#1057;&#1082;&#1088;&#1080;&#1087;&#1085;&#1080;&#1082;_&#1056;&#1057;&#1057;.xls" TargetMode="External"/><Relationship Id="rId554" Type="http://schemas.openxmlformats.org/officeDocument/2006/relationships/hyperlink" Target="../../../../TKP/TKP2025/tkp2025_558_&#1050;&#1088;&#1086;&#1085;&#1096;&#1090;&#1072;&#1076;&#1090;_MR-212_ME-003_&#1082;&#1072;&#1073;&#1077;&#1083;&#1100;_&#1052;&#1077;&#1083;&#1080;&#1093;&#1086;&#1074;/&#1058;&#1050;&#1055;_558_25_&#1089;&#1090;&#1072;&#1090;&#1091;&#1089;.xlsm" TargetMode="External"/><Relationship Id="rId596" Type="http://schemas.openxmlformats.org/officeDocument/2006/relationships/hyperlink" Target="file:///\\fserv\e\MERA\TKP\TKP2026\tkp2026_058_&#1045;&#1052;&#1058;_MIC-224+&#1084;&#1086;&#1076;&#1072;&#1083;&#1100;&#1085;&#1099;&#1081;_&#1084;&#1086;&#1083;&#1086;&#1090;&#1086;&#1082;_&#1056;&#1057;&#1057;_&#1052;&#1077;&#1083;&#1080;&#1093;&#1086;&#1074;\" TargetMode="External"/><Relationship Id="rId193" Type="http://schemas.openxmlformats.org/officeDocument/2006/relationships/hyperlink" Target="../../../../TKP/TKP2024/tkp2024_081_&#1047;&#1072;&#1074;&#1086;&#1076;_&#1042;&#1077;&#1085;&#1090;&#1080;&#1083;&#1103;&#1090;&#1086;&#1088;_&#1048;&#1042;&#1050;_&#1056;&#1057;&#1057;_&#1045;&#1078;&#1086;&#1074;&#1072;/" TargetMode="External"/><Relationship Id="rId207" Type="http://schemas.openxmlformats.org/officeDocument/2006/relationships/hyperlink" Target="../../../../TKP/TKP2024/tkp2024_147_&#1062;&#1048;&#1040;&#1052;_&#1043;&#1058;&#1059;_&#1052;&#1072;&#1089;&#1083;&#1086;&#1074;&#1072;/&#1058;&#1050;&#1055;_147_24_&#1089;&#1090;&#1072;&#1090;&#1091;&#1089;.xlsm" TargetMode="External"/><Relationship Id="rId249" Type="http://schemas.openxmlformats.org/officeDocument/2006/relationships/hyperlink" Target="../../../../TKP/TKP2024/tkp2024_219_&#1060;&#1062;&#1044;&#1058;_&#1057;&#1086;&#1102;&#1079;_&#1057;&#1048;&#1055;&#1055;_&#1045;&#1078;&#1086;&#1074;&#1072;/&#1058;&#1050;&#1055;_219_24_&#1089;&#1090;&#1072;&#1090;&#1091;&#1089;.xlsm" TargetMode="External"/><Relationship Id="rId414" Type="http://schemas.openxmlformats.org/officeDocument/2006/relationships/hyperlink" Target="../../../../TKP/TKP2022/tkp2022_264_&#1053;&#1055;&#1055;%20&#1047;&#1074;&#1077;&#1079;&#1076;&#1072;_&#1057;&#1090;&#1077;&#1085;&#1076;%20&#1040;&#1057;&#1057;_&#1052;&#1077;&#1083;&#1080;&#1093;&#1086;&#1074;/&#1058;&#1050;&#1055;_264_22_&#1089;&#1090;&#1072;&#1090;&#1091;&#1089;.xlsm" TargetMode="External"/><Relationship Id="rId456" Type="http://schemas.openxmlformats.org/officeDocument/2006/relationships/hyperlink" Target="../../../../TKP/TKP2025/tkp2025_293_&#1057;&#1080;&#1083;&#1086;&#1074;&#1099;&#1077;_&#1084;&#1072;&#1096;&#1080;&#1085;&#1099;_&#1057;&#1090;&#1072;&#1090;&#1080;&#1074;&#1099;_&#1043;&#1058;&#1069;-65.1_&#1052;&#1077;&#1083;&#1080;&#1093;&#1086;&#1074;/&#1058;&#1050;&#1055;_293_25_&#1089;&#1090;&#1072;&#1090;&#1091;&#1089;.xlsm" TargetMode="External"/><Relationship Id="rId498" Type="http://schemas.openxmlformats.org/officeDocument/2006/relationships/hyperlink" Target="../../../../TKP/TKP2025/tkp2025_494_&#1053;&#1055;&#1055;_&#1040;&#1076;&#1074;&#1077;&#1085;&#1090;_&#1057;&#1080;&#1089;&#1090;&#1077;&#1084;&#1072;_&#1082;&#1086;&#1085;&#1090;&#1088;&#1086;&#1083;&#1103;_&#1087;&#1072;&#1088;&#1072;&#1084;&#1077;&#1090;&#1088;&#1086;&#1074;_&#1057;&#1058;&#1050;_&#1052;&#1077;&#1083;&#1080;&#1093;&#1086;&#1074;/" TargetMode="External"/><Relationship Id="rId621" Type="http://schemas.openxmlformats.org/officeDocument/2006/relationships/hyperlink" Target="file:///\\fserv\e\MERA\TKP\TKP2026\tkp2026_018_&#1056;&#1058;&#1059;_&#1052;&#1048;&#1056;&#1069;&#1040;_&#1057;&#1080;&#1089;&#1090;&#1077;&#1084;&#1072;_&#1074;&#1072;&#1082;&#1091;&#1091;&#1084;&#1085;&#1072;&#1103;_&#1056;&#1057;&#1057;_&#1041;&#1091;&#1088;&#1103;&#1082;\&#1058;&#1050;&#1055;_018_26_&#1089;&#1090;&#1072;&#1090;&#1091;&#1089;.xlsm" TargetMode="External"/><Relationship Id="rId663" Type="http://schemas.openxmlformats.org/officeDocument/2006/relationships/hyperlink" Target="file:///\\fserv\e\MERA\TKP\TKP2026\tkp2026_234_&#1059;&#1047;&#1043;&#1040;_MIC236_&#1056;&#1057;&#1057;_&#1048;&#1074;&#1072;&#1085;&#1086;&#1074;&#1072;\" TargetMode="External"/><Relationship Id="rId13" Type="http://schemas.openxmlformats.org/officeDocument/2006/relationships/hyperlink" Target="../../../../TKP/TKP2023/tkp2023_004_&#1053;&#1048;&#1062;_&#1056;&#1050;&#1055;_&#1050;&#1088;&#1072;&#1089;&#1084;&#1072;&#1096;_&#1047;&#1048;&#1055;_&#1050;&#1048;&#1042;&#1048;&#1048;&#1057;-2_&#1057;&#1085;&#1099;&#1075;&#1080;&#1085;&#1072;" TargetMode="External"/><Relationship Id="rId109" Type="http://schemas.openxmlformats.org/officeDocument/2006/relationships/hyperlink" Target="../../../../TKP/TKP2023/tkp2023_422_Kingsly_MIC-553_&#1045;&#1078;&#1086;&#1074;&#1072;/&#1058;&#1050;&#1055;_422_23_&#1089;&#1090;&#1072;&#1090;&#1091;&#1089;.xlsm" TargetMode="External"/><Relationship Id="rId260" Type="http://schemas.openxmlformats.org/officeDocument/2006/relationships/hyperlink" Target="../../../../TKP/TKP2024/tkp2024_310_&#1048;&#1085;&#1090;&#1088;&#1080;&#1089;_MIC-236_&#1045;&#1078;&#1086;&#1074;&#1072;/&#1058;&#1050;&#1055;_310_24_&#1089;&#1090;&#1072;&#1090;&#1091;&#1089;.xlsm" TargetMode="External"/><Relationship Id="rId316" Type="http://schemas.openxmlformats.org/officeDocument/2006/relationships/hyperlink" Target="../../../../TKP/TKP2024/tkp2024_477_&#1062;&#1048;&#1040;&#1052;_&#1076;&#1086;&#1088;&#1072;&#1073;&#1086;&#1090;&#1082;&#1072;_&#1089;&#1090;&#1077;&#1085;&#1076;&#1072;_&#1062;4&#1053;_&#1052;&#1077;&#1083;&#1080;&#1093;&#1086;&#1074;/" TargetMode="External"/><Relationship Id="rId523" Type="http://schemas.openxmlformats.org/officeDocument/2006/relationships/hyperlink" Target="..\..\..\..\TKP\TKP2022\tkp2022_206_&#1053;&#1055;&#1054;%20&#1051;&#1072;&#1074;&#1086;&#1095;&#1082;&#1080;&#1085;&#1072;_&#1062;&#1077;&#1085;&#1090;&#1088;&#1080;&#1092;&#1091;&#1075;&#1072;_&#1052;&#1077;&#1083;&#1080;&#1093;&#1086;&#1074;\" TargetMode="External"/><Relationship Id="rId719" Type="http://schemas.openxmlformats.org/officeDocument/2006/relationships/hyperlink" Target="file:///\\fserv\e\MERA\TKP\TKP2026\tkp2026_405_&#1051;&#1048;&#1048;&#1055;_&#1080;&#1084;._&#1043;&#1088;&#1080;&#1079;&#1086;&#1076;&#1091;&#1073;&#1086;&#1074;&#1086;&#1081;_&#1048;&#1089;&#1087;&#1099;&#1090;&#1072;&#1085;&#1080;&#1103;_&#1043;&#1058;&#1044;_&#1056;&#1057;&#1057;_&#1041;&#1091;&#1088;&#1103;&#1082;\" TargetMode="External"/><Relationship Id="rId55" Type="http://schemas.openxmlformats.org/officeDocument/2006/relationships/hyperlink" Target="../../../../TKP/TKP2023/tkp2023_226_&#1040;&#1085;&#1072;&#1083;&#1086;&#1075;&#1080;_NI_&#1090;&#1077;&#1085;&#1079;&#1086;&#1080;&#1079;&#1084;&#1077;&#1088;&#1077;&#1085;&#1080;&#1103;_&#1052;&#1077;&#1083;&#1080;&#1093;&#1086;&#1074;/&#1058;&#1050;&#1055;_226_23_&#1089;&#1090;&#1072;&#1090;&#1091;&#1089;.xlsm" TargetMode="External"/><Relationship Id="rId97" Type="http://schemas.openxmlformats.org/officeDocument/2006/relationships/hyperlink" Target="../../../../TKP/TKP2023/&#1058;&#1050;&#1055;_410_23_&#1089;&#1090;&#1072;&#1090;&#1091;&#1089;.xlsm" TargetMode="External"/><Relationship Id="rId120" Type="http://schemas.openxmlformats.org/officeDocument/2006/relationships/hyperlink" Target="../../../../TKP/TKP2023/tkp2023_486_&#1043;&#1072;&#1079;&#1087;&#1088;&#1086;&#1084;_&#1076;&#1080;&#1072;&#1075;&#1085;&#1086;&#1089;&#1090;&#1080;&#1082;&#1072;_MIC-200_&#1089;_&#1048;&#1042;&#1047;_&#1074;_&#1082;&#1077;&#1081;&#1089;&#1077;_&#1052;&#1077;&#1083;&#1080;&#1093;&#1086;&#1074;/&#1058;&#1050;&#1055;_486_23_&#1089;&#1090;&#1072;&#1090;&#1091;&#1089;.xlsm" TargetMode="External"/><Relationship Id="rId358" Type="http://schemas.openxmlformats.org/officeDocument/2006/relationships/hyperlink" Target="..\..\..\..\TKP\TKP2025\tkp2025_065_&#1054;&#1044;&#1050;%20&#1059;&#1052;&#1055;&#1054;_&#1048;&#1089;&#1087;&#1099;&#1090;&#1072;&#1085;&#1080;&#1103;_&#1040;&#1055;&#1044;_2_&#1089;&#1090;&#1077;&#1085;&#1076;&#1072;_&#1056;&#1057;&#1057;_&#1041;&#1091;&#1088;&#1103;&#1082;\&#1058;&#1050;&#1055;_065_25_&#1089;&#1090;&#1072;&#1090;&#1091;&#1089;.xlsm" TargetMode="External"/><Relationship Id="rId565" Type="http://schemas.openxmlformats.org/officeDocument/2006/relationships/hyperlink" Target="../../../../TKP/TKP2024/tkp2024_294_&#1057;&#1080;&#1083;&#1086;&#1074;&#1099;&#1077;_&#1084;&#1072;&#1096;&#1080;&#1085;&#1099;_&#1050;&#1072;&#1083;&#1080;&#1085;&#1080;&#1085;&#1089;&#1082;&#1072;&#1103;_&#1040;&#1069;&#1057;_MIC-1200_&#1069;&#1041;&#8470;3_&#1045;&#1078;&#1086;&#1074;&#1072;/" TargetMode="External"/><Relationship Id="rId730" Type="http://schemas.openxmlformats.org/officeDocument/2006/relationships/hyperlink" Target="file:///\\fserv\e\MERA\TKP\TKP2026\tkp2026_434_&#1059;&#1047;&#1043;&#1040;_&#1048;&#1048;&#1057;_&#1048;&#1057;_&#1084;&#1072;&#1083;&#1086;&#1088;&#1072;&#1079;&#1084;&#1077;&#1088;&#1085;&#1099;&#1093;_&#1043;&#1058;&#1044;_&#1056;&#1057;&#1057;_&#1041;&#1091;&#1088;&#1103;&#1082;\" TargetMode="External"/><Relationship Id="rId162" Type="http://schemas.openxmlformats.org/officeDocument/2006/relationships/hyperlink" Target="../../../../TKP/TKP2024/tkp2024_025_Kingsly_MIC-1150_Rocket_Fire_test_&#1045;&#1078;&#1086;&#1074;&#1072;/" TargetMode="External"/><Relationship Id="rId218" Type="http://schemas.openxmlformats.org/officeDocument/2006/relationships/hyperlink" Target="../../../../TKP/TKP2024/tkp2024_171_&#1062;&#1048;&#1040;&#1052;_&#1082;&#1086;&#1084;&#1087;&#1083;&#1077;&#1082;&#1090;%20&#1076;&#1083;&#1103;%20&#1084;&#1086;&#1076;&#1077;&#1083;&#1080;&#1088;&#1086;&#1074;&#1072;&#1085;&#1080;&#1103;_&#1052;&#1072;&#1089;&#1083;&#1086;&#1074;&#1072;/" TargetMode="External"/><Relationship Id="rId425" Type="http://schemas.openxmlformats.org/officeDocument/2006/relationships/hyperlink" Target="../../../../TKP/TKP2025/tkp2025_237_&#1053;&#1055;&#1054;_&#1040;&#1074;&#1090;&#1086;&#1084;&#1072;&#1090;&#1080;&#1082;&#1080;_&#1041;&#1083;&#1086;&#1082;&#1080;_&#1050;&#1057;&#1058;-2_&#1052;&#1072;&#1088;&#1090;&#1099;&#1085;&#1086;&#1074;/&#1058;&#1050;&#1055;_237_25_&#1089;&#1090;&#1072;&#1090;&#1091;&#1089;.xlsm" TargetMode="External"/><Relationship Id="rId467" Type="http://schemas.openxmlformats.org/officeDocument/2006/relationships/hyperlink" Target="../../../../TKP/TKP2025/tkp2025_339_Kingsly_64-channel%20portable%20system_&#1056;&#1057;&#1057;_&#1041;&#1091;&#1088;&#1103;&#1082;/&#1058;&#1050;&#1055;_339_25_&#1089;&#1090;&#1072;&#1090;&#1091;&#1089;.xlsm" TargetMode="External"/><Relationship Id="rId632" Type="http://schemas.openxmlformats.org/officeDocument/2006/relationships/hyperlink" Target="file:///\\fserv\e\MERA\TKP\TKP2026\tkp2026_045_&#1050;&#1041;&#1061;&#1052;_MIC-553_&#1052;&#1077;&#1083;&#1080;&#1093;&#1086;&#1074;\" TargetMode="External"/><Relationship Id="rId271" Type="http://schemas.openxmlformats.org/officeDocument/2006/relationships/hyperlink" Target="../../../../TKP/TKP2024/tkp2024_352_Kingsly_Strain%20DAQ_1536%20channels%20+%2096%20voltages_&#1045;&#1078;&#1086;&#1074;&#1072;/&#1058;&#1050;&#1055;_352_24_&#1089;&#1090;&#1072;&#1090;&#1091;&#1089;.xlsm" TargetMode="External"/><Relationship Id="rId674" Type="http://schemas.openxmlformats.org/officeDocument/2006/relationships/hyperlink" Target="file:///\\fserv\e\MERA\TKP\TKP2026\tkp2026_002_&#1048;&#1058;&#1062;_&#1040;&#1074;&#1090;&#1086;&#1090;&#1086;&#1088;_&#1048;&#1089;&#1087;&#1099;&#1090;&#1072;&#1090;&#1077;&#1083;&#1100;&#1085;&#1072;&#1103;_&#1082;&#1072;&#1084;&#1077;&#1088;&#1072;_&#1052;&#1077;&#1083;&#1080;&#1093;&#1086;&#1074;\" TargetMode="External"/><Relationship Id="rId24" Type="http://schemas.openxmlformats.org/officeDocument/2006/relationships/hyperlink" Target="..\..\..\..\TKP\TKP2023\tkp2023_152_&#1054;&#1044;&#1050;_&#1057;&#1072;&#1083;&#1102;&#1090;_&#1040;&#1076;&#1072;&#1087;&#1090;&#1072;&#1094;&#1080;&#1103;_&#1089;&#1090;&#1077;&#1085;&#1076;&#1072;_&#8470;37_&#1094;&#1077;&#1093;&#1072;&#8470;6_&#1052;&#1077;&#1083;&#1080;&#1093;&#1086;&#1074;\" TargetMode="External"/><Relationship Id="rId66" Type="http://schemas.openxmlformats.org/officeDocument/2006/relationships/hyperlink" Target="../../../../TKP/TKP2023/tkp2023_266_&#1050;&#1072;&#1079;&#1072;&#1085;&#1089;&#1082;&#1080;&#1081;_&#1087;&#1086;&#1088;&#1086;&#1093;&#1086;&#1074;&#1086;&#1081;_&#1079;&#1072;&#1074;&#1086;&#1076;_MIC-355_&#1057;&#1085;&#1099;&#1075;&#1080;&#1085;&#1072;/" TargetMode="External"/><Relationship Id="rId131" Type="http://schemas.openxmlformats.org/officeDocument/2006/relationships/hyperlink" Target="../../../../TKP/TKP2023/tkp2023_434_&#1052;&#1058;&#1047;_&#1057;&#1090;&#1077;&#1085;&#1076;_&#1080;&#1089;&#1087;&#1099;&#1090;&#1072;&#1085;&#1080;&#1103;_&#1082;&#1072;&#1073;&#1080;&#1085;_&#1052;&#1077;&#1083;&#1080;&#1093;&#1086;&#1074;/&#1058;&#1050;&#1055;_434_23_&#1089;&#1090;&#1072;&#1090;&#1091;&#1089;.xlsm" TargetMode="External"/><Relationship Id="rId327" Type="http://schemas.openxmlformats.org/officeDocument/2006/relationships/hyperlink" Target="../../../../TKP/TKP2024/tkp2024_473_&#1054;&#1044;&#1050;-&#1057;&#1072;&#1090;&#1091;&#1088;&#1085;_&#1044;&#1080;&#1072;&#1075;&#1085;&#1086;&#1089;&#1090;&#1080;&#1082;&#1072;%20&#1087;&#1086;&#1076;&#1096;&#1080;&#1087;&#1085;&#1080;&#1082;&#1086;&#1074;_&#1041;&#1091;&#1088;&#1103;&#1082;/" TargetMode="External"/><Relationship Id="rId369" Type="http://schemas.openxmlformats.org/officeDocument/2006/relationships/hyperlink" Target="../../../../TKP/TKP2025/tkp2025_013_Kingsly%20ADA%20engine_&#1056;&#1057;&#1057;_&#1041;&#1091;&#1088;&#1103;&#1082;/&#1058;&#1050;&#1055;_013_25_&#1089;&#1090;&#1072;&#1090;&#1091;&#1089;.xlsm" TargetMode="External"/><Relationship Id="rId534" Type="http://schemas.openxmlformats.org/officeDocument/2006/relationships/hyperlink" Target="../../../../TKP/TKP2025/tkp2025_337_&#1043;&#1080;&#1076;&#1088;&#1086;&#1087;&#1088;&#1077;&#1089;&#1089;_&#1057;&#1080;&#1089;&#1090;&#1077;&#1084;&#1072;_&#1076;&#1083;&#1103;_&#1074;&#1080;&#1073;&#1088;&#1086;&#1080;&#1089;&#1087;&#1099;&#1090;&#1072;&#1085;&#1080;&#1081;_&#1054;&#1089;&#1090;&#1088;&#1086;&#1074;&#1089;&#1082;&#1072;&#1103;/&#1058;&#1050;&#1055;_337_25_&#1089;&#1090;&#1072;&#1090;&#1091;&#1089;.xlsm" TargetMode="External"/><Relationship Id="rId576" Type="http://schemas.openxmlformats.org/officeDocument/2006/relationships/hyperlink" Target="..\..\..\..\TKP\TKP2025\tkp2025_655_&#1040;&#1074;&#1090;&#1086;&#1090;&#1086;&#1088;_&#1048;&#1089;&#1087;&#1099;&#1090;&#1072;&#1090;&#1077;&#1083;&#1100;&#1085;&#1072;&#1103;%20&#1082;&#1072;&#1084;&#1077;&#1088;&#1072;_&#1056;&#1057;&#1057;_&#1052;&#1077;&#1083;&#1080;&#1093;&#1086;&#1074;\&#1058;&#1050;&#1055;_655_25_&#1089;&#1090;&#1072;&#1090;&#1091;&#1089;.xlsm" TargetMode="External"/><Relationship Id="rId741" Type="http://schemas.openxmlformats.org/officeDocument/2006/relationships/drawing" Target="../drawings/drawing1.xml"/><Relationship Id="rId173" Type="http://schemas.openxmlformats.org/officeDocument/2006/relationships/hyperlink" Target="../../../../TKP/TKP2024/tkp2024_002_&#1058;&#1074;&#1077;&#1088;&#1100;&#1050;&#1072;&#1085;&#1072;&#1090;&#1044;&#1086;&#1088;_&#1080;&#1089;&#1087;&#1099;&#1090;&#1072;&#1085;&#1080;&#1103;_&#1052;&#1072;&#1089;&#1083;&#1086;&#1074;&#1072;/" TargetMode="External"/><Relationship Id="rId229" Type="http://schemas.openxmlformats.org/officeDocument/2006/relationships/hyperlink" Target="../../../../TKP/TKP2024/tkp2024_190_&#1053;&#1048;&#1048;&#1084;&#1072;&#1096;_&#1057;&#1080;&#1083;&#1086;&#1080;&#1079;&#1084;&#1077;&#1088;&#1080;&#1090;&#1077;&#1083;&#1100;&#1085;&#1086;&#1077;_&#1091;&#1089;&#1090;&#1088;&#1086;&#1081;&#1089;&#1090;&#1074;&#1086;_&#1041;&#1091;&#1088;&#1103;&#1082;/" TargetMode="External"/><Relationship Id="rId380" Type="http://schemas.openxmlformats.org/officeDocument/2006/relationships/hyperlink" Target="../../../../TKP/TKP2025/tkp2025_117_&#1057;&#1080;&#1083;&#1086;&#1074;&#1099;&#1077;_&#1084;&#1072;&#1096;&#1080;&#1085;&#1099;_&#1051;&#1052;&#1047;_&#1057;&#1050;&#1042;&#1051;_&#1056;&#1057;&#1057;_&#1041;&#1091;&#1088;&#1103;&#1082;/" TargetMode="External"/><Relationship Id="rId436" Type="http://schemas.openxmlformats.org/officeDocument/2006/relationships/hyperlink" Target="../../../../TKP/TKP2025/tkp2025_223_Kingsly_MIC-185_&#1056;&#1057;&#1057;_&#1041;&#1091;&#1088;&#1103;&#1082;/&#1058;&#1050;&#1055;_223_25_&#1089;&#1090;&#1072;&#1090;&#1091;&#1089;.xlsm" TargetMode="External"/><Relationship Id="rId601" Type="http://schemas.openxmlformats.org/officeDocument/2006/relationships/hyperlink" Target="file:///\\fserv\e\MERA\TKP\TKP2026\tkp2026_116_&#1062;&#1053;&#1048;&#1048;&#1084;&#1072;&#1096;_&#1040;&#1048;&#1057;_500_&#1082;&#1072;&#1085;&#1072;&#1083;&#1086;&#1074;_&#1052;&#1077;&#1083;&#1080;&#1093;&#1086;&#1074;\" TargetMode="External"/><Relationship Id="rId643" Type="http://schemas.openxmlformats.org/officeDocument/2006/relationships/hyperlink" Target="file:///\\fserv\e\MERA\TKP\TKP2026\tkp2026_178_&#1050;&#1041;&#1061;&#1052;_MIC-553_MIC-236_&#1056;&#1057;&#1057;_&#1048;&#1074;&#1072;&#1085;&#1086;&#1074;&#1072;" TargetMode="External"/><Relationship Id="rId240" Type="http://schemas.openxmlformats.org/officeDocument/2006/relationships/hyperlink" Target="../../../../TKP/TKP2024/tkp2024_181_&#1053;&#1055;&#1054;_&#1051;&#1072;&#1074;&#1086;&#1095;&#1082;&#1080;&#1085;&#1072;_&#1048;&#1042;&#1050;_&#1054;&#1089;&#1090;&#1088;&#1086;&#1074;&#1089;&#1082;&#1072;&#1103;/&#1058;&#1050;&#1055;_181_24_&#1089;&#1090;&#1072;&#1090;&#1091;&#1089;.xlsm" TargetMode="External"/><Relationship Id="rId478" Type="http://schemas.openxmlformats.org/officeDocument/2006/relationships/hyperlink" Target="../../../../TKP/TKP2025/tkp2025_366_Kingsly_MP-07_&#1056;&#1057;&#1057;_&#1041;&#1091;&#1088;&#1103;&#1082;/&#1058;&#1050;&#1055;_366_25_&#1089;&#1090;&#1072;&#1090;&#1091;&#1089;.xlsm" TargetMode="External"/><Relationship Id="rId685" Type="http://schemas.openxmlformats.org/officeDocument/2006/relationships/hyperlink" Target="file:///\\fserv\e\MERA\TKP\TKP2026\tkp2026_320_&#1053;&#1045;%20&#1040;&#1050;&#1058;&#1059;&#1040;&#1051;&#1068;&#1053;&#1054;_&#1040;&#1054;%20&#171;&#1050;&#1086;&#1085;&#1094;&#1077;&#1088;&#1085;%20&#1056;&#1086;&#1089;&#1101;&#1085;&#1077;&#1088;&#1075;&#1086;&#1072;&#1090;&#1086;&#1084;&#187;_&#1057;&#1084;&#1086;&#1083;&#1077;&#1085;&#1089;&#1082;&#1072;&#1103;_&#1040;&#1069;&#1057;-2_&#1048;&#1074;&#1072;&#1085;&#1086;&#1074;&#1072;\" TargetMode="External"/><Relationship Id="rId35" Type="http://schemas.openxmlformats.org/officeDocument/2006/relationships/hyperlink" Target="..\..\..\..\TKP\TKP2023\tkp2023_187_&#1040;&#1058;&#1052;-&#1043;&#1080;&#1076;&#1088;&#1072;&#1074;&#1083;&#1080;&#1082;_MIC-185_236_&#1057;&#1085;&#1099;&#1075;&#1080;&#1085;&#1072;\" TargetMode="External"/><Relationship Id="rId77" Type="http://schemas.openxmlformats.org/officeDocument/2006/relationships/hyperlink" Target="../../../../TKP/TKP2023/tkp2023_293_&#1056;&#1069;&#1055;&#1061;_&#1058;&#1077;&#1085;&#1079;&#1086;&#1089;&#1090;&#1072;&#1085;&#1094;&#1080;&#1103;_(MIC-355M+4&#1093;MX-340)_&#1052;&#1077;&#1083;&#1080;&#1093;&#1086;&#1074;/&#1058;&#1050;&#1055;_293_23_&#1089;&#1090;&#1072;&#1090;&#1091;&#1089;.xlsm" TargetMode="External"/><Relationship Id="rId100" Type="http://schemas.openxmlformats.org/officeDocument/2006/relationships/hyperlink" Target="../../../../TKP/TKP2023/tkp2023_421_&#1053;&#1048;&#1062;_&#1056;&#1050;&#1055;_&#1050;&#1048;&#1042;&#1048;&#1048;&#1057;_&#1052;&#1072;&#1089;&#1083;&#1086;&#1074;&#1072;/" TargetMode="External"/><Relationship Id="rId282" Type="http://schemas.openxmlformats.org/officeDocument/2006/relationships/hyperlink" Target="../../../../TKP/TKP2024/tkp2024_380_Kingsly_ISRO-TCT_2000+%20channels_&#1056;&#1057;&#1057;_&#1041;&#1091;&#1088;&#1103;&#1082;/" TargetMode="External"/><Relationship Id="rId338" Type="http://schemas.openxmlformats.org/officeDocument/2006/relationships/hyperlink" Target="../../../../TKP/TKP2025/tkp2025_005_&#1042;&#1040;&#1047;_&#1056;&#1057;&#1057;_&#1052;&#1077;&#1083;&#1080;&#1093;&#1086;&#1074;/" TargetMode="External"/><Relationship Id="rId503" Type="http://schemas.openxmlformats.org/officeDocument/2006/relationships/hyperlink" Target="../../../../TKP/TKP2025/tkp2025_494_&#1053;&#1055;&#1055;_&#1040;&#1076;&#1074;&#1077;&#1085;&#1090;_&#1057;&#1080;&#1089;&#1090;&#1077;&#1084;&#1072;_&#1082;&#1086;&#1085;&#1090;&#1088;&#1086;&#1083;&#1103;_&#1087;&#1072;&#1088;&#1072;&#1084;&#1077;&#1090;&#1088;&#1086;&#1074;_&#1057;&#1058;&#1050;_&#1052;&#1077;&#1083;&#1080;&#1093;&#1086;&#1074;/&#1058;&#1050;&#1055;_494_25_&#1089;&#1090;&#1072;&#1090;&#1091;&#1089;.xlsm" TargetMode="External"/><Relationship Id="rId545" Type="http://schemas.openxmlformats.org/officeDocument/2006/relationships/hyperlink" Target="../../../../TKP/TKP2025/tkp2025_338_&#1057;&#1080;&#1083;&#1086;&#1074;&#1099;&#1077;_&#1084;&#1072;&#1096;&#1080;&#1085;&#1099;_ME-405_&#1054;&#1055;&#1057;&#1048;-12-55%20_&#1056;&#1057;&#1057;_&#1041;&#1091;&#1088;&#1103;&#1082;/" TargetMode="External"/><Relationship Id="rId587" Type="http://schemas.openxmlformats.org/officeDocument/2006/relationships/hyperlink" Target="file:///\\fserv\e\MERA\TKP\TKP2026\tkp2026_029_&#1054;&#1050;&#1041;&#1052;_&#1040;&#1092;&#1088;&#1080;&#1082;&#1072;&#1085;&#1090;&#1086;&#1074;_ME-908_&#1052;&#1077;&#1083;&#1080;&#1093;&#1086;&#1074;\&#1058;&#1050;&#1055;_029_26_&#1089;&#1090;&#1072;&#1090;&#1091;&#1089;.xlsm" TargetMode="External"/><Relationship Id="rId710" Type="http://schemas.openxmlformats.org/officeDocument/2006/relationships/hyperlink" Target="file:///\\fserv\e\MERA\TKP\TKP2026\tkp2026_356_&#1053;&#1048;&#1062;_&#1056;&#1050;&#1055;_&#1048;&#1057;-102_&#1050;&#1088;&#1080;&#1086;&#1075;&#1077;&#1085;&#1084;&#1072;&#1096;_&#1040;&#1085;&#1090;&#1080;&#1087;&#1077;&#1085;&#1082;&#1086;\" TargetMode="External"/><Relationship Id="rId752" Type="http://schemas.openxmlformats.org/officeDocument/2006/relationships/comments" Target="../comments1.xml"/><Relationship Id="rId8" Type="http://schemas.openxmlformats.org/officeDocument/2006/relationships/hyperlink" Target="../../../../TKP/TKP2022/tkp2022_185_&#1042;&#1048;&#1050;_&#1058;&#1077;&#1089;&#1090;_&#1040;&#1085;&#1072;&#1083;&#1086;&#1075;_HBM_&#1056;&#1057;&#1057;" TargetMode="External"/><Relationship Id="rId142" Type="http://schemas.openxmlformats.org/officeDocument/2006/relationships/hyperlink" Target="../../../../TKP/TKP2023/tkp2023_517_&#1062;&#1040;&#1043;&#1048;_MIC-PXI_&#1045;&#1078;&#1086;&#1074;&#1072;/" TargetMode="External"/><Relationship Id="rId184" Type="http://schemas.openxmlformats.org/officeDocument/2006/relationships/hyperlink" Target="../../../../TKP/TKP2024/tkp2024_058_&#1057;&#1080;&#1083;&#1086;&#1074;&#1099;&#1077;_&#1084;&#1072;&#1096;&#1080;&#1085;&#1099;_MIC-1200_&#1073;&#1083;&#1086;&#1082;3,4_&#1051;&#1040;&#1069;&#1057;-2_&#1045;&#1078;&#1086;&#1074;&#1072;/" TargetMode="External"/><Relationship Id="rId391" Type="http://schemas.openxmlformats.org/officeDocument/2006/relationships/hyperlink" Target="../../../../TKP/TKP2025/tkp2025_138_&#1062;&#1053;&#1048;&#1048;&#1052;&#1040;&#1064;_&#1091;&#1076;&#1072;&#1088;&#1085;&#1099;&#1081;%20&#1089;&#1090;&#1077;&#1085;&#1076;_&#1087;&#1091;&#1083;&#1100;&#1089;&#1072;&#1094;&#1080;&#1080;_&#1056;&#1057;&#1057;_&#1052;&#1077;&#1083;&#1080;&#1093;&#1086;&#1074;/" TargetMode="External"/><Relationship Id="rId405" Type="http://schemas.openxmlformats.org/officeDocument/2006/relationships/hyperlink" Target="../../../../TKP/TKP2023/tkp2023_457_&#1057;&#1080;&#1083;&#1086;&#1074;&#1099;&#1077;_&#1084;&#1072;&#1096;&#1080;&#1085;&#1099;_&#1040;&#1048;&#1057;_&#1043;&#1058;&#1069;-65.1_&#1052;&#1077;&#1083;&#1080;&#1093;&#1086;&#1074;/" TargetMode="External"/><Relationship Id="rId447" Type="http://schemas.openxmlformats.org/officeDocument/2006/relationships/hyperlink" Target="../../../../TKP/TKP2025/tkp2025_279_&#1050;&#1041;&#1061;&#1052;_MIC-236_MIC-553_&#1056;&#1057;&#1057;_/&#1058;&#1050;&#1055;_279_25_&#1089;&#1090;&#1072;&#1090;&#1091;&#1089;.xlsm" TargetMode="External"/><Relationship Id="rId612" Type="http://schemas.openxmlformats.org/officeDocument/2006/relationships/hyperlink" Target="file:///\\fserv\e\MERA\TKP\TKP2026\tkp2026_111_&#1062;&#1048;&#1040;&#1052;_&#1044;&#1072;&#1090;&#1095;&#1080;&#1082;&#1080;%20&#1077;&#1084;&#1082;&#1086;&#1089;&#1090;&#1085;&#1099;&#1077;\" TargetMode="External"/><Relationship Id="rId251" Type="http://schemas.openxmlformats.org/officeDocument/2006/relationships/hyperlink" Target="../../../../TKP/TKP2024/tkp2024_268_&#1055;&#1053;&#1048;&#1055;&#1059;_&#1090;&#1077;&#1085;&#1079;&#1086;&#1089;&#1090;&#1072;&#1085;&#1094;&#1080;&#1103;_&#1056;&#1057;&#1057;_&#1045;&#1078;&#1086;&#1074;&#1072;/" TargetMode="External"/><Relationship Id="rId489" Type="http://schemas.openxmlformats.org/officeDocument/2006/relationships/hyperlink" Target="../../../../TKP/TKP2025/tkp2025_432_Kingsly_160%20chan%20Hi%20voltage_&#1056;&#1057;&#1057;_&#1041;&#1091;&#1088;&#1103;&#1082;/&#1058;&#1050;&#1055;_432_25_&#1089;&#1090;&#1072;&#1090;&#1091;&#1089;.xlsm" TargetMode="External"/><Relationship Id="rId654" Type="http://schemas.openxmlformats.org/officeDocument/2006/relationships/hyperlink" Target="file:///\\fserv\e\MERA\TKP\TKP2026\tkp2026_209_&#1053;&#1048;&#1048;&#1052;&#1072;&#1096;_&#1040;&#1057;&#1048;&#1080;&#1059;_&#1053;&#1048;&#1050;-101_&#1056;&#1057;&#1057;_&#1052;&#1072;&#1088;&#1090;&#1099;&#1085;&#1086;&#1074;\" TargetMode="External"/><Relationship Id="rId696" Type="http://schemas.openxmlformats.org/officeDocument/2006/relationships/hyperlink" Target="..\..\..\..\TKP\TKP2026\tkp2026_342_&#1057;&#1080;&#1083;&#1086;&#1074;&#1099;&#1077;_&#1084;&#1072;&#1096;&#1080;&#1085;&#1099;_&#1050;&#1048;_&#1044;&#1060;&#1052;_&#1056;&#1057;&#1057;_&#1052;&#1077;&#1083;&#1080;&#1093;&#1086;&#1074;\&#1058;&#1050;&#1055;_342_26_&#1089;&#1090;&#1072;&#1090;&#1091;&#1089;.xlsm" TargetMode="External"/><Relationship Id="rId46" Type="http://schemas.openxmlformats.org/officeDocument/2006/relationships/hyperlink" Target="..\..\..\..\TKP\TKP2023\tkp2023_205_&#1062;&#1048;&#1040;&#1052;_MIC-170_&#1062;-3_&#1045;&#1078;&#1086;&#1074;&#1072;\" TargetMode="External"/><Relationship Id="rId293" Type="http://schemas.openxmlformats.org/officeDocument/2006/relationships/hyperlink" Target="../../../../TKP/TKP2024/tkp2024_410_&#1059;&#1047;&#1043;&#1040;_&#1069;&#1084;&#1091;&#1083;&#1103;&#1090;&#1086;&#1088;_&#1087;&#1080;&#1083;&#1086;&#1090;&#1072;_&#1040;&#1055;&#1044;-300_&#1052;&#1077;&#1083;&#1080;&#1093;&#1086;&#1074;/" TargetMode="External"/><Relationship Id="rId307" Type="http://schemas.openxmlformats.org/officeDocument/2006/relationships/hyperlink" Target="..\..\..\..\TKP\TKP2024\tkp2024_434_&#1054;&#1044;&#1050;_&#1057;&#1072;&#1090;&#1091;&#1088;&#1085;_&#1055;&#1091;&#1083;&#1100;&#1090;&#1099;_&#1040;&#1048;&#1059;&#1057;_&#1052;&#1077;&#1083;&#1080;&#1093;&#1086;&#1074;\&#1058;&#1050;&#1055;_434_24_&#1089;&#1090;&#1072;&#1090;&#1091;&#1089;.xlsm" TargetMode="External"/><Relationship Id="rId349" Type="http://schemas.openxmlformats.org/officeDocument/2006/relationships/hyperlink" Target="../../../../TKP/TKP2024/tkp2024_431_Kingsly_MIC-553_&#1041;&#1091;&#1088;&#1103;&#1082;/" TargetMode="External"/><Relationship Id="rId514" Type="http://schemas.openxmlformats.org/officeDocument/2006/relationships/hyperlink" Target="../../../../TKP/TKP2025/tkp2025_380_&#1057;&#1043;&#1040;&#1059;_&#1089;&#1090;&#1077;&#1085;&#1076;&#1099;_&#1080;&#1089;&#1087;&#1099;&#1090;&#1072;&#1085;&#1080;&#1081;_&#1052;&#1043;&#1058;&#1044;_200H_&#1052;&#1077;&#1083;&#1080;&#1093;&#1086;&#1074;/&#1058;&#1050;&#1055;_380_25_&#1089;&#1090;&#1072;&#1090;&#1091;&#1089;.xlsm" TargetMode="External"/><Relationship Id="rId556" Type="http://schemas.openxmlformats.org/officeDocument/2006/relationships/hyperlink" Target="../../../../TKP/TKP2023/tkp2023_391_&#1053;&#1048;&#1048;_&#1055;&#1061;_&#1050;&#1072;&#1073;&#1077;&#1083;&#1080;_&#1052;&#1072;&#1089;&#1083;&#1086;&#1074;&#1072;/&#1058;&#1050;&#1055;_391_23_&#1089;&#1090;&#1072;&#1090;&#1091;&#1089;.xlsm" TargetMode="External"/><Relationship Id="rId721" Type="http://schemas.openxmlformats.org/officeDocument/2006/relationships/hyperlink" Target="file:///\\fserv\e\MERA\TKP\TKP2026\tkp2026_384_&#1060;&#1062;&#1044;&#1058;%20&#1057;&#1086;&#1102;&#1079;_&#1057;&#1048;&#1055;&#1055;_&#1094;&#1077;&#1093;&#1072;_301_&#1052;&#1077;&#1083;&#1080;&#1093;&#1086;&#1074;\" TargetMode="External"/><Relationship Id="rId88" Type="http://schemas.openxmlformats.org/officeDocument/2006/relationships/hyperlink" Target="../../../../TKP/TKP2023/tkp2023_286_&#1050;&#1041;&#1061;&#1052;_&#1091;&#1090;&#1074;.&#1090;&#1080;&#1087;&#1072;&#1057;&#1048;_&#1079;.2850_&#1045;&#1078;&#1086;&#1074;&#1072;/&#1058;&#1050;&#1055;_286_23_&#1089;&#1090;&#1072;&#1090;&#1091;&#1089;.xlsm" TargetMode="External"/><Relationship Id="rId111" Type="http://schemas.openxmlformats.org/officeDocument/2006/relationships/hyperlink" Target="..\..\..\..\TKP\TKP2023\tkp2023_432_&#1043;&#1050;&#1053;&#1055;&#1062;%20&#1061;&#1088;&#1091;&#1085;&#1080;&#1095;&#1077;&#1074;&#1072;_&#1057;&#1080;&#1089;&#1090;&#1077;&#1084;&#1072;_&#1080;&#1079;&#1084;&#1077;&#1088;&#1077;&#1085;&#1080;&#1103;_&#1052;&#1072;&#1088;&#1090;&#1099;&#1085;&#1086;&#1074;\&#1058;&#1050;&#1055;_432_23_&#1089;&#1090;&#1072;&#1090;&#1091;&#1089;.xlsm" TargetMode="External"/><Relationship Id="rId153" Type="http://schemas.openxmlformats.org/officeDocument/2006/relationships/hyperlink" Target="..\..\..\..\TKP\TKP2023\tkp2023_450_&#1053;&#1048;&#1048;&#1055;&#1052;_MIC-236_&#1045;&#1078;&#1086;&#1074;&#1072;\" TargetMode="External"/><Relationship Id="rId195" Type="http://schemas.openxmlformats.org/officeDocument/2006/relationships/hyperlink" Target="../../../../TKP/TKP2022/tkp2022_194_&#1050;&#1088;&#1086;&#1085;&#1096;&#1090;&#1072;&#1076;&#1090;_&#1058;&#1054;_&#1074;&#1080;&#1085;&#1090;&#1086;&#1074;&#1099;&#1077;%20&#1089;&#1090;&#1077;&#1085;&#1076;&#1099;_&#1045;&#1078;&#1086;&#1074;&#1072;/" TargetMode="External"/><Relationship Id="rId209" Type="http://schemas.openxmlformats.org/officeDocument/2006/relationships/hyperlink" Target="../../../../TKP/TKP2024/tkp2024_148_&#1048;&#1082;&#1072;&#1088;_&#1087;&#1086;&#1088;&#1096;&#1085;&#1077;&#1074;&#1099;&#1077;%20&#1076;&#1074;&#1080;&#1075;&#1072;&#1090;&#1077;&#1083;&#1080;_70-200_&#1052;&#1072;&#1089;&#1083;&#1086;&#1074;&#1072;/&#1058;&#1050;&#1055;_148_24_&#1089;&#1090;&#1072;&#1090;&#1091;&#1089;.xlsm" TargetMode="External"/><Relationship Id="rId360" Type="http://schemas.openxmlformats.org/officeDocument/2006/relationships/hyperlink" Target="..\..\..\..\TKP\TKP2024\tkp2024_461_&#1050;&#1041;&#1061;&#1052;_&#1056;&#1052;8_&#1056;&#1057;&#1057;_&#1052;&#1077;&#1083;&#1080;&#1093;&#1086;&#1074;\&#1058;&#1050;&#1055;_461_24_&#1089;&#1090;&#1072;&#1090;&#1091;&#1089;.xlsm" TargetMode="External"/><Relationship Id="rId416" Type="http://schemas.openxmlformats.org/officeDocument/2006/relationships/hyperlink" Target="../../../../TKP/TKP2025/tkp2025_220_Kingsly_64_chanel_DAS_&#1056;&#1057;&#1057;_&#1041;&#1091;&#1088;&#1103;&#1082;/&#1058;&#1050;&#1055;_220_25_&#1089;&#1090;&#1072;&#1090;&#1091;&#1089;.xlsm" TargetMode="External"/><Relationship Id="rId598" Type="http://schemas.openxmlformats.org/officeDocument/2006/relationships/hyperlink" Target="file:///\\fserv\e\MERA\TKP\TKP2026\tkp2026_045_&#1050;&#1041;&#1061;&#1052;_MIC-553_&#1052;&#1077;&#1083;&#1080;&#1093;&#1086;&#1074;\" TargetMode="External"/><Relationship Id="rId220" Type="http://schemas.openxmlformats.org/officeDocument/2006/relationships/hyperlink" Target="../../../../TKP/TKP2024/tkp2024_173_&#1062;&#1048;&#1040;&#1052;_&#1082;&#1086;&#1084;&#1087;&#1083;&#1077;&#1082;&#1090;%20&#1076;&#1083;&#1103;%20&#1087;&#1086;&#1074;&#1077;&#1088;&#1082;&#1080;_&#1052;&#1072;&#1089;&#1083;&#1086;&#1074;&#1072;/" TargetMode="External"/><Relationship Id="rId458" Type="http://schemas.openxmlformats.org/officeDocument/2006/relationships/hyperlink" Target="..\..\..\..\TKP\TKP2025\tkp2025_304_&#1050;&#1041;&#1061;&#1040;_&#1089;&#1090;&#1077;&#1085;&#1076;%20&#8470;50_&#1056;&#1057;&#1057;_&#1052;&#1077;&#1083;&#1080;&#1093;&#1086;&#1074;\&#1058;&#1050;&#1055;_304_25_&#1089;&#1090;&#1072;&#1090;&#1091;&#1089;.xlsm" TargetMode="External"/><Relationship Id="rId623" Type="http://schemas.openxmlformats.org/officeDocument/2006/relationships/hyperlink" Target="file:///\\fserv\e\MERA\TKP\TKP2026\tkp2026_050_&#1040;&#1054;_&#1052;&#1045;&#1058;&#1056;&#1054;&#1042;&#1040;&#1043;&#1054;&#1053;&#1052;&#1040;&#1064;_&#1056;&#1057;&#1057;_&#1090;&#1077;&#1089;&#1090;&#1077;&#1088;_&#1052;&#1077;&#1083;&#1080;&#1093;&#1086;&#1074;\" TargetMode="External"/><Relationship Id="rId665" Type="http://schemas.openxmlformats.org/officeDocument/2006/relationships/hyperlink" Target="../../../../TKP/TKP2026/tkp2026_262_&#1057;&#1080;&#1083;&#1086;&#1074;&#1099;&#1077;_&#1084;&#1072;&#1096;&#1080;&#1085;&#1099;_&#1051;&#1077;&#1085;&#1080;&#1085;&#1075;&#1088;&#1072;&#1076;&#1089;&#1082;&#1072;&#1103;_&#1040;&#1069;&#1057;-2_&#1057;&#1050;&#1042;&#1051;_&#1056;&#1057;&#1057;_&#1041;&#1091;&#1088;&#1103;&#1082;/&#1058;&#1050;&#1055;_262_26_&#1089;&#1090;&#1072;&#1090;&#1091;&#1089;.xlsm" TargetMode="External"/><Relationship Id="rId15" Type="http://schemas.openxmlformats.org/officeDocument/2006/relationships/hyperlink" Target="..\..\..\..\TKP\TKP2023\tkp2023_048_&#1050;&#1041;&#1061;&#1052;_&#1057;&#1080;&#1089;&#1090;&#1077;&#1084;&#1099;_&#1091;&#1087;&#1088;&#1072;&#1074;&#1083;&#1077;&#1085;&#1080;&#1103;_&#1053;&#1048;&#1054;-9_&#1056;&#1052;6_&#1057;&#1059;_&#1056;&#1057;&#1057;_&#1052;&#1077;&#1083;&#1080;&#1093;&#1086;&#1074;" TargetMode="External"/><Relationship Id="rId57" Type="http://schemas.openxmlformats.org/officeDocument/2006/relationships/hyperlink" Target="..\..\..\..\TKP\TKP2023\tkp2023_244_&#1040;&#1083;&#1100;&#1074;&#1077;&#1082;&#1089;_MIC-335&#1052;_&#1045;&#1078;&#1086;&#1074;&#1072;\" TargetMode="External"/><Relationship Id="rId262" Type="http://schemas.openxmlformats.org/officeDocument/2006/relationships/hyperlink" Target="../../../../TKP/TKP2024/tkp2024_312_&#1058;&#1088;&#1072;&#1085;&#1089;&#1053;&#1077;&#1092;&#1090;&#1100;_MIC-236_&#1052;&#1077;&#1083;&#1080;&#1093;&#1086;&#1074;/&#1058;&#1050;&#1055;_312_24_&#1089;&#1090;&#1072;&#1090;&#1091;&#1089;.xlsm" TargetMode="External"/><Relationship Id="rId318" Type="http://schemas.openxmlformats.org/officeDocument/2006/relationships/hyperlink" Target="../../../../TKP/TKP2024/tkp2024_477_&#1062;&#1048;&#1040;&#1052;_&#1076;&#1086;&#1088;&#1072;&#1073;&#1086;&#1090;&#1082;&#1072;_&#1089;&#1090;&#1077;&#1085;&#1076;&#1072;_&#1062;4&#1053;_&#1052;&#1077;&#1083;&#1080;&#1093;&#1086;&#1074;/&#1058;&#1050;&#1055;_477_24_&#1089;&#1090;&#1072;&#1090;&#1091;&#1089;.xlsm" TargetMode="External"/><Relationship Id="rId525" Type="http://schemas.openxmlformats.org/officeDocument/2006/relationships/hyperlink" Target="../../../../TKP/TKP2024/tkp2024_392_&#1054;&#1050;&#1041;&#1052;_&#1040;&#1092;&#1088;&#1080;&#1082;&#1072;&#1085;&#1090;&#1086;&#1074;&#1072;_&#1056;&#1057;&#1057;_&#1052;&#1077;&#1083;&#1080;&#1093;&#1086;&#1074;/&#1058;&#1050;&#1055;_392_24_&#1089;&#1090;&#1072;&#1090;&#1091;&#1089;.xlsm" TargetMode="External"/><Relationship Id="rId567" Type="http://schemas.openxmlformats.org/officeDocument/2006/relationships/hyperlink" Target="../../../../TKP/TKP2024/tkp2024_174_&#1057;&#1080;&#1083;&#1086;&#1074;&#1099;&#1077;%20&#1084;&#1072;&#1096;&#1080;&#1085;&#1099;_mic-1200_&#1043;&#1058;&#1069;-170.2_&#1045;&#1078;&#1086;&#1074;&#1072;/&#1058;&#1050;&#1055;_174_24_&#1089;&#1090;&#1072;&#1090;&#1091;&#1089;.xlsm" TargetMode="External"/><Relationship Id="rId732" Type="http://schemas.openxmlformats.org/officeDocument/2006/relationships/hyperlink" Target="file:///\\Fserv\e\MERA\TKP\TKP2026\tkp2026_433_&#1050;&#1053;&#1048;&#1058;&#1059;-&#1050;&#1040;&#1048;_&#1048;&#1048;&#1057;_&#1089;&#1090;&#1077;&#1085;&#1076;&#1072;_&#1080;&#1089;&#1087;._&#1087;&#1086;&#1083;&#1086;&#1079;&#1082;&#1086;&#1074;&#1086;&#1075;&#1086;_&#1096;&#1072;&#1089;&#1089;&#1080;_&#1074;&#1077;&#1088;&#1090;&#1086;&#1083;&#1077;&#1090;&#1086;&#1074;_&#1056;&#1057;&#1057;_&#1041;&#1091;&#1088;&#1103;&#1082;\&#1058;&#1050;&#1055;_433_26_&#1089;&#1090;&#1072;&#1090;&#1091;&#1089;.xlsm" TargetMode="External"/><Relationship Id="rId99" Type="http://schemas.openxmlformats.org/officeDocument/2006/relationships/hyperlink" Target="..\..\..\..\TKP\TKP2023\tkp2023_048_&#1050;&#1041;&#1061;&#1052;_&#1057;&#1080;&#1089;&#1090;&#1077;&#1084;&#1099;_&#1091;&#1087;&#1088;&#1072;&#1074;&#1083;&#1077;&#1085;&#1080;&#1103;_&#1053;&#1048;&#1054;-9_&#1056;&#1052;6_&#1057;&#1059;_&#1056;&#1057;&#1057;_&#1052;&#1077;&#1083;&#1080;&#1093;&#1086;&#1074;\&#1058;&#1050;&#1055;_048_23_&#1089;&#1090;&#1072;&#1090;&#1091;&#1089;.xlsm" TargetMode="External"/><Relationship Id="rId122" Type="http://schemas.openxmlformats.org/officeDocument/2006/relationships/hyperlink" Target="../../../../TKP/TKP2023/tkp2023_492_&#1050;&#1088;&#1086;&#1085;&#1096;&#1090;&#1072;&#1076;&#1090;_&#1089;&#1090;&#1077;&#1085;&#1076;&#1086;&#1074;&#1072;&#1103;_&#1048;&#1057;_&#1045;&#1078;&#1086;&#1074;&#1072;/&#1058;&#1050;&#1055;_492_23_&#1089;&#1090;&#1072;&#1090;&#1091;&#1089;.xlsm" TargetMode="External"/><Relationship Id="rId164" Type="http://schemas.openxmlformats.org/officeDocument/2006/relationships/hyperlink" Target="../../../../TKP/TKP2024/tkp2024_022_Kingsly_MIC-355M_&#1045;&#1078;&#1086;&#1074;&#1072;/" TargetMode="External"/><Relationship Id="rId371" Type="http://schemas.openxmlformats.org/officeDocument/2006/relationships/hyperlink" Target="../../../../TKP/TKP2024/tkp2024_455_&#1050;&#1053;&#1048;&#1058;&#1059;%20&#1050;&#1040;&#1048;_10%20&#1082;&#1072;&#1085;%20&#1089;&#1090;&#1072;&#1090;%20&#1085;&#1072;&#1075;&#1088;&#1091;&#1078;&#1077;&#1085;&#1080;&#1103;_&#1056;&#1057;&#1057;/&#1058;&#1050;&#1055;_455_24_&#1089;&#1090;&#1072;&#1090;&#1091;&#1089;.xlsm" TargetMode="External"/><Relationship Id="rId427" Type="http://schemas.openxmlformats.org/officeDocument/2006/relationships/hyperlink" Target="../../../../TKP/TKP2025/tkp2025_244_&#1051;&#1048;&#1048;&#1055;%20&#1080;&#1084;.%20&#1043;&#1088;&#1080;&#1079;&#1086;&#1076;&#1091;&#1073;&#1086;&#1074;&#1086;&#1081;_&#1048;&#1089;&#1087;&#1099;&#1090;&#1072;&#1085;&#1080;&#1103;%20&#1043;&#1058;&#1044;_&#1056;&#1057;&#1057;_&#1041;&#1091;&#1088;&#1103;&#1082;/" TargetMode="External"/><Relationship Id="rId469" Type="http://schemas.openxmlformats.org/officeDocument/2006/relationships/hyperlink" Target="..\..\..\..\TKP\TKP2025\tkp2025_325_&#1050;&#1040;&#1052;&#1040;&#1047;_&#1057;&#1090;&#1077;&#1085;&#1076;_&#1080;&#1089;&#1087;&#1099;&#1090;&#1072;&#1085;&#1080;&#1103;_&#1095;&#1077;&#1090;&#1099;&#1088;&#1077;&#1093;&#1086;&#1089;&#1085;&#1099;&#1081;_&#1052;&#1077;&#1083;&#1080;&#1093;&#1086;&#1074;\&#1058;&#1050;&#1055;_325_25_&#1089;&#1090;&#1072;&#1090;&#1091;&#1089;.xlsm" TargetMode="External"/><Relationship Id="rId634" Type="http://schemas.openxmlformats.org/officeDocument/2006/relationships/hyperlink" Target="../../../../TKP/TKP2026/tkp2026_045_&#1050;&#1041;&#1061;&#1052;_MIC-553_&#1052;&#1077;&#1083;&#1080;&#1093;&#1086;&#1074;/&#1058;&#1050;&#1055;_045_26_&#1089;&#1090;&#1072;&#1090;&#1091;&#1089;.xlsm" TargetMode="External"/><Relationship Id="rId676" Type="http://schemas.openxmlformats.org/officeDocument/2006/relationships/hyperlink" Target="file:///\\fserv\e\MERA\TKP\TKP2025\tkp2025_611_&#1053;&#1055;&#1054;_&#1051;&#1072;&#1074;&#1086;&#1095;&#1082;&#1080;&#1085;&#1072;_&#1062;&#1080;&#1085;&#1090;&#1088;&#1080;&#1092;&#1091;&#1075;&#1072;_&#1057;&#1048;_(&#1073;&#1088;&#1086;&#1089;&#1082;&#1086;&#1074;&#1099;&#1077;_&#1080;&#1089;&#1087;&#1099;&#1090;&#1072;&#1085;&#1080;&#1103;)_&#1052;&#1072;&#1088;&#1090;&#1099;&#1085;&#1086;&#1074;\" TargetMode="External"/><Relationship Id="rId26" Type="http://schemas.openxmlformats.org/officeDocument/2006/relationships/hyperlink" Target="..\..\..\..\TKP\TKP2023\tkp2023_154_&#1043;&#1072;&#1079;&#1087;&#1088;&#1086;&#1084;_&#1076;&#1086;&#1073;&#1099;&#1095;&#1072;_&#1048;&#1088;&#1082;&#1091;&#1090;&#1089;&#1082;_MIC-355_&#1052;&#1077;&#1083;&#1080;&#1093;&#1086;&#1074;\" TargetMode="External"/><Relationship Id="rId231" Type="http://schemas.openxmlformats.org/officeDocument/2006/relationships/hyperlink" Target="../../../../TKP/TKP2024/tkp2024_190_&#1053;&#1048;&#1048;&#1084;&#1072;&#1096;_&#1057;&#1080;&#1083;&#1086;&#1080;&#1079;&#1084;&#1077;&#1088;&#1080;&#1090;&#1077;&#1083;&#1100;&#1085;&#1086;&#1077;_&#1091;&#1089;&#1090;&#1088;&#1086;&#1081;&#1089;&#1090;&#1074;&#1086;_&#1041;&#1091;&#1088;&#1103;&#1082;/&#1058;&#1050;&#1055;_190_24_&#1089;&#1090;&#1072;&#1090;&#1091;&#1089;.xlsm" TargetMode="External"/><Relationship Id="rId273" Type="http://schemas.openxmlformats.org/officeDocument/2006/relationships/hyperlink" Target="../../../../TKP/TKP2024/tkp2024_156_&#1048;&#1082;&#1072;&#1088;_&#1087;&#1086;&#1088;&#1096;&#1085;&#1077;&#1074;&#1099;&#1077;%20&#1076;&#1074;&#1080;&#1075;&#1072;&#1090;&#1077;&#1083;&#1080;_3-10_&#1052;&#1077;&#1083;&#1080;&#1093;&#1086;&#1074;/&#1058;&#1050;&#1055;_156_24_&#1089;&#1090;&#1072;&#1090;&#1091;&#1089;.xlsm" TargetMode="External"/><Relationship Id="rId329" Type="http://schemas.openxmlformats.org/officeDocument/2006/relationships/hyperlink" Target="..\..\..\..\TKP\TKP2024\tkp2024_473_&#1054;&#1044;&#1050;-&#1057;&#1072;&#1090;&#1091;&#1088;&#1085;_&#1044;&#1080;&#1072;&#1075;&#1085;&#1086;&#1089;&#1090;&#1080;&#1082;&#1072;%20&#1087;&#1086;&#1076;&#1096;&#1080;&#1087;&#1085;&#1080;&#1082;&#1086;&#1074;_&#1041;&#1091;&#1088;&#1103;&#1082;\&#1058;&#1050;&#1055;_473_24_&#1089;&#1090;&#1072;&#1090;&#1091;&#1089;.xlsm" TargetMode="External"/><Relationship Id="rId480" Type="http://schemas.openxmlformats.org/officeDocument/2006/relationships/hyperlink" Target="../../../../TKP/TKP2025/tkp2025_408_&#1040;&#1054;%20&#1044;&#1059;&#1050;&#1057;_&#1052;&#1077;&#1083;&#1080;&#1093;&#1086;&#1074;_&#1056;&#1057;&#1057;/" TargetMode="External"/><Relationship Id="rId536" Type="http://schemas.openxmlformats.org/officeDocument/2006/relationships/hyperlink" Target="../../../../TKP/TKP2025/tkp2025_564_&#1053;&#1048;&#1050;&#1048;&#1069;&#1058;_&#1040;&#1085;&#1072;&#1083;&#1086;&#1075;_ONYX_&#1052;&#1077;&#1083;&#1080;&#1093;&#1086;&#1074;/&#1058;&#1050;&#1055;_564_25_&#1089;&#1090;&#1072;&#1090;&#1091;&#1089;.xlsm" TargetMode="External"/><Relationship Id="rId701" Type="http://schemas.openxmlformats.org/officeDocument/2006/relationships/hyperlink" Target="file:///\\fserv\e\MERA\TKP\TKP2026\tkp2026_347_&#1056;&#1060;&#1071;&#1062;_&#1042;&#1053;&#1048;&#1048;&#1058;&#1060;_&#1040;&#1048;&#1057;_&#1056;&#1057;&#1057;_&#1040;&#1085;&#1090;&#1080;&#1087;&#1077;&#1085;&#1082;&#1086;\" TargetMode="External"/><Relationship Id="rId68" Type="http://schemas.openxmlformats.org/officeDocument/2006/relationships/hyperlink" Target="..\..\..\..\TKP\TKP2023\tkp2023_253_&#1053;&#1048;&#1062;_&#1056;&#1050;&#1055;_&#1050;&#1088;&#1072;&#1089;&#1084;&#1072;&#1096;_&#1050;&#1048;&#1042;&#1048;&#1048;&#1057;-2_&#1057;&#1085;&#1099;&#1075;&#1080;&#1085;&#1072;\&#1058;&#1050;&#1055;_253_23_&#1089;&#1090;&#1072;&#1090;&#1091;&#1089;.xlsm" TargetMode="External"/><Relationship Id="rId133" Type="http://schemas.openxmlformats.org/officeDocument/2006/relationships/hyperlink" Target="../../../../TKP/TKP2023/tkp2023_163_&#1051;-&#1089;&#1082;&#1072;&#1076;&#1072;_&#1089;&#1090;&#1077;&#1085;&#1076;&#1099;_10_11_&#1040;&#1048;&#1048;&#1057;+&#1044;&#1080;&#1085;&#1072;&#1084;&#1080;&#1082;&#1072;_&#1057;&#1087;&#1080;&#1088;&#1080;&#1076;&#1086;&#1085;&#1089;&#1082;&#1080;&#1081;/&#1058;&#1050;&#1055;_163_23_&#1089;&#1090;&#1072;&#1090;&#1091;&#1089;.xlsm" TargetMode="External"/><Relationship Id="rId175" Type="http://schemas.openxmlformats.org/officeDocument/2006/relationships/hyperlink" Target="../../../../TKP/TKP2024/tkp2024_046_&#1050;&#1041;&#1061;M_MIC-236_MIC-553_&#1045;&#1078;&#1086;&#1074;&#1072;/&#1058;&#1050;&#1055;_046_24_&#1089;&#1090;&#1072;&#1090;&#1091;&#1089;.xlsm" TargetMode="External"/><Relationship Id="rId340" Type="http://schemas.openxmlformats.org/officeDocument/2006/relationships/hyperlink" Target="../../../../TKP/TKP2025/tkp2025_002_Kingsly_16%20channels%20LEOS%20ISRO_&#1056;&#1057;&#1057;_&#1041;&#1091;&#1088;&#1103;&#1082;/&#1058;&#1050;&#1055;_006_25_&#1089;&#1090;&#1072;&#1090;&#1091;&#1089;.xlsm" TargetMode="External"/><Relationship Id="rId578" Type="http://schemas.openxmlformats.org/officeDocument/2006/relationships/hyperlink" Target="..\..\..\..\TKP\TKP2026\tkp2026_005_&#1051;&#1048;&#1040;&#1047;_&#1053;&#1072;&#1075;&#1088;&#1091;&#1079;&#1086;&#1095;&#1085;&#1099;&#1077;%20&#1080;&#1089;&#1087;&#1099;&#1090;&#1072;&#1085;&#1080;&#1103;_&#1056;&#1057;&#1057;\&#1058;&#1050;&#1055;_005_26_&#1089;&#1090;&#1072;&#1090;&#1091;&#1089;.xlsm" TargetMode="External"/><Relationship Id="rId743" Type="http://schemas.openxmlformats.org/officeDocument/2006/relationships/ctrlProp" Target="../ctrlProps/ctrlProp1.xml"/><Relationship Id="rId200" Type="http://schemas.openxmlformats.org/officeDocument/2006/relationships/hyperlink" Target="../../../../TKP/TKP2024/tkp2024_134_&#1062;&#1048;&#1040;&#1052;_&#1090;&#1077;&#1085;&#1079;&#1086;&#1089;&#1090;&#1072;&#1085;&#1094;&#1080;&#1103;_&#1052;&#1072;&#1089;&#1083;&#1086;&#1074;&#1072;/" TargetMode="External"/><Relationship Id="rId382" Type="http://schemas.openxmlformats.org/officeDocument/2006/relationships/hyperlink" Target="../../../../TKP/TKP2025/tkp2025_117_&#1057;&#1080;&#1083;&#1086;&#1074;&#1099;&#1077;_&#1084;&#1072;&#1096;&#1080;&#1085;&#1099;_&#1051;&#1052;&#1047;_&#1057;&#1050;&#1042;&#1051;_&#1056;&#1057;&#1057;_&#1041;&#1091;&#1088;&#1103;&#1082;/&#1058;&#1050;&#1055;_117_25_&#1089;&#1090;&#1072;&#1090;&#1091;&#1089;.xlsm" TargetMode="External"/><Relationship Id="rId438" Type="http://schemas.openxmlformats.org/officeDocument/2006/relationships/hyperlink" Target="../../../../TKP/TKP2025/tkp2025_257_&#1055;&#1050;_&#1057;&#1072;&#1083;&#1102;&#1090;_&#1040;&#1101;&#1088;&#1086;&#1076;&#1080;&#1085;&#1072;&#1084;&#1080;&#1095;&#1077;&#1089;&#1082;&#1080;&#1081;_&#1088;&#1072;&#1089;&#1095;&#1077;&#1090;_&#1073;&#1086;&#1082;&#1089;&#1072;_&#1056;&#1057;&#1057;_&#1041;&#1091;&#1088;&#1103;&#1082;/&#1058;&#1050;&#1055;_257_25_&#1089;&#1090;&#1072;&#1090;&#1091;&#1089;.xlsm" TargetMode="External"/><Relationship Id="rId603" Type="http://schemas.openxmlformats.org/officeDocument/2006/relationships/hyperlink" Target="file:///\\fserv\e\MERA\TKP\TKP2025\tkp2025_630_&#1052;&#1040;&#1048;%20&#1050;&#1086;&#1084;&#1089;&#1086;&#1084;&#1086;&#1083;&#1100;&#1089;&#1082;_&#1055;&#1086;&#1074;&#1090;&#1086;&#1088;&#1085;&#1086;%20&#1089;&#1090;&#1072;&#1090;&#1080;&#1095;&#1077;&#1089;&#1082;&#1080;&#1077;%20&#1080;&#1089;&#1087;&#1099;&#1090;&#1072;&#1085;&#1080;&#1103;_&#1056;&#1057;&#1057;_&#1052;&#1077;&#1083;&#1080;&#1093;&#1086;&#1074;\" TargetMode="External"/><Relationship Id="rId645" Type="http://schemas.openxmlformats.org/officeDocument/2006/relationships/hyperlink" Target="../../../../TKP/TKP2026/tkp2026_178_&#1050;&#1041;&#1061;&#1052;_MIC-553_MIC-236_&#1056;&#1057;&#1057;_&#1048;&#1074;&#1072;&#1085;&#1086;&#1074;&#1072;/&#1058;&#1050;&#1055;_178_26_&#1089;&#1090;&#1072;&#1090;&#1091;&#1089;.xlsm" TargetMode="External"/><Relationship Id="rId687" Type="http://schemas.openxmlformats.org/officeDocument/2006/relationships/hyperlink" Target="../../../../TKP/TKP2026/tkp2026_320_&#1053;&#1045;%20&#1040;&#1050;&#1058;&#1059;&#1040;&#1051;&#1068;&#1053;&#1054;_&#1040;&#1054;%20&#171;&#1050;&#1086;&#1085;&#1094;&#1077;&#1088;&#1085;%20&#1056;&#1086;&#1089;&#1101;&#1085;&#1077;&#1088;&#1075;&#1086;&#1072;&#1090;&#1086;&#1084;&#187;_&#1057;&#1084;&#1086;&#1083;&#1077;&#1085;&#1089;&#1082;&#1072;&#1103;_&#1040;&#1069;&#1057;-2_&#1048;&#1074;&#1072;&#1085;&#1086;&#1074;&#1072;/&#1058;&#1050;&#1055;_320_26_&#1089;&#1090;&#1072;&#1090;&#1091;&#1089;.xlsm" TargetMode="External"/><Relationship Id="rId242" Type="http://schemas.openxmlformats.org/officeDocument/2006/relationships/hyperlink" Target="../../../../TKP/TKP2022/tkp2022_447_&#1054;&#1044;&#1050;_&#1057;&#1072;&#1090;&#1091;&#1088;&#1085;_&#1057;&#1057;&#1044;&#1059;-&#1047;&#1051;&#1050;_&#1045;&#1078;&#1086;&#1074;&#1072;_&#1056;&#1057;&#1057;/" TargetMode="External"/><Relationship Id="rId284" Type="http://schemas.openxmlformats.org/officeDocument/2006/relationships/hyperlink" Target="../../../../TKP/TKP2022/tkp2022_511_&#1040;&#1074;&#1072;&#1085;&#1075;&#1072;&#1088;&#1076;_&#1057;&#1090;&#1077;&#1085;&#1076;_&#1080;&#1089;&#1087;&#1099;&#1090;&#1072;&#1085;&#1080;&#1103;_&#1082;&#1086;&#1088;&#1087;&#1091;&#1089;&#1086;&#1074;_&#1052;&#1077;&#1083;&#1080;&#1093;&#1086;&#1074;/" TargetMode="External"/><Relationship Id="rId491" Type="http://schemas.openxmlformats.org/officeDocument/2006/relationships/hyperlink" Target="../../../../TKP/TKP2021/tkp2021_596_&#1057;&#1048;&#1057;60&#1082;&#1075;_&#1050;&#1041;&#1061;&#1052;_&#1056;&#1057;&#1057;/" TargetMode="External"/><Relationship Id="rId505" Type="http://schemas.openxmlformats.org/officeDocument/2006/relationships/hyperlink" Target="../../../../TKP/TKP2023/tkp2023_498_&#1051;&#1052;&#1047;_MIC-356_1150_&#1052;&#1072;&#1089;&#1083;&#1086;&#1074;&#1072;/" TargetMode="External"/><Relationship Id="rId712" Type="http://schemas.openxmlformats.org/officeDocument/2006/relationships/hyperlink" Target="../../../../TKP/TKP2026/tkp2026_356_&#1053;&#1048;&#1062;_&#1056;&#1050;&#1055;_&#1048;&#1057;-102_&#1050;&#1088;&#1080;&#1086;&#1075;&#1077;&#1085;&#1084;&#1072;&#1096;_&#1040;&#1085;&#1090;&#1080;&#1087;&#1077;&#1085;&#1082;&#1086;/&#1058;&#1050;&#1055;_356_26_&#1089;&#1090;&#1072;&#1090;&#1091;&#1089;.xlsm" TargetMode="External"/><Relationship Id="rId37" Type="http://schemas.openxmlformats.org/officeDocument/2006/relationships/hyperlink" Target="..\..\..\..\TKP\TKP2023\tkp2023_134_&#1040;&#1092;&#1088;&#1080;&#1082;&#1072;&#1085;&#1090;&#1086;&#1074;_&#1074;&#1080;&#1073;&#1088;&#1086;&#1084;&#1086;&#1085;&#1080;&#1090;&#1086;&#1088;&#1080;&#1085;&#1075;%20&#1085;&#1072;&#1089;&#1086;&#1089;&#1086;&#1074;_&#1052;&#1077;&#1083;&#1080;&#1093;&#1086;&#1074;_&#1056;&#1057;&#1057;\&#1058;&#1050;&#1055;_134_23_&#1089;&#1090;&#1072;&#1090;&#1091;&#1089;.xlsm" TargetMode="External"/><Relationship Id="rId79" Type="http://schemas.openxmlformats.org/officeDocument/2006/relationships/hyperlink" Target="../../../../TKP/TKP2023/tkp2023_324_%20&#1050;&#1088;&#1086;&#1085;&#1096;&#1090;&#1072;&#1076;&#1090;_MIC-224_&#1045;&#1078;&#1086;&#1074;&#1072;/" TargetMode="External"/><Relationship Id="rId102" Type="http://schemas.openxmlformats.org/officeDocument/2006/relationships/hyperlink" Target="../../../../TKP/TKP2023/tkp2023_423_&#1050;&#1088;&#1072;&#1089;&#1052;&#1072;&#1096;_MIC-200_&#1052;&#1077;&#1083;&#1080;&#1093;&#1086;&#1074;/" TargetMode="External"/><Relationship Id="rId144" Type="http://schemas.openxmlformats.org/officeDocument/2006/relationships/hyperlink" Target="../../../../TKP/TKP2023/tkp2023_489_&#1050;&#1091;&#1088;&#1095;&#1072;&#1090;&#1086;&#1074;&#1089;&#1082;&#1080;&#1081;%20&#1080;&#1085;&#1089;&#1090;&#1080;&#1090;&#1091;&#1090;_&#1052;&#1057;&#1059;-1_&#1040;&#1057;&#1059;%20%20&#1057;&#1048;&#1053;_&#1040;&#1057;&#1059;%20&#1057;&#1050;&#1054;_&#1052;&#1072;&#1089;&#1083;&#1086;&#1074;&#1072;/" TargetMode="External"/><Relationship Id="rId547" Type="http://schemas.openxmlformats.org/officeDocument/2006/relationships/hyperlink" Target="../../../../TKP/TKP2025/tkp2025_590_&#1070;&#1059;&#1088;&#1043;&#1059;_&#1040;&#1085;&#1072;&#1083;&#1086;&#1075;%20LMS_&#1056;&#1057;&#1057;/" TargetMode="External"/><Relationship Id="rId589" Type="http://schemas.openxmlformats.org/officeDocument/2006/relationships/hyperlink" Target="..\..\..\..\TKP\TKP2026\tkp2026_044_&#1059;&#1047;&#1043;&#1040;_&#1042;&#1048;&#1050;%20&#1076;&#1083;&#1103;%20&#1089;&#1090;&#1077;&#1085;&#1076;&#1072;%20&#1057;&#1069;&#1057;_&#1056;&#1057;&#1057;\&#1058;&#1050;&#1055;_044_26_&#1089;&#1090;&#1072;&#1090;&#1091;&#1089;.xlsm" TargetMode="External"/><Relationship Id="rId90" Type="http://schemas.openxmlformats.org/officeDocument/2006/relationships/hyperlink" Target="../../../../TKP/TKP2023/tkp2023_362_&#1054;&#1044;&#1050;_&#1050;&#1083;&#1080;&#1084;&#1086;&#1074;_&#1069;&#1044;&#1057;&#1059;_&#1056;&#1059;&#1044;_&#1045;&#1078;&#1086;&#1074;&#1072;/&#1058;&#1050;&#1055;_362_23_&#1089;&#1090;&#1072;&#1090;&#1091;&#1089;.xlsm" TargetMode="External"/><Relationship Id="rId186" Type="http://schemas.openxmlformats.org/officeDocument/2006/relationships/hyperlink" Target="..\..\..\..\TKP\TKP2024\tkp2024_068_&#1054;&#1044;&#1050;%20&#1059;&#1052;&#1055;&#1054;_&#1040;&#1055;&#1044;%20&#1080;&#1089;&#1087;&#1099;&#1090;&#1072;&#1085;&#1080;&#1103;%20&#1087;&#1086;&#1088;&#1096;&#1085;&#1077;&#1074;&#1099;&#1093;%20&#1076;&#1074;&#1080;&#1075;&#1072;&#1090;&#1077;&#1083;&#1077;&#1081;_&#1052;&#1072;&#1089;&#1083;&#1086;&#1074;&#1072;\" TargetMode="External"/><Relationship Id="rId351" Type="http://schemas.openxmlformats.org/officeDocument/2006/relationships/hyperlink" Target="..\..\..\..\TKP\TKP2025\tkp2025_040_Kingsly_VSSC%20ISRO_&#1056;&#1057;&#1057;_&#1041;&#1091;&#1088;&#1103;&#1082;\" TargetMode="External"/><Relationship Id="rId393" Type="http://schemas.openxmlformats.org/officeDocument/2006/relationships/hyperlink" Target="../../../../TKP/TKP2024/tkp2024_334_&#1059;&#1047;&#1043;&#1040;_&#1040;&#1055;&#1044;-500_2_&#1089;&#1090;&#1077;&#1085;&#1076;&#1072;_&#1056;&#1057;&#1057;_&#1041;&#1091;&#1088;&#1103;&#1082;/&#1058;&#1050;&#1055;_334_24_&#1089;&#1090;&#1072;&#1090;&#1091;&#1089;.xlsm" TargetMode="External"/><Relationship Id="rId407" Type="http://schemas.openxmlformats.org/officeDocument/2006/relationships/hyperlink" Target="../../../../TKP/TKP2022/tkp2022_264_&#1053;&#1055;&#1055;%20&#1047;&#1074;&#1077;&#1079;&#1076;&#1072;_&#1057;&#1090;&#1077;&#1085;&#1076;%20&#1040;&#1057;&#1057;_&#1052;&#1077;&#1083;&#1080;&#1093;&#1086;&#1074;/" TargetMode="External"/><Relationship Id="rId449" Type="http://schemas.openxmlformats.org/officeDocument/2006/relationships/hyperlink" Target="../../../../TKP/TKP2025/tkp2025_285_&#1062;&#1040;&#1043;&#1048;_&#1084;&#1086;&#1076;&#1072;&#1083;&#1100;&#1085;&#1099;&#1081;%20&#1074;&#1086;&#1079;&#1073;&#1091;&#1076;&#1080;&#1090;&#1077;&#1083;&#1100;%202500&#1053;_&#1056;&#1057;&#1057;_/&#1058;&#1050;&#1055;_285_25_&#1089;&#1090;&#1072;&#1090;&#1091;&#1089;.xlsm" TargetMode="External"/><Relationship Id="rId614" Type="http://schemas.openxmlformats.org/officeDocument/2006/relationships/hyperlink" Target="file:///\\fserv\e\MERA\TKP\TKP2024\tkp2024_461_&#1050;&#1041;&#1061;&#1052;_&#1056;&#1052;8_&#1056;&#1057;&#1057;_&#1052;&#1077;&#1083;&#1080;&#1093;&#1086;&#1074;\&#1058;&#1050;&#1055;_461_24_&#1089;&#1090;&#1072;&#1090;&#1091;&#1089;.xlsm" TargetMode="External"/><Relationship Id="rId656" Type="http://schemas.openxmlformats.org/officeDocument/2006/relationships/hyperlink" Target="file:///\\fserv\e\MERA\TKP\TKP2026\tkp2026_215_&#1057;&#1080;&#1083;&#1052;&#1072;&#1096;_&#1040;&#1085;&#1090;&#1080;&#1087;&#1077;&#1085;&#1082;&#1086;\" TargetMode="External"/><Relationship Id="rId211" Type="http://schemas.openxmlformats.org/officeDocument/2006/relationships/hyperlink" Target="../../../../TKP/TKP2024/tkp2024_135_&#1062;&#1048;&#1040;&#1052;_&#1056;&#1072;&#1079;&#1075;&#1086;&#1085;&#1085;&#1099;&#1081;%20&#1089;&#1090;&#1077;&#1085;&#1076;_&#1052;&#1072;&#1089;&#1083;&#1086;&#1074;&#1072;/&#1058;&#1050;&#1055;_135_24_&#1089;&#1090;&#1072;&#1090;&#1091;&#1089;.xlsm" TargetMode="External"/><Relationship Id="rId253" Type="http://schemas.openxmlformats.org/officeDocument/2006/relationships/hyperlink" Target="../../../../TKP/TKP2024/tkp2024_276_&#1059;&#1085;&#1080;&#1093;&#1080;&#1084;&#1090;&#1077;&#1082;_&#1055;&#1088;&#1086;&#1074;&#1077;&#1076;&#1077;&#1085;&#1080;&#1077;_&#1090;&#1077;&#1085;&#1079;&#1086;&#1080;&#1079;&#1084;&#1077;&#1088;&#1077;&#1085;&#1080;&#1081;_&#1041;&#1091;&#1088;&#1103;&#1082;" TargetMode="External"/><Relationship Id="rId295" Type="http://schemas.openxmlformats.org/officeDocument/2006/relationships/hyperlink" Target="../../../../TKP/TKP2024/tkp2024_418_&#1054;&#1044;&#1050;_&#1057;&#1072;&#1090;&#1091;&#1088;&#1085;_&#1040;&#1057;&#1059;&#1058;&#1055;&#1048;_(&#1089;&#1090;&#1077;&#1085;&#1076;&#1099;_26,_27,_28)_&#1052;&#1077;&#1083;&#1080;&#1093;&#1086;&#1074;/" TargetMode="External"/><Relationship Id="rId309" Type="http://schemas.openxmlformats.org/officeDocument/2006/relationships/hyperlink" Target="..\..\..\..\TKP\TKP2024\tkp2024_456_&#1043;&#1050;&#1053;&#1055;&#1062;%20&#1061;&#1088;&#1091;&#1085;&#1080;&#1095;&#1077;&#1074;&#1072;_&#1056;&#1057;&#1057;_&#1041;&#1091;&#1088;&#1103;&#1082;\&#1058;&#1050;&#1055;_456_24_&#1089;&#1090;&#1072;&#1090;&#1091;&#1089;.xlsm" TargetMode="External"/><Relationship Id="rId460" Type="http://schemas.openxmlformats.org/officeDocument/2006/relationships/hyperlink" Target="../../../../TKP/TKP2025/tkp2025_356_&#1052;&#1040;&#1047;_&#1055;&#1086;&#1088;&#1090;&#1072;&#1090;&#1080;&#1074;&#1085;&#1072;&#1103;_&#1089;&#1080;&#1089;&#1090;&#1077;&#1084;&#1072;_&#1089;&#1073;&#1086;&#1088;&#1072;_&#1076;&#1072;&#1085;&#1085;&#1099;&#1093;_&#1054;&#1089;&#1090;&#1088;&#1086;&#1074;&#1089;&#1082;&#1072;&#1103;/" TargetMode="External"/><Relationship Id="rId516" Type="http://schemas.openxmlformats.org/officeDocument/2006/relationships/hyperlink" Target="../../../../TKP/TKP2023/tkp2023_498_&#1051;&#1052;&#1047;_MIC-356_1150_&#1052;&#1072;&#1089;&#1083;&#1086;&#1074;&#1072;/" TargetMode="External"/><Relationship Id="rId698" Type="http://schemas.openxmlformats.org/officeDocument/2006/relationships/hyperlink" Target="file:///\\fserv\e\MERA\TKP\TKP2026\tkp2026_311_&#1053;&#1048;&#1062;_&#1056;&#1050;&#1055;_&#1048;&#1057;-102_&#1040;&#1085;&#1090;&#1080;&#1087;&#1077;&#1085;&#1082;&#1086;\&#1058;&#1050;&#1055;_311_26_&#1089;&#1090;&#1072;&#1090;&#1091;&#1089;.xlsm" TargetMode="External"/><Relationship Id="rId48" Type="http://schemas.openxmlformats.org/officeDocument/2006/relationships/hyperlink" Target="..\..\..\..\TKP\TKP2023\tkp2023_171_&#1057;&#1055;&#1073;&#1043;&#1052;&#1058;&#1059;_MIC_&#1045;&#1078;&#1086;&#1074;&#1072;\&#1058;&#1050;&#1055;_171_23_&#1089;&#1090;&#1072;&#1090;&#1091;&#1089;.xlsm" TargetMode="External"/><Relationship Id="rId113" Type="http://schemas.openxmlformats.org/officeDocument/2006/relationships/hyperlink" Target="../../../../TKP/TKP2023/tkp2023_140_&#1054;&#1044;&#1050;_&#1057;&#1072;&#1083;&#1102;&#1090;_MIC-355_&#1057;&#1085;&#1099;&#1075;&#1080;&#1085;&#1072;/" TargetMode="External"/><Relationship Id="rId320" Type="http://schemas.openxmlformats.org/officeDocument/2006/relationships/hyperlink" Target="..\..\..\..\TKP\TKP2024\tkp2024_501_&#1041;&#1086;&#1075;&#1091;&#1095;&#1072;&#1085;&#1089;&#1082;&#1072;&#1103;_&#1043;&#1069;&#1057;_&#1057;&#1080;&#1089;&#1090;&#1077;&#1084;&#1072;%20&#1082;&#1086;&#1085;&#1090;&#1088;&#1086;&#1083;&#1103;%20&#1074;&#1080;&#1073;&#1088;&#1072;&#1094;&#1080;&#1080;_&#1041;&#1091;&#1088;&#1103;&#1082;\&#1058;&#1050;&#1055;_501_24_&#1089;&#1090;&#1072;&#1090;&#1091;&#1089;.xlsm" TargetMode="External"/><Relationship Id="rId558" Type="http://schemas.openxmlformats.org/officeDocument/2006/relationships/hyperlink" Target="..\..\..\..\TKP\TKP2025\tkp2025_607_&#1053;&#1055;&#1054;_&#1051;&#1072;&#1074;&#1086;&#1095;&#1082;&#1080;&#1085;&#1072;_&#1057;&#1048;_&#1094;&#1077;&#1085;&#1090;&#1088;&#1080;&#1092;&#1091;&#1075;&#1072;_&#1057;&#1059;-267_&#1052;&#1072;&#1088;&#1090;&#1099;&#1085;&#1086;&#1074;\" TargetMode="External"/><Relationship Id="rId723" Type="http://schemas.openxmlformats.org/officeDocument/2006/relationships/hyperlink" Target="../../../../TKP/TKP2026/tkp2026_402_&#1043;&#1056;&#1062;_&#1052;&#1072;&#1082;&#1077;&#1077;&#1074;&#1072;_&#1048;&#1048;&#1057;_&#1089;&#1090;&#1077;&#1085;&#1076;&#1072;_&#1076;&#1080;&#1085;&#1072;&#1084;&#1080;&#1095;&#1077;&#1089;&#1082;&#1080;&#1093;_&#1080;&#1089;&#1087;&#1099;&#1090;&#1072;&#1085;&#1080;&#1081;_&#1056;&#1057;&#1057;_&#1041;&#1091;&#1088;&#1103;&#1082;/&#1058;&#1050;&#1055;_402_26_&#1089;&#1090;&#1072;&#1090;&#1091;&#1089;.xlsm" TargetMode="External"/><Relationship Id="rId155" Type="http://schemas.openxmlformats.org/officeDocument/2006/relationships/hyperlink" Target="..\..\..\..\TKP\TKP2023\tkp2023_571_&#1061;&#1088;&#1091;&#1085;&#1080;&#1095;&#1077;&#1074;&#1072;%20&#1056;&#1072;&#1082;&#1077;&#1090;&#1085;&#1086;-&#1082;&#1086;&#1089;&#1084;&#1080;&#1095;&#1077;&#1089;&#1082;&#1080;&#1081;%20&#1047;&#1072;&#1074;&#1086;&#1076;_&#1048;&#1052;%20&#1096;&#1072;&#1075;&#1086;&#1074;&#1086;&#1075;&#1086;%20&#1076;&#1074;&#1080;&#1075;&#1072;&#1090;&#1077;&#1083;&#1103;_&#1056;&#1057;&#1057;\&#1058;&#1050;&#1055;_571_23_&#1089;&#1090;&#1072;&#1090;&#1091;&#1089;.xlsm" TargetMode="External"/><Relationship Id="rId197" Type="http://schemas.openxmlformats.org/officeDocument/2006/relationships/hyperlink" Target="../../../../TKP/TKP2024/tkp2024_051_&#1062;&#1048;&#1040;&#1052;_&#1087;&#1083;&#1072;&#1075;&#1080;&#1085;_&#1076;&#1083;&#1103;_&#1089;&#1082;&#1072;&#1085;&#1077;&#1088;&#1086;&#1074;_&#1052;&#1072;&#1089;&#1083;&#1086;&#1074;&#1072;/&#1058;&#1050;&#1055;_051_24_&#1089;&#1090;&#1072;&#1090;&#1091;&#1089;.xlsm" TargetMode="External"/><Relationship Id="rId362" Type="http://schemas.openxmlformats.org/officeDocument/2006/relationships/hyperlink" Target="..\..\..\..\TKP\TKP2025\tkp2025_076_&#1057;&#1072;&#1090;&#1091;&#1088;&#1085;%20DDS-M-110_&#1056;&#1057;&#1057;_&#1052;&#1077;&#1083;&#1080;&#1093;&#1086;&#1074;\&#1058;&#1050;&#1055;_076_25_&#1089;&#1090;&#1072;&#1090;&#1091;&#1089;.xlsm" TargetMode="External"/><Relationship Id="rId418" Type="http://schemas.openxmlformats.org/officeDocument/2006/relationships/hyperlink" Target="../../../../TKP/TKP2025/tkp2025_219_&#1054;&#1044;&#1050;_&#1050;&#1091;&#1079;&#1085;&#1077;&#1094;&#1086;&#1074;_&#1040;&#1057;&#1059;&#1058;&#1055;_&#1089;&#1090;.3,4_&#1042;&#1080;&#1085;&#1090;&#1072;&#1081;_&#1052;&#1077;&#1083;&#1080;&#1093;&#1086;&#1074;/" TargetMode="External"/><Relationship Id="rId625" Type="http://schemas.openxmlformats.org/officeDocument/2006/relationships/hyperlink" Target="..\..\..\..\TKP\TKP2026\tkp2026_119_&#1058;&#1052;&#1061;-&#1048;&#1085;&#1078;&#1080;&#1085;&#1080;&#1088;&#1080;&#1085;&#1075;_&#1052;&#1077;&#1090;&#1088;&#1086;&#1042;&#1072;&#1075;&#1086;&#1085;&#1052;&#1072;&#1096;_&#1050;&#1083;&#1080;&#1084;&#1072;&#1090;&#1080;&#1095;&#1077;&#1089;&#1082;&#1072;&#1103;_&#1082;&#1072;&#1084;&#1077;&#1088;&#1072;_&#1056;&#1057;&#1057;_&#1052;&#1077;&#1083;&#1080;&#1093;&#1086;&#1074;\&#1058;&#1050;&#1055;_119_26_&#1089;&#1090;&#1072;&#1090;&#1091;&#1089;.xlsm" TargetMode="External"/><Relationship Id="rId222" Type="http://schemas.openxmlformats.org/officeDocument/2006/relationships/hyperlink" Target="../../../../TKP/TKP2024/tkp2024_177_&#1062;&#1077;&#1085;&#1090;&#1088;%20&#1050;&#1077;&#1083;&#1076;&#1099;&#1096;&#1072;_&#1089;&#1080;&#1089;&#1090;&#1077;&#1084;&#1072;%20&#1089;&#1073;&#1086;&#1088;&#1072;%20&#1080;&#1085;&#1092;&#1086;&#1088;&#1084;&#1072;&#1094;&#1080;&#1080;_&#1055;&#1072;&#1089;&#1090;&#1072;&#1088;&#1085;&#1072;&#1082;&#1086;&#1074;&#1072;/" TargetMode="External"/><Relationship Id="rId264" Type="http://schemas.openxmlformats.org/officeDocument/2006/relationships/hyperlink" Target="../../../../TKP/TKP2024/tkp2024_165_Kingsly_Labview%20&#1080;%20Linux_&#1056;&#1057;&#1057;_&#1045;&#1078;&#1086;&#1074;&#1072;/" TargetMode="External"/><Relationship Id="rId471" Type="http://schemas.openxmlformats.org/officeDocument/2006/relationships/hyperlink" Target="../../../../TKP/TKP2025/tkp2025_285_&#1062;&#1040;&#1043;&#1048;_&#1084;&#1086;&#1076;&#1072;&#1083;&#1100;&#1085;&#1099;&#1081;%20&#1074;&#1086;&#1079;&#1073;&#1091;&#1076;&#1080;&#1090;&#1077;&#1083;&#1100;%202500&#1053;_&#1056;&#1057;&#1057;_/&#1058;&#1050;&#1055;_285_25_&#1089;&#1090;&#1072;&#1090;&#1091;&#1089;.xlsm" TargetMode="External"/><Relationship Id="rId667" Type="http://schemas.openxmlformats.org/officeDocument/2006/relationships/hyperlink" Target="file:///\\fserv\e\MERA\TKP\TKP2026\tkp2026_092_&#1056;&#1077;&#1089;&#1091;&#1088;&#1089;_&#1052;&#1058;-200_&#1056;&#1057;&#1057;_&#1041;&#1091;&#1088;&#1103;&#1082;\&#1058;&#1050;&#1055;_092_26_&#1089;&#1090;&#1072;&#1090;&#1091;&#1089;.xlsm" TargetMode="External"/><Relationship Id="rId17" Type="http://schemas.openxmlformats.org/officeDocument/2006/relationships/hyperlink" Target="../../../../TKP/TKP2023/tkp2023_091_&#1054;&#1044;&#1050;_&#1057;&#1072;&#1090;&#1091;&#1088;&#1085;_&#1072;&#1074;&#1090;&#1086;&#1084;&#1072;&#1090;&#1080;&#1079;&#1080;&#1088;&#1086;&#1074;&#1072;&#1085;&#1085;&#1072;&#1103;%20&#1087;&#1086;&#1074;&#1077;&#1088;&#1082;&#1072;_&#1045;&#1078;&#1086;&#1074;&#1072;" TargetMode="External"/><Relationship Id="rId59" Type="http://schemas.openxmlformats.org/officeDocument/2006/relationships/hyperlink" Target="..\..\..\..\TKP\TKP2023\tkp2023_244_&#1040;&#1083;&#1100;&#1074;&#1077;&#1082;&#1089;_MIC-335&#1052;_&#1045;&#1078;&#1086;&#1074;&#1072;\&#1058;&#1050;&#1055;_244_23_&#1089;&#1090;&#1072;&#1090;&#1091;&#1089;.xlsm" TargetMode="External"/><Relationship Id="rId124" Type="http://schemas.openxmlformats.org/officeDocument/2006/relationships/hyperlink" Target="../../../../TKP/TKP2023/tkp2023_421_&#1053;&#1048;&#1062;_&#1056;&#1050;&#1055;_&#1050;&#1048;&#1042;&#1048;&#1048;&#1057;_&#1052;&#1072;&#1089;&#1083;&#1086;&#1074;&#1072;/&#1058;&#1050;&#1055;_421_23_&#1089;&#1090;&#1072;&#1090;&#1091;&#1089;.xlsm" TargetMode="External"/><Relationship Id="rId527" Type="http://schemas.openxmlformats.org/officeDocument/2006/relationships/hyperlink" Target="..\..\..\..\TKP\TKP2022\tkp2022_206_&#1053;&#1055;&#1054;%20&#1051;&#1072;&#1074;&#1086;&#1095;&#1082;&#1080;&#1085;&#1072;_&#1062;&#1077;&#1085;&#1090;&#1088;&#1080;&#1092;&#1091;&#1075;&#1072;_&#1052;&#1077;&#1083;&#1080;&#1093;&#1086;&#1074;\&#1058;&#1050;&#1055;_206_22_&#1089;&#1090;&#1072;&#1090;&#1091;&#1089;.xlsm" TargetMode="External"/><Relationship Id="rId569" Type="http://schemas.openxmlformats.org/officeDocument/2006/relationships/hyperlink" Target="../../../../TKP/TKP2025/tkp2025_554_&#1062;&#1080;&#1072;&#1084;_&#1050;&#1086;&#1089;&#1082;&#1080;&#1085;_MIC-553_&#1056;&#1057;&#1057;_&#1052;&#1077;&#1083;&#1080;&#1093;&#1086;&#1074;/" TargetMode="External"/><Relationship Id="rId734" Type="http://schemas.openxmlformats.org/officeDocument/2006/relationships/hyperlink" Target="file:///\\fserv\e\MERA\TKP\TKP2026\tkp2026_415_&#1054;&#1054;&#1054;%20&#1047;&#1080;&#1083;&#1072;&#1085;&#1090;_&#1080;&#1089;&#1087;&#1099;&#1090;&#1072;&#1085;&#1080;&#1103;%20&#1058;&#1056;&#1044;_&#1056;&#1057;&#1057;_&#1048;&#1074;&#1072;&#1085;&#1086;&#1074;&#1072;\" TargetMode="External"/><Relationship Id="rId70" Type="http://schemas.openxmlformats.org/officeDocument/2006/relationships/hyperlink" Target="..\..\..\..\TKP\TKP2023\tkp2023_284_&#1050;&#1088;&#1099;&#1083;&#1086;&#1074;&#1089;&#1082;&#1080;&#1081;_&#1043;&#1053;&#1062;_MIC-026_MIC-355_&#1057;&#1085;&#1099;&#1075;&#1080;&#1085;&#1072;\&#1057;&#1093;&#1077;&#1084;&#1072;%20&#1089;&#1086;&#1077;&#1076;&#1080;&#1085;&#1077;&#1085;&#1080;&#1081;\&#1058;&#1050;&#1055;_284_23_&#1089;&#1090;&#1072;&#1090;&#1091;&#1089;.xlsm" TargetMode="External"/><Relationship Id="rId166" Type="http://schemas.openxmlformats.org/officeDocument/2006/relationships/hyperlink" Target="../../../../TKP/TKP2023/tkp2023_581_&#1050;&#1041;&#1061;&#1040;_&#1056;&#1057;&#1057;_&#1052;&#1077;&#1083;&#1080;&#1093;&#1086;&#1074;/&#1058;&#1050;&#1055;_581_23_&#1089;&#1090;&#1072;&#1090;&#1091;&#1089;.xlsm" TargetMode="External"/><Relationship Id="rId331" Type="http://schemas.openxmlformats.org/officeDocument/2006/relationships/hyperlink" Target="../../../../TKP/TKP2025/tkp2025_002_Kingsly_16%20channels%20LEOS%20ISRO_&#1056;&#1057;&#1057;_&#1041;&#1091;&#1088;&#1103;&#1082;/" TargetMode="External"/><Relationship Id="rId373" Type="http://schemas.openxmlformats.org/officeDocument/2006/relationships/hyperlink" Target="../../../../TKP/TKP2024/tkp2024_392_&#1054;&#1050;&#1041;&#1052;_&#1040;&#1092;&#1088;&#1080;&#1082;&#1072;&#1085;&#1090;&#1086;&#1074;&#1072;_&#1056;&#1057;&#1057;_&#1052;&#1077;&#1083;&#1080;&#1093;&#1086;&#1074;/&#1058;&#1050;&#1055;_392_24_&#1089;&#1090;&#1072;&#1090;&#1091;&#1089;.xlsm" TargetMode="External"/><Relationship Id="rId429" Type="http://schemas.openxmlformats.org/officeDocument/2006/relationships/hyperlink" Target="../../../../TKP/TKP2025/tkp2025_154_&#1050;&#1041;&#1061;&#1040;_&#1089;&#1090;.9%20&#1044;&#1086;&#1086;&#1089;&#1085;&#1072;&#1097;&#1077;&#1085;&#1080;&#1077;_&#1056;&#1057;&#1057;_&#1052;&#1077;&#1083;&#1080;&#1093;&#1086;&#1074;/" TargetMode="External"/><Relationship Id="rId580" Type="http://schemas.openxmlformats.org/officeDocument/2006/relationships/hyperlink" Target="..\..\..\..\TKP\TKP2026\tkp2026_017_&#1062;&#1048;&#1040;&#1052;_&#1057;&#1048;_&#1089;&#1090;&#1077;&#1085;&#1076;&#1072;_&#1062;&#1047;&#1040;_&#1052;&#1077;&#1083;&#1080;&#1093;&#1086;&#1074;\&#1058;&#1050;&#1055;_017_26_&#1089;&#1090;&#1072;&#1090;&#1091;&#1089;.xlsm" TargetMode="External"/><Relationship Id="rId636" Type="http://schemas.openxmlformats.org/officeDocument/2006/relationships/hyperlink" Target="../../../../TKP/TKP2026/tkp2026_157_&#1056;&#1050;&#1062;_&#1055;&#1088;&#1086;&#1075;&#1088;&#1077;&#1089;&#1089;_NI_&#1057;&#1048;&#1059;_&#1056;&#1057;&#1057;/&#1058;&#1050;&#1055;_157_26_&#1089;&#1090;&#1072;&#1090;&#1091;&#1089;.xlsm" TargetMode="External"/><Relationship Id="rId1" Type="http://schemas.openxmlformats.org/officeDocument/2006/relationships/hyperlink" Target="https://docs.google.com/spreadsheets/d/1VvTzAt0m0Io7Mh1zXRsKwDuRap5-KM8LGS1eknqSUFs/edit" TargetMode="External"/><Relationship Id="rId233" Type="http://schemas.openxmlformats.org/officeDocument/2006/relationships/hyperlink" Target="../../../../TKP/TKP2024/tkp2024_175_&#1052;&#1052;&#1055;%20&#1080;&#1084;.%20&#1042;.&#1042;.&#1063;&#1077;&#1088;&#1085;&#1099;&#1096;&#1077;&#1074;&#1072;_&#1087;&#1077;&#1088;&#1077;&#1073;&#1072;&#1079;&#1080;&#1088;&#1086;&#1074;&#1082;&#1072;_&#1089;&#1090;&#1077;&#1085;&#1076;&#1086;&#1074;_&#1045;&#1078;&#1086;&#1074;&#1072;/" TargetMode="External"/><Relationship Id="rId440" Type="http://schemas.openxmlformats.org/officeDocument/2006/relationships/hyperlink" Target="../../../../TKP/TKP2025/tkp2025_037_&#1050;&#1041;&#1061;&#1052;_&#1089;&#1080;&#1103;&#1085;&#1080;&#1077;_&#1056;&#1052;-1,3,4_&#1052;&#1077;&#1083;&#1080;&#1093;&#1086;&#1074;/&#1058;&#1050;&#1055;_037_25_&#1089;&#1090;&#1072;&#1090;&#1091;&#1089;.xlsm" TargetMode="External"/><Relationship Id="rId678" Type="http://schemas.openxmlformats.org/officeDocument/2006/relationships/hyperlink" Target="../../../../TKP/TKP2025/tkp2025_611_&#1053;&#1055;&#1054;_&#1051;&#1072;&#1074;&#1086;&#1095;&#1082;&#1080;&#1085;&#1072;_&#1062;&#1080;&#1085;&#1090;&#1088;&#1080;&#1092;&#1091;&#1075;&#1072;_&#1057;&#1048;_(&#1073;&#1088;&#1086;&#1089;&#1082;&#1086;&#1074;&#1099;&#1077;_&#1080;&#1089;&#1087;&#1099;&#1090;&#1072;&#1085;&#1080;&#1103;)_&#1052;&#1072;&#1088;&#1090;&#1099;&#1085;&#1086;&#1074;/&#1058;&#1050;&#1055;_611_25_&#1089;&#1090;&#1072;&#1090;&#1091;&#1089;.xlsm" TargetMode="External"/><Relationship Id="rId28" Type="http://schemas.openxmlformats.org/officeDocument/2006/relationships/hyperlink" Target="..\..\..\..\TKP\TKP2023\tkp2023_177_&#1059;&#1047;&#1043;&#1040;_&#1089;&#1090;&#1077;&#1085;&#1076;_&#1086;&#1073;&#1082;&#1072;&#1090;&#1082;&#1080;_&#1088;&#1077;&#1076;&#1091;&#1082;&#1090;&#1086;&#1088;&#1072;_&#1057;&#1087;&#1080;&#1088;&#1080;&#1076;&#1086;&#1085;&#1089;&#1082;&#1080;&#1081;\" TargetMode="External"/><Relationship Id="rId275" Type="http://schemas.openxmlformats.org/officeDocument/2006/relationships/hyperlink" Target="../../../../TKP/TKP2024/tkp2024_309_&#1051;&#1052;&#1047;_&#1054;&#1073;&#1086;&#1088;&#1091;&#1076;&#1086;&#1074;&#1072;&#1085;&#1080;&#1077;_&#1052;&#1077;&#1083;&#1080;&#1093;&#1086;&#1074;/" TargetMode="External"/><Relationship Id="rId300" Type="http://schemas.openxmlformats.org/officeDocument/2006/relationships/hyperlink" Target="..\..\..\..\TKP\TKP2024\tkp2024_455_&#1050;&#1053;&#1048;&#1058;&#1059;%20&#1050;&#1040;&#1048;_10%20&#1082;&#1072;&#1085;%20&#1089;&#1090;&#1072;&#1090;%20&#1085;&#1072;&#1075;&#1088;&#1091;&#1078;&#1077;&#1085;&#1080;&#1103;_&#1056;&#1057;&#1057;\" TargetMode="External"/><Relationship Id="rId482" Type="http://schemas.openxmlformats.org/officeDocument/2006/relationships/hyperlink" Target="../../../../TKP/TKP2025/tkp2025_405_Kingsly_WinPOS_&#1056;&#1057;&#1057;_&#1041;&#1091;&#1088;&#1103;&#1082;/" TargetMode="External"/><Relationship Id="rId538" Type="http://schemas.openxmlformats.org/officeDocument/2006/relationships/hyperlink" Target="../../../../TKP/TKP2025/tkp2025_541_&#1053;&#1077;&#1074;&#1089;&#1082;&#1080;&#1081;_&#1079;&#1072;&#1074;&#1086;&#1076;_&#1057;&#1080;&#1089;&#1090;&#1077;&#1084;&#1072;_&#1084;&#1072;&#1075;&#1085;&#1080;&#1090;&#1085;&#1086;&#1075;&#1086;_&#1073;&#1080;&#1077;&#1085;&#1080;&#1103;_&#1056;&#1057;&#1057;_&#1052;&#1077;&#1083;&#1080;&#1093;&#1086;&#1074;/&#1058;&#1050;&#1055;_541_25_&#1089;&#1090;&#1072;&#1090;&#1091;&#1089;.xlsm" TargetMode="External"/><Relationship Id="rId703" Type="http://schemas.openxmlformats.org/officeDocument/2006/relationships/hyperlink" Target="../../../../TKP/TKP2026/tkp2026_232_&#1056;&#1058;-&#1058;&#1077;&#1093;&#1087;&#1088;&#1080;&#1077;&#1084;&#1082;&#1072;_&#1052;&#1086;&#1073;&#1080;&#1083;&#1100;&#1085;&#1099;&#1081;_&#1089;&#1090;&#1077;&#1085;&#1076;&#1086;&#1074;&#1099;&#1081;_&#1082;&#1086;&#1084;&#1087;&#1083;&#1077;&#1082;&#1089;_&#1056;&#1057;&#1057;_&#1041;&#1091;&#1088;&#1103;&#1082;/&#1058;&#1050;&#1055;_232_26_&#1089;&#1090;&#1072;&#1090;&#1091;&#1089;.xlsm" TargetMode="External"/><Relationship Id="rId745" Type="http://schemas.openxmlformats.org/officeDocument/2006/relationships/ctrlProp" Target="../ctrlProps/ctrlProp3.xml"/><Relationship Id="rId81" Type="http://schemas.openxmlformats.org/officeDocument/2006/relationships/hyperlink" Target="../../../../TKP/TKP2023/tkp2023_286_&#1050;&#1041;&#1061;&#1052;_&#1091;&#1090;&#1074;.&#1090;&#1080;&#1087;&#1072;&#1057;&#1048;_&#1079;.2850_&#1045;&#1078;&#1086;&#1074;&#1072;/" TargetMode="External"/><Relationship Id="rId135" Type="http://schemas.openxmlformats.org/officeDocument/2006/relationships/hyperlink" Target="../../../../TKP/TKP2023/in2023/1457-&#1052;&#1077;&#1083;&#1080;&#1093;&#1086;&#1074;%20(&#1054;&#1054;&#1054;).pdf" TargetMode="External"/><Relationship Id="rId177" Type="http://schemas.openxmlformats.org/officeDocument/2006/relationships/hyperlink" Target="../../../../TKP/TKP2024/tkp2024_048_&#1050;&#1041;&#1061;&#1052;_&#1057;&#1048;&#1057;_&#1045;&#1078;&#1086;&#1074;&#1072;/&#1058;&#1050;&#1055;_048_24_&#1089;&#1090;&#1072;&#1090;&#1091;&#1089;.xlsm" TargetMode="External"/><Relationship Id="rId342" Type="http://schemas.openxmlformats.org/officeDocument/2006/relationships/hyperlink" Target="..\..\..\..\TKP\TKP2025\tkp2025_025_&#1055;&#1058;&#1045;&#1056;&#1054;_&#1052;&#1086;&#1073;&#1080;&#1083;&#1100;&#1085;&#1072;&#1103;%20&#1052;&#1048;&#1057;_&#1056;&#1057;&#1057;_&#1041;&#1091;&#1088;&#1103;&#1082;\" TargetMode="External"/><Relationship Id="rId384" Type="http://schemas.openxmlformats.org/officeDocument/2006/relationships/hyperlink" Target="../../../../TKP/TKP2024/tkp2024_109_&#1054;&#1044;&#1050;%20&#1059;&#1052;&#1055;&#1054;_&#1080;&#1089;&#1087;&#1099;&#1090;&#1072;&#1085;&#1080;&#1103;%20&#1087;&#1086;&#1088;&#1096;&#1085;&#1077;&#1074;&#1099;&#1093;%20&#1076;&#1074;&#1080;&#1075;&#1072;&#1090;&#1077;&#1083;&#1077;&#1081;_&#1041;&#1091;&#1088;&#1103;&#1082;/" TargetMode="External"/><Relationship Id="rId591" Type="http://schemas.openxmlformats.org/officeDocument/2006/relationships/hyperlink" Target="../../../../TKP/TKP2026/tkp2026_051_&#1040;&#1054;_&#1043;&#1062;&#1052;&#1054;&#1069;&#1052;&#1057;_&#1056;&#1057;&#1057;_&#1080;&#1089;&#1087;&#1099;&#1090;&#1072;&#1085;&#1080;&#1077;_&#1090;&#1088;&#1072;&#1085;&#1089;&#1084;&#1080;&#1089;&#1089;&#1080;&#1081;/&#1058;&#1050;&#1055;_051_26_&#1089;&#1090;&#1072;&#1090;&#1091;&#1089;.xlsm" TargetMode="External"/><Relationship Id="rId605" Type="http://schemas.openxmlformats.org/officeDocument/2006/relationships/hyperlink" Target="file:///\\fserv\e\MERA\TKP\TKP2025\tkp2025_621_&#1062;&#1048;&#1040;&#1052;_MIC-315_&#1045;&#1078;&#1086;&#1074;&#1072;\" TargetMode="External"/><Relationship Id="rId202" Type="http://schemas.openxmlformats.org/officeDocument/2006/relationships/hyperlink" Target="../../../../TKP/TKP2024/tkp2024_124_&#1053;&#1055;&#1055;_&#1052;&#1086;&#1085;&#1086;&#1090;&#1077;&#1089;&#1090;_MIC-355_&#1041;&#1091;&#1088;&#1103;&#1082;/" TargetMode="External"/><Relationship Id="rId244" Type="http://schemas.openxmlformats.org/officeDocument/2006/relationships/hyperlink" Target="../../../../TKP/TKP2024/tkp2024_220_&#1053;&#1055;&#1050;_&#1050;&#1041;&#1052;_&#1057;&#1080;&#1089;&#1090;&#1077;&#1084;&#1072;_&#1085;&#1072;&#1075;&#1088;&#1091;&#1078;&#1077;&#1085;&#1080;&#1103;_&#1045;&#1078;&#1086;&#1074;&#1072;/" TargetMode="External"/><Relationship Id="rId647" Type="http://schemas.openxmlformats.org/officeDocument/2006/relationships/hyperlink" Target="file:///\\fserv\e\MERA\TKP\TKP2022\tkp2022_338_&#1053;&#1055;&#1054;_&#1051;&#1072;&#1074;&#1086;&#1095;&#1082;&#1080;&#1085;&#1072;_&#1057;&#1090;&#1072;&#1090;&#1079;&#1072;&#1083;_&#1052;&#1077;&#1083;&#1080;&#1093;&#1086;&#1074;\" TargetMode="External"/><Relationship Id="rId689" Type="http://schemas.openxmlformats.org/officeDocument/2006/relationships/hyperlink" Target="file:///\\fserv\e\MERA\TKP\TKP2026\tkp2026_285_&#1060;&#1043;&#1040;&#1054;&#1059;%20&#1042;&#1054;%20&#1059;&#1088;&#1060;&#1059;_&#1089;&#1090;&#1077;&#1085;&#1076;%20&#1076;&#1083;&#1103;%20&#1080;&#1089;&#1087;&#1099;&#1090;&#1072;&#1085;&#1080;&#1081;%20&#1089;&#1077;&#1088;&#1074;&#1086;&#1087;&#1088;&#1080;&#1074;&#1086;&#1076;&#1086;&#1074;_&#1048;&#1074;&#1072;&#1085;&#1086;&#1074;&#1072;\&#1058;&#1050;&#1055;_285_26_&#1089;&#1090;&#1072;&#1090;&#1091;&#1089;.xlsm" TargetMode="External"/><Relationship Id="rId39" Type="http://schemas.openxmlformats.org/officeDocument/2006/relationships/hyperlink" Target="..\..\..\..\TKP\TKP2023\tkp2023_152_&#1054;&#1044;&#1050;_&#1057;&#1072;&#1083;&#1102;&#1090;_&#1040;&#1076;&#1072;&#1087;&#1090;&#1072;&#1094;&#1080;&#1103;_&#1089;&#1090;&#1077;&#1085;&#1076;&#1072;_&#8470;37_&#1094;&#1077;&#1093;&#1072;&#8470;6_&#1052;&#1077;&#1083;&#1080;&#1093;&#1086;&#1074;\&#1058;&#1050;&#1055;_152_23_&#1089;&#1090;&#1072;&#1090;&#1091;&#1089;.xlsm" TargetMode="External"/><Relationship Id="rId286" Type="http://schemas.openxmlformats.org/officeDocument/2006/relationships/hyperlink" Target="../../../../TKP/TKP2022/tkp2022_558_&#1053;&#1055;&#1054;_&#1052;&#1072;&#1096;&#1080;&#1085;&#1086;&#1089;&#1090;&#1088;&#1086;&#1077;&#1085;&#1080;&#1103;_&#1043;&#1072;&#1083;&#1100;&#1074;&#1072;&#1085;&#1080;&#1095;&#1077;&#1089;&#1082;&#1080;&#1077;_&#1073;&#1083;&#1086;&#1082;&#1080;_&#1052;&#1077;&#1083;&#1080;&#1093;&#1086;&#1074;/" TargetMode="External"/><Relationship Id="rId451" Type="http://schemas.openxmlformats.org/officeDocument/2006/relationships/hyperlink" Target="../../../../TKP/TKP2025/tkp2025_290_Kingsly_strain%20recorder%2020000hz_&#1056;&#1057;&#1057;_&#1041;&#1091;&#1088;&#1103;&#1082;/&#1058;&#1050;&#1055;_290_25_&#1089;&#1090;&#1072;&#1090;&#1091;&#1089;.xlsm" TargetMode="External"/><Relationship Id="rId493" Type="http://schemas.openxmlformats.org/officeDocument/2006/relationships/hyperlink" Target="../../../../TKP/TKP2025/tkp2025_452_&#1057;&#1043;&#1040;&#1059;_&#1089;&#1090;&#1077;&#1085;&#1076;&#1099;_&#1080;&#1089;&#1087;&#1099;&#1090;&#1072;&#1085;&#1080;&#1081;_&#1052;&#1043;&#1058;&#1044;_550H_&#1052;&#1077;&#1083;&#1080;&#1093;&#1086;&#1074;/" TargetMode="External"/><Relationship Id="rId507" Type="http://schemas.openxmlformats.org/officeDocument/2006/relationships/hyperlink" Target="../../../../TKP/TKP2025/tkp2025_334_&#1040;&#1101;&#1088;&#1086;&#1092;&#1083;&#1086;&#1090;_&#1058;&#1077;&#1093;&#1085;&#1080;&#1095;&#1077;&#1089;&#1082;&#1080;&#1081;_&#1072;&#1091;&#1076;&#1080;&#1090;_&#1040;&#1060;&#1051;%20(&#1040;&#1088;&#1073;&#1072;&#1090;)_&#1052;&#1048;&#1056;_&#1041;&#1091;&#1088;&#1103;&#1082;/" TargetMode="External"/><Relationship Id="rId549" Type="http://schemas.openxmlformats.org/officeDocument/2006/relationships/hyperlink" Target="../../../../TKP/TKP2025/tkp2025_558_&#1050;&#1088;&#1086;&#1085;&#1096;&#1090;&#1072;&#1076;&#1090;_MR-212_ME-003_&#1082;&#1072;&#1073;&#1077;&#1083;&#1100;_&#1052;&#1077;&#1083;&#1080;&#1093;&#1086;&#1074;/" TargetMode="External"/><Relationship Id="rId714" Type="http://schemas.openxmlformats.org/officeDocument/2006/relationships/hyperlink" Target="../../../../TKP/TKP2026/tkp2026_331_&#1050;&#1086;&#1084;&#1087;&#1083;&#1077;&#1082;&#1090;_&#1089;&#1080;&#1089;&#1090;&#1077;&#1084;&#1099;_&#1080;&#1079;&#1084;&#1077;&#1088;&#1077;&#1085;&#1080;&#1081;_&#1053;&#1048;&#1050;&#1048;&#1069;&#1058;_&#1040;&#1085;&#1090;&#1080;&#1087;&#1077;&#1085;&#1082;&#1086;/&#1058;&#1050;&#1055;_331_26_&#1089;&#1090;&#1072;&#1090;&#1091;&#1089;.xlsm" TargetMode="External"/><Relationship Id="rId50" Type="http://schemas.openxmlformats.org/officeDocument/2006/relationships/hyperlink" Target="..\..\..\..\TKP\TKP2022\tkp2022_202_&#1050;&#1041;_&#1060;&#1072;&#1082;&#1077;&#1083;_MIC-355_&#1057;&#1085;&#1099;&#1075;&#1080;&#1085;&#1072;\" TargetMode="External"/><Relationship Id="rId104" Type="http://schemas.openxmlformats.org/officeDocument/2006/relationships/hyperlink" Target="../../../../TKP/TKP2023/tkp2023_418_&#1052;&#1080;&#1083;&#1100;_&#1080;_&#1050;&#1072;&#1084;&#1086;&#1074;_&#1057;&#1090;&#1077;&#1085;&#1076;_&#1080;&#1089;&#1087;&#1099;&#1090;&#1072;&#1085;&#1080;&#1103;_&#1088;&#1077;&#1076;&#1091;&#1082;&#1090;&#1086;&#1088;&#1086;&#1074;_&#1050;&#1072;-62_&#1052;&#1077;&#1083;&#1080;&#1093;&#1086;&#1074;/&#1058;&#1050;&#1055;_418_23_&#1089;&#1090;&#1072;&#1090;&#1091;&#1089;.xlsm" TargetMode="External"/><Relationship Id="rId146" Type="http://schemas.openxmlformats.org/officeDocument/2006/relationships/hyperlink" Target="../../../../TKP/TKP2023/tkp2023_326_&#1054;&#1044;&#1050;_&#1050;&#1091;&#1079;&#1085;&#1077;&#1094;&#1086;&#1074;_&#1057;&#1080;&#1089;&#1090;&#1077;&#1084;&#1072;_&#1074;&#1080;&#1073;&#1088;&#1086;&#1082;&#1086;&#1085;&#1090;&#1088;&#1086;&#1083;&#1103;_&#1052;&#1077;&#1083;&#1080;&#1093;&#1086;&#1074;/" TargetMode="External"/><Relationship Id="rId188" Type="http://schemas.openxmlformats.org/officeDocument/2006/relationships/hyperlink" Target="../../../../TKP/TKP2024/tkp2024_058_&#1057;&#1080;&#1083;&#1086;&#1074;&#1099;&#1077;_&#1084;&#1072;&#1096;&#1080;&#1085;&#1099;_MIC-1200_&#1073;&#1083;&#1086;&#1082;3,4_&#1051;&#1040;&#1069;&#1057;-2_&#1045;&#1078;&#1086;&#1074;&#1072;/&#1058;&#1050;&#1055;_058_24_&#1089;&#1090;&#1072;&#1090;&#1091;&#1089;.xlsm" TargetMode="External"/><Relationship Id="rId311" Type="http://schemas.openxmlformats.org/officeDocument/2006/relationships/hyperlink" Target="..\..\..\..\TKP\TKP2024\tkp2024_468_&#1040;&#1044;&#1052;&#1057;&#1087;&#1077;&#1094;.&#1056;&#1058;_&#1057;&#1048;_&#1076;&#1083;&#1103;_&#1057;&#1058;&#1045;&#1053;&#1044;.&#1082;&#1086;&#1088;&#1087;&#1091;&#1089;_&#1051;&#1050;&#1041;&#1052;_&#1052;&#1077;&#1083;&#1080;&#1093;&#1086;&#1074;\" TargetMode="External"/><Relationship Id="rId353" Type="http://schemas.openxmlformats.org/officeDocument/2006/relationships/hyperlink" Target="..\..\..\..\TKP\TKP2025\tkp2025_040_Kingsly_VSSC%20ISRO_&#1056;&#1057;&#1057;_&#1041;&#1091;&#1088;&#1103;&#1082;\&#1058;&#1050;&#1055;_040_25_&#1089;&#1090;&#1072;&#1090;&#1091;&#1089;.xlsm" TargetMode="External"/><Relationship Id="rId395" Type="http://schemas.openxmlformats.org/officeDocument/2006/relationships/hyperlink" Target="../../../../TKP/TKP2025/tkp2025_091_&#1053;&#1048;&#1062;_&#1056;&#1050;&#1055;_&#1050;&#1072;&#1084;&#1077;&#1088;&#1072;_&#1090;&#1077;&#1088;&#1084;&#1086;&#1074;&#1072;&#1082;&#1091;&#1091;&#1084;&#1085;&#1086;&#1081;_&#1089;&#1091;&#1096;&#1082;&#1080;_&#1052;&#1072;&#1088;&#1090;&#1099;&#1085;&#1086;&#1074;/&#1058;&#1047;" TargetMode="External"/><Relationship Id="rId409" Type="http://schemas.openxmlformats.org/officeDocument/2006/relationships/hyperlink" Target="../../../../TKP/TKP2025/tkp2025_220_Kingsly_64_chanel_DAS_&#1056;&#1057;&#1057;_&#1041;&#1091;&#1088;&#1103;&#1082;/" TargetMode="External"/><Relationship Id="rId560" Type="http://schemas.openxmlformats.org/officeDocument/2006/relationships/hyperlink" Target="..\..\..\..\TKP\TKP2025\tkp2025_615_&#1057;&#1080;&#1083;&#1086;&#1074;&#1099;&#1077;%20&#1084;&#1072;&#1096;&#1080;&#1085;&#1099;_&#1051;&#1040;&#1069;&#1057;_&#1057;&#1050;&#1042;&#1051;_&#1056;&#1057;&#1057;\&#1058;&#1050;&#1055;_615_25_&#1089;&#1090;&#1072;&#1090;&#1091;&#1089;.xlsm" TargetMode="External"/><Relationship Id="rId92" Type="http://schemas.openxmlformats.org/officeDocument/2006/relationships/hyperlink" Target="../../../../TKP/TKP2023/tkp2023_358_&#1058;&#1056;&#1040;&#1050;&#1057;_&#1072;&#1074;&#1090;&#1086;&#1084;&#1072;&#1090;&#1080;&#1079;&#1072;&#1094;&#1080;&#1103;_&#1089;&#1090;&#1077;&#1085;&#1076;&#1072;_&#1072;&#1101;&#1088;&#1086;&#1076;&#1080;&#1085;.&#1080;&#1089;&#1087;&#1099;&#1090;&#1072;&#1085;&#1080;&#1081;_&#1074;&#1077;&#1085;&#1090;&#1080;&#1083;&#1103;&#1090;&#1086;&#1088;&#1086;&#1074;_&#1045;&#1078;&#1086;&#1074;&#1072;/&#1058;&#1050;&#1055;_358_23_&#1089;&#1090;&#1072;&#1090;&#1091;&#1089;.xlsm" TargetMode="External"/><Relationship Id="rId213" Type="http://schemas.openxmlformats.org/officeDocument/2006/relationships/hyperlink" Target="../../../../TKP/TKP2024/tkp2024_139_&#1071;&#1043;&#1058;&#1059;_&#1089;&#1090;&#1077;&#1085;&#1076;_&#1045;&#1078;&#1086;&#1074;&#1072;/&#1058;&#1050;&#1055;_139_24_&#1089;&#1090;&#1072;&#1090;&#1091;&#1089;.xlsm" TargetMode="External"/><Relationship Id="rId420" Type="http://schemas.openxmlformats.org/officeDocument/2006/relationships/hyperlink" Target="../../../../TKP/TKP2023/tkp2023_410_&#1043;&#1050;&#1053;&#1055;&#1062;_&#1061;&#1088;&#1091;&#1085;&#1080;&#1095;&#1077;&#1074;&#1072;_MIC-553_&#1074;&#1080;&#1073;&#1088;&#1086;&#1080;&#1089;&#1087;&#1099;&#1090;&#1072;&#1085;&#1080;&#1103;_&#1056;&#1057;&#1057;_&#1052;&#1077;&#1083;&#1080;&#1093;&#1086;&#1074;/" TargetMode="External"/><Relationship Id="rId616" Type="http://schemas.openxmlformats.org/officeDocument/2006/relationships/hyperlink" Target="..\..\..\..\TKP\TKP2026\tkp2026_030_&#1062;&#1053;&#1048;&#1048;&#1084;&#1072;&#1096;_&#1057;&#1080;&#1089;&#1090;&#1077;&#1084;&#1072;_&#1075;&#1086;&#1083;&#1086;&#1089;&#1086;&#1074;&#1086;&#1081;_&#1089;&#1074;&#1103;&#1079;&#1080;_&#1052;&#1077;&#1083;&#1080;&#1093;&#1086;&#1074;\&#1058;&#1050;&#1055;_030_26_&#1089;&#1090;&#1072;&#1090;&#1091;&#1089;.xlsm" TargetMode="External"/><Relationship Id="rId658" Type="http://schemas.openxmlformats.org/officeDocument/2006/relationships/hyperlink" Target="../../../../TKP/TKP2026/tkp2026_215_&#1057;&#1080;&#1083;&#1052;&#1072;&#1096;_&#1040;&#1085;&#1090;&#1080;&#1087;&#1077;&#1085;&#1082;&#1086;/&#1058;&#1050;&#1055;_215_26_&#1089;&#1090;&#1072;&#1090;&#1091;&#1089;.xlsm" TargetMode="External"/><Relationship Id="rId255" Type="http://schemas.openxmlformats.org/officeDocument/2006/relationships/hyperlink" Target="../../../../TKP/TKP2024/tkp2024_276_&#1059;&#1085;&#1080;&#1093;&#1080;&#1084;&#1090;&#1077;&#1082;_&#1055;&#1088;&#1086;&#1074;&#1077;&#1076;&#1077;&#1085;&#1080;&#1077;_&#1090;&#1077;&#1085;&#1079;&#1086;&#1080;&#1079;&#1084;&#1077;&#1088;&#1077;&#1085;&#1080;&#1081;_&#1041;&#1091;&#1088;&#1103;&#1082;/&#1058;&#1050;&#1055;_276_24_&#1089;&#1090;&#1072;&#1090;&#1091;&#1089;.xlsm" TargetMode="External"/><Relationship Id="rId297" Type="http://schemas.openxmlformats.org/officeDocument/2006/relationships/hyperlink" Target="../../../../TKP/TKP2022/tkp2022_194_&#1050;&#1088;&#1086;&#1085;&#1096;&#1090;&#1072;&#1076;&#1090;_&#1058;&#1054;_&#1074;&#1080;&#1085;&#1090;&#1086;&#1074;&#1099;&#1077;%20&#1089;&#1090;&#1077;&#1085;&#1076;&#1099;_&#1045;&#1078;&#1086;&#1074;&#1072;/&#1058;&#1050;&#1055;_194_22_&#1089;&#1090;&#1072;&#1090;&#1091;&#1089;.xlsm" TargetMode="External"/><Relationship Id="rId462" Type="http://schemas.openxmlformats.org/officeDocument/2006/relationships/hyperlink" Target="../../../../TKP/TKP2025/tkp2025_313_&#1054;&#1050;&#1041;_&#1052;&#1080;&#1082;&#1086;&#1103;&#1085;&#1072;_&#1084;&#1086;&#1076;&#1072;&#1083;&#1100;&#1085;&#1099;&#1081;_&#1072;&#1085;&#1072;&#1083;&#1080;&#1079;_&#1056;&#1057;&#1057;_&#1052;&#1077;&#1083;&#1080;&#1093;&#1086;&#1074;/" TargetMode="External"/><Relationship Id="rId518" Type="http://schemas.openxmlformats.org/officeDocument/2006/relationships/hyperlink" Target="../../../../TKP/TKP2024/tkp2024_486_&#1056;&#1050;&#1062;_&#1055;&#1088;&#1086;&#1075;&#1088;&#1077;&#1089;&#1089;_&#1048;&#1042;&#1050;_500_&#1082;&#1072;&#1085;&#1072;&#1083;&#1086;&#1074;_&#1052;&#1077;&#1083;&#1080;&#1093;&#1086;&#1074;/&#1058;&#1050;&#1055;_486_24_&#1089;&#1090;&#1072;&#1090;&#1091;&#1089;.xlsm" TargetMode="External"/><Relationship Id="rId725" Type="http://schemas.openxmlformats.org/officeDocument/2006/relationships/hyperlink" Target="file:///\\fserv\e\MERA\TKP\TKP2026\tkp2026_420_&#1043;&#1072;&#1087;&#1086;&#1085;&#1086;&#1074;_&#1048;&#1079;&#1084;&#1077;&#1088;&#1080;&#1090;&#1077;&#1083;&#1100;&#1085;&#1099;&#1081;_&#1090;&#1088;&#1072;&#1082;&#1090;_&#1040;&#1085;&#1090;&#1080;&#1087;&#1077;&#1085;&#1082;&#1086;_&#1056;&#1057;&#1057;\" TargetMode="External"/><Relationship Id="rId115" Type="http://schemas.openxmlformats.org/officeDocument/2006/relationships/hyperlink" Target="../../../../TKP/TKP2023/in2023/&#1054;&#1054;&#1054;/1201-1300/&#1054;&#1054;&#1054;_&#1042;&#1061;_23_1256.pdf" TargetMode="External"/><Relationship Id="rId157" Type="http://schemas.openxmlformats.org/officeDocument/2006/relationships/hyperlink" Target="..\..\..\..\TKP\TKP2023\tkp2023_573_%20&#1062;&#1077;&#1085;&#1090;&#1088;_&#1050;&#1077;&#1083;&#1076;&#1099;&#1096;&#1072;_MIC_&#1045;&#1078;&#1086;&#1074;&#1072;\&#1058;&#1050;&#1055;_573_23_&#1089;&#1090;&#1072;&#1090;&#1091;&#1089;.xlsm" TargetMode="External"/><Relationship Id="rId322" Type="http://schemas.openxmlformats.org/officeDocument/2006/relationships/hyperlink" Target="../../../../TKP/TKP2024/tkp2024_508_&#1057;&#1050;&#1041;%20&#1040;&#1056;&#1044;_&#1048;&#1048;&#1057;%20&#1040;&#1055;&#1044;-200_&#1041;&#1091;&#1088;&#1103;&#1082;/&#1058;&#1050;&#1055;_508_24_&#1089;&#1090;&#1072;&#1090;&#1091;&#1089;.xlsm" TargetMode="External"/><Relationship Id="rId364" Type="http://schemas.openxmlformats.org/officeDocument/2006/relationships/hyperlink" Target="../../../../TKP/TKP2025/tkp2025_080_&#1050;&#1072;&#1083;&#1080;&#1085;&#1080;&#1085;&#1089;&#1082;&#1072;&#1103;_&#1040;&#1069;&#1057;_&#1056;&#1072;&#1073;&#1086;&#1090;&#1099;%20&#1074;%20&#1095;&#1072;&#1089;&#1090;&#1080;%20&#1079;&#1072;&#1084;&#1077;&#1088;&#1086;&#1074;%20&#1074;&#1080;&#1073;&#1088;&#1072;&#1094;&#1080;&#1080;%20&#1083;&#1086;&#1087;&#1072;&#1090;&#1086;&#1082;_&#1041;&#1091;&#1088;&#1103;&#1082;/" TargetMode="External"/><Relationship Id="rId61" Type="http://schemas.openxmlformats.org/officeDocument/2006/relationships/hyperlink" Target="..\..\..\..\TKP\TKP2023\tkp2023_253_&#1053;&#1048;&#1062;_&#1056;&#1050;&#1055;_&#1050;&#1088;&#1072;&#1089;&#1084;&#1072;&#1096;_&#1050;&#1048;&#1042;&#1048;&#1048;&#1057;-2_&#1057;&#1085;&#1099;&#1075;&#1080;&#1085;&#1072;\" TargetMode="External"/><Relationship Id="rId199" Type="http://schemas.openxmlformats.org/officeDocument/2006/relationships/hyperlink" Target="../../../../TKP/TKP2024/tkp2024_125_&#1050;&#1058;&#1056;&#1042;_MIC-224_&#1052;&#1072;&#1089;&#1083;&#1086;&#1074;&#1072;/&#1058;&#1050;&#1055;_125_24_&#1089;&#1090;&#1072;&#1090;&#1091;&#1089;.xlsm" TargetMode="External"/><Relationship Id="rId571" Type="http://schemas.openxmlformats.org/officeDocument/2006/relationships/hyperlink" Target="..\..\..\..\TKP\TKP2025\tkp2025_656_&#1062;&#1077;&#1085;&#1090;&#1088;%20&#1080;&#1085;&#1078;&#1080;&#1085;&#1080;&#1088;&#1080;&#1085;&#1075;&#1072;_&#1048;&#1089;&#1087;&#1099;&#1090;&#1072;&#1085;&#1080;&#1103;%20&#1043;&#1058;&#1059;_&#1056;&#1057;&#1057;\&#1058;&#1050;&#1055;_656_25_&#1089;&#1090;&#1072;&#1090;&#1091;&#1089;.xlsm" TargetMode="External"/><Relationship Id="rId627" Type="http://schemas.openxmlformats.org/officeDocument/2006/relationships/hyperlink" Target="../../../../TKP/TKP2026/tkp2026_049_&#1040;&#1054;_&#1052;&#1045;&#1058;&#1056;&#1054;&#1042;&#1040;&#1043;&#1054;&#1053;&#1052;&#1040;&#1064;_&#1056;&#1057;&#1057;_&#1082;&#1088;&#1072;&#1085;&#1099;_&#1079;&#1072;&#1087;&#1086;&#1088;&#1085;&#1099;&#1077;_&#1052;&#1077;&#1083;&#1080;&#1093;&#1086;&#1074;/&#1058;&#1050;&#1055;_049_26_&#1089;&#1090;&#1072;&#1090;&#1091;&#1089;.xlsm" TargetMode="External"/><Relationship Id="rId669" Type="http://schemas.openxmlformats.org/officeDocument/2006/relationships/hyperlink" Target="../../../../TKP/TKP2026/tkp2026_146_&#1057;&#1043;&#1040;&#1059;_&#1052;&#1086;&#1076;&#1077;&#1088;&#1085;&#1080;&#1079;&#1072;&#1094;&#1080;&#1103;_&#1089;&#1090;&#1086;&#1081;&#1082;&#1080;_+MIC-170_&#1056;&#1057;&#1057;_&#1052;&#1077;&#1083;&#1080;&#1093;&#1086;&#1074;/&#1058;&#1050;&#1055;_146_26_&#1089;&#1090;&#1072;&#1090;&#1091;&#1089;.xlsm" TargetMode="External"/><Relationship Id="rId19" Type="http://schemas.openxmlformats.org/officeDocument/2006/relationships/hyperlink" Target="../../../../TKP/TKP2023/tkp2023_080_&#1059;&#1047;&#1043;&#1040;_&#1089;&#1090;&#1077;&#1085;&#1076;_&#1087;&#1088;&#1086;&#1074;&#1077;&#1088;&#1082;&#1080;_&#1085;&#1072;&#1089;&#1086;&#1089;&#1086;&#1074;_&#1057;&#1087;&#1080;&#1088;&#1080;&#1076;&#1086;&#1085;&#1089;&#1082;&#1080;&#1081;" TargetMode="External"/><Relationship Id="rId224" Type="http://schemas.openxmlformats.org/officeDocument/2006/relationships/hyperlink" Target="../../../../TKP/TKP2024/tkp2024_171_&#1062;&#1048;&#1040;&#1052;_&#1082;&#1086;&#1084;&#1087;&#1083;&#1077;&#1082;&#1090;%20&#1076;&#1083;&#1103;%20&#1084;&#1086;&#1076;&#1077;&#1083;&#1080;&#1088;&#1086;&#1074;&#1072;&#1085;&#1080;&#1103;_&#1052;&#1072;&#1089;&#1083;&#1086;&#1074;&#1072;/&#1058;&#1050;&#1055;_171_24_&#1089;&#1090;&#1072;&#1090;&#1091;&#1089;.xlsm" TargetMode="External"/><Relationship Id="rId266" Type="http://schemas.openxmlformats.org/officeDocument/2006/relationships/hyperlink" Target="..\..\..\..\TKP\TKP2024\tkp2024_339_&#1054;&#1044;&#1050;-&#1057;&#1077;&#1088;&#1074;&#1080;&#1089;_&#1040;&#1082;&#1091;&#1089;&#1090;&#1080;&#1095;&#1077;&#1089;&#1082;&#1080;&#1081;_&#1074;&#1086;&#1083;&#1085;&#1086;&#1074;&#1086;&#1076;_&#1052;&#1077;&#1083;&#1080;&#1093;&#1086;&#1074;\&#1058;&#1050;&#1055;_339_24_&#1089;&#1090;&#1072;&#1090;&#1091;&#1089;.xlsm" TargetMode="External"/><Relationship Id="rId431" Type="http://schemas.openxmlformats.org/officeDocument/2006/relationships/hyperlink" Target="..\..\..\..\TKP\TKP2025\tkp2025_063_&#1050;&#1041;&#1061;&#1052;_&#1057;&#1059;-&#1057;&#1056;_&#1089;&#1090;&#1077;&#1085;&#1076;&#1072;_&#1086;&#1075;&#1085;&#1077;&#1074;&#1099;&#1093;_&#1080;&#1089;&#1087;&#1099;&#1090;&#1072;&#1085;&#1080;&#1081;_&#1052;&#1077;&#1083;&#1080;&#1093;&#1086;&#1074;\&#1058;&#1050;&#1055;_063_25_&#1089;&#1090;&#1072;&#1090;&#1091;&#1089;.xlsm" TargetMode="External"/><Relationship Id="rId473" Type="http://schemas.openxmlformats.org/officeDocument/2006/relationships/hyperlink" Target="../../../../TKP/TKP2025/tkp2025_326_&#1050;&#1072;&#1073;&#1077;&#1083;&#1100;_MR-212==ME-003_&#1052;&#1077;&#1083;&#1080;&#1093;&#1086;&#1074;/" TargetMode="External"/><Relationship Id="rId529" Type="http://schemas.openxmlformats.org/officeDocument/2006/relationships/hyperlink" Target="../../../../TKP/TKP2025/tkp2025_465_&#1052;&#1040;&#1048;_&#1043;&#1057;&#1059;500_&#1052;&#1077;&#1083;&#1080;&#1093;&#1086;&#1074;/" TargetMode="External"/><Relationship Id="rId680" Type="http://schemas.openxmlformats.org/officeDocument/2006/relationships/hyperlink" Target="..\..\..\..\TKP\TKP2026\tkp2026_048_&#1040;&#1054;_&#1052;&#1045;&#1058;&#1056;&#1054;&#1042;&#1040;&#1043;&#1054;&#1053;&#1052;&#1040;&#1064;_&#1056;&#1057;&#1057;_&#1087;&#1088;&#1091;&#1078;&#1080;&#1085;&#1099;_&#1052;&#1077;&#1083;&#1080;&#1093;&#1086;&#1074;\&#1058;&#1050;&#1055;_048_26_&#1089;&#1090;&#1072;&#1090;&#1091;&#1089;.xlsm" TargetMode="External"/><Relationship Id="rId736" Type="http://schemas.openxmlformats.org/officeDocument/2006/relationships/hyperlink" Target="file:///\\fserv\e\MERA\TKP\TKP2026\tkp2026_401_&#1060;&#1053;&#1055;&#1062;%20&#1040;&#1083;&#1090;&#1072;&#1081;_&#1040;&#1085;&#1090;&#1080;&#1087;&#1077;&#1085;&#1082;&#1086;_&#1056;&#1057;&#1057;_&#1043;&#1088;&#1103;&#1079;&#1085;&#1077;&#1074;\" TargetMode="External"/><Relationship Id="rId30" Type="http://schemas.openxmlformats.org/officeDocument/2006/relationships/hyperlink" Target="../../../../TKP/TKP2023/tkp2023_175_&#1053;&#1055;&#1054;_&#1040;&#1074;&#1090;&#1086;&#1084;&#1072;&#1090;&#1080;&#1082;&#1080;_&#1050;&#1057;&#1058;-2_&#1052;&#1072;&#1088;&#1090;&#1099;&#1085;&#1086;&#1074;" TargetMode="External"/><Relationship Id="rId126" Type="http://schemas.openxmlformats.org/officeDocument/2006/relationships/hyperlink" Target="../../../../TKP/TKP2023/tkp2023_481_&#1053;&#1048;&#1048;&#1052;&#1040;&#1064;_&#1040;&#1057;&#1059;&#1080;&#1059;_&#1090;&#1077;&#1093;_&#1087;&#1088;&#1086;&#1094;&#1077;&#1089;&#1089;&#1072;&#1084;&#1080;_&#1052;&#1072;&#1088;&#1090;&#1099;&#1085;&#1086;&#1074;/&#1058;&#1050;&#1055;_481_23_&#1089;&#1090;&#1072;&#1090;&#1091;&#1089;.xlsm" TargetMode="External"/><Relationship Id="rId168" Type="http://schemas.openxmlformats.org/officeDocument/2006/relationships/hyperlink" Target="../../../../TKP/TKP2024/tkp2024_026_&#1054;&#1054;&#1054;%20&#1058;&#1077;&#1093;&#1085;&#1086;&#1083;&#1086;&#1075;&#1080;&#1103;_&#1052;&#1072;&#1089;&#1083;&#1086;&#1074;&#1072;/&#1058;&#1050;&#1055;_026_24_&#1089;&#1090;&#1072;&#1090;&#1091;&#1089;.xlsm" TargetMode="External"/><Relationship Id="rId333" Type="http://schemas.openxmlformats.org/officeDocument/2006/relationships/hyperlink" Target="..\..\..\..\TKP\TKP2024\tkp2024_511_&#1057;&#1080;&#1083;&#1086;&#1074;&#1099;&#1077;_&#1084;&#1072;&#1096;&#1080;&#1085;&#1099;_&#1043;&#1058;&#1069;170.2_&#1056;&#1057;&#1057;_&#1052;&#1077;&#1083;&#1080;&#1093;&#1086;&#1074;\" TargetMode="External"/><Relationship Id="rId540" Type="http://schemas.openxmlformats.org/officeDocument/2006/relationships/hyperlink" Target="..\..\..\..\TKP\TKP2025\tkp2025_564_&#1053;&#1048;&#1050;&#1048;&#1069;&#1058;_&#1040;&#1085;&#1072;&#1083;&#1086;&#1075;_ONYX_&#1056;&#1057;&#1057;_&#1052;&#1077;&#1083;&#1080;&#1093;&#1086;&#1074;\&#1058;&#1050;&#1055;_564_25_&#1089;&#1090;&#1072;&#1090;&#1091;&#1089;.xlsm" TargetMode="External"/><Relationship Id="rId72" Type="http://schemas.openxmlformats.org/officeDocument/2006/relationships/hyperlink" Target="..\..\..\..\TKP\TKP2022\tkp2022_154_&#1059;&#1052;&#1055;&#1054;_&#1059;&#1092;&#1072;_&#1056;&#1072;&#1079;&#1088;&#1072;&#1073;&#1086;&#1090;&#1082;&#1072;_&#1082;&#1086;&#1085;&#1094;&#1077;&#1087;&#1090;&#1091;&#1072;&#1083;&#1100;&#1085;&#1086;&#1075;&#1086;_&#1087;&#1088;&#1086;&#1077;&#1082;&#1090;&#1072;_&#1057;&#1085;&#1099;&#1075;&#1080;&#1085;&#1072;\" TargetMode="External"/><Relationship Id="rId375" Type="http://schemas.openxmlformats.org/officeDocument/2006/relationships/hyperlink" Target="../../../../TKP/TKP2025/tkp2025_127_&#1040;&#1054;%20&#1069;&#1082;&#1086;&#1083;&#1080;&#1073;&#1088;&#1080;_&#1057;&#1084;&#1072;&#1075;&#1080;&#1085;&#1072;/&#1058;&#1050;&#1055;_127_25_&#1089;&#1090;&#1072;&#1090;&#1091;&#1089;.xlsm" TargetMode="External"/><Relationship Id="rId582" Type="http://schemas.openxmlformats.org/officeDocument/2006/relationships/hyperlink" Target="file:///\\fserv\e\MERA\TKP\TKP2026\tkp2026_019_&#1056;&#1058;&#1059;_&#1052;&#1048;&#1056;&#1069;&#1040;_&#1057;&#1080;&#1089;&#1090;&#1077;&#1084;&#1072;%20&#1074;&#1080;&#1073;&#1088;&#1086;&#1085;&#1072;&#1075;&#1088;&#1091;&#1078;&#1077;&#1085;&#1080;&#1103;_&#1056;&#1057;&#1057;_&#1041;&#1091;&#1088;&#1103;&#1082;\" TargetMode="External"/><Relationship Id="rId638" Type="http://schemas.openxmlformats.org/officeDocument/2006/relationships/hyperlink" Target="file:///\\fserv\e\MERA\TKP\TKP2026\tkp2026_160_&#1046;&#1091;&#1082;&#1086;&#1074;&#1089;&#1082;&#1080;&#1081;_&#1074;&#1077;&#1083;&#1086;&#1084;&#1086;&#1090;&#1086;&#1079;&#1072;&#1074;&#1086;&#1076;_&#1088;&#1086;&#1083;&#1080;&#1082;&#1086;&#1074;&#1099;&#1081;_&#1089;&#1090;&#1077;&#1085;&#1076;_&#1056;&#1057;&#1057;\" TargetMode="External"/><Relationship Id="rId3" Type="http://schemas.openxmlformats.org/officeDocument/2006/relationships/hyperlink" Target="https://docs.google.com/spreadsheets/d/1VvTzAt0m0Io7Mh1zXRsKwDuRap5-KM8LGS1eknqSUFs/export?exportFormat=xlsx" TargetMode="External"/><Relationship Id="rId235" Type="http://schemas.openxmlformats.org/officeDocument/2006/relationships/hyperlink" Target="../../../../TKP/TKP2024/tkp2024_176_&#1042;&#1053;&#1048;&#1048;&#1058;&#1060;_&#1057;&#1080;&#1089;&#1090;&#1077;&#1084;&#1072;_&#1085;&#1072;&#1075;&#1088;&#1091;&#1078;&#1077;&#1085;&#1080;&#1103;_&#1041;&#1091;&#1088;&#1103;&#1082;/&#1058;&#1050;&#1055;_176_24_&#1089;&#1090;&#1072;&#1090;&#1091;&#1089;.xlsm" TargetMode="External"/><Relationship Id="rId277" Type="http://schemas.openxmlformats.org/officeDocument/2006/relationships/hyperlink" Target="../../../../TKP/TKP2024/tkp2024_305_&#1051;&#1072;&#1074;&#1086;&#1095;&#1082;&#1080;&#1085;&#1072;_MIC-026_&#1055;&#1072;&#1089;&#1090;&#1072;&#1088;&#1085;&#1072;&#1082;&#1086;&#1074;&#1072;/&#1058;&#1050;&#1055;_305_24_&#1089;&#1090;&#1072;&#1090;&#1091;&#1089;.xlsm" TargetMode="External"/><Relationship Id="rId400" Type="http://schemas.openxmlformats.org/officeDocument/2006/relationships/hyperlink" Target="../../../../TKP/TKP2021/tkp2021_032_&#1059;&#1088;&#1072;&#1083;&#1074;&#1072;&#1075;&#1086;&#1085;&#1079;&#1072;&#1074;&#1086;&#1076;_MIC-036_&#1045;&#1078;&#1086;&#1074;&#1072;/" TargetMode="External"/><Relationship Id="rId442" Type="http://schemas.openxmlformats.org/officeDocument/2006/relationships/hyperlink" Target="../../../../TKP/TKP2025/tkp2025_245_&#1057;&#1072;&#1090;&#1091;&#1088;&#1085;_&#1052;&#1043;&#1058;&#1044;%20&#1089;&#1090;&#1077;&#1085;&#1076;%20&#1059;-05_&#1056;&#1057;&#1057;_&#1041;&#1091;&#1088;&#1103;&#1082;/&#1058;&#1050;&#1055;_245_25_&#1089;&#1090;&#1072;&#1090;&#1091;&#1089;.xlsm" TargetMode="External"/><Relationship Id="rId484" Type="http://schemas.openxmlformats.org/officeDocument/2006/relationships/hyperlink" Target="../../../../TKP/TKP2025/tkp2025_405_Kingsly_WinPOS_&#1056;&#1057;&#1057;_&#1041;&#1091;&#1088;&#1103;&#1082;/&#1058;&#1050;&#1055;_405_25_&#1089;&#1090;&#1072;&#1090;&#1091;&#1089;.xlsm" TargetMode="External"/><Relationship Id="rId705" Type="http://schemas.openxmlformats.org/officeDocument/2006/relationships/hyperlink" Target="..\..\..\..\TKP\TKP2026\tkp2026_350_&#1050;&#1086;&#1084;&#1087;&#1083;&#1077;&#1082;&#1090;_&#1089;&#1080;&#1089;&#1090;&#1077;&#1084;&#1099;_&#1080;&#1079;&#1084;&#1077;&#1088;&#1077;&#1085;&#1080;&#1081;_&#1053;&#1077;&#1088;&#1072;&#1079;&#1088;&#1091;&#1096;&#1072;&#1102;&#1097;&#1080;&#1081;_&#1082;&#1086;&#1085;&#1090;&#1088;&#1086;&#1083;&#1100;_&#1040;&#1085;&#1090;&#1080;&#1087;&#1077;&#1085;&#1082;&#1086;\&#1058;&#1050;&#1055;_350_26_&#1089;&#1090;&#1072;&#1090;&#1091;&#1089;.xlsm" TargetMode="External"/><Relationship Id="rId137" Type="http://schemas.openxmlformats.org/officeDocument/2006/relationships/hyperlink" Target="../../../../TKP/TKP2023/tkp2023_416_&#1054;&#1044;&#1050;_&#1048;&#1085;&#1078;&#1080;&#1085;&#1080;&#1088;&#1080;&#1085;&#1075;_MIC-026_036_&#1052;&#1072;&#1089;&#1083;&#1086;&#1074;&#1072;/&#1058;&#1050;&#1055;_416_23_&#1089;&#1090;&#1072;&#1090;&#1091;&#1089;.xlsm" TargetMode="External"/><Relationship Id="rId302" Type="http://schemas.openxmlformats.org/officeDocument/2006/relationships/hyperlink" Target="..\..\..\..\TKP\TKP2024\tkp2024_453_&#1059;&#1052;&#1055;&#1054;_&#1090;&#1086;&#1088;&#1084;&#1086;&#1079;&#1085;&#1086;&#1081;_&#1089;&#1090;&#1077;&#1085;&#1076;_PUMA_&#1052;&#1077;&#1083;&#1080;&#1093;&#1086;&#1074;\" TargetMode="External"/><Relationship Id="rId344" Type="http://schemas.openxmlformats.org/officeDocument/2006/relationships/hyperlink" Target="../../../../TKP/TKP2025/tkp2025_031_Kingsly_Vibro%20control%20Space-India_&#1056;&#1057;&#1057;_&#1041;&#1091;&#1088;&#1103;&#1082;/" TargetMode="External"/><Relationship Id="rId691" Type="http://schemas.openxmlformats.org/officeDocument/2006/relationships/hyperlink" Target="../../../../TKP/TKP2026/tkp2026_055_&#1053;&#1048;&#1062;_&#1056;&#1050;&#1055;_&#1052;&#1086;&#1076;&#1077;&#1088;&#1085;&#1080;&#1079;&#1072;&#1094;&#1080;&#1103;_&#1048;&#1042;&#1050;_&#1048;&#1057;_&#1041;&#1052;&#1055;_&#1052;&#1077;&#1083;&#1080;&#1093;&#1086;&#1074;/&#1058;&#1050;&#1055;_055_26_&#1089;&#1090;&#1072;&#1090;&#1091;&#1089;.xlsm" TargetMode="External"/><Relationship Id="rId747" Type="http://schemas.openxmlformats.org/officeDocument/2006/relationships/ctrlProp" Target="../ctrlProps/ctrlProp5.xml"/><Relationship Id="rId41" Type="http://schemas.openxmlformats.org/officeDocument/2006/relationships/hyperlink" Target="../../../../TKP/TKP2023/tkp2023_133_&#1059;&#1040;&#1055;&#1054;-&#1058;&#1077;&#1093;&#1085;&#1086;&#1076;&#1080;&#1085;&#1072;&#1084;&#1080;&#1082;&#1072;_&#1042;&#1099;&#1089;&#1086;&#1082;&#1086;&#1086;&#1073;&#1086;&#1088;&#1086;&#1090;&#1085;&#1099;&#1081;_&#1087;&#1088;&#1080;&#1074;&#1086;&#1076;_&#1052;&#1077;&#1083;&#1080;&#1093;&#1086;&#1074;/&#1058;&#1050;&#1055;_133_23_&#1089;&#1090;&#1072;&#1090;&#1091;&#1089;.xlsm" TargetMode="External"/><Relationship Id="rId83" Type="http://schemas.openxmlformats.org/officeDocument/2006/relationships/hyperlink" Target="..\..\..\..\TKP\TKP2023\tkp2023_011_&#1056;&#1091;&#1089;&#1043;&#1080;&#1076;&#1088;&#1086;_&#1046;&#1080;&#1075;&#1091;&#1083;&#1077;&#1074;&#1089;&#1082;&#1072;&#1103;_&#1043;&#1069;&#1057;_&#1055;&#1077;&#1088;&#1077;&#1085;&#1086;&#1089;&#1085;&#1086;&#1081;_&#1094;&#1080;&#1092;&#1088;&#1086;&#1074;&#1086;&#1081;_&#1088;&#1077;&#1075;&#1080;&#1089;&#1090;&#1088;&#1072;&#1090;&#1086;&#1088;_&#1057;&#1085;&#1099;&#1075;&#1080;&#1085;&#1072;\" TargetMode="External"/><Relationship Id="rId179" Type="http://schemas.openxmlformats.org/officeDocument/2006/relationships/hyperlink" Target="../../../../TKP/TKP2024/tkp2024_033_&#1062;&#1048;&#1040;&#1052;_&#1058;&#1058;_&#1085;&#1072;_&#1040;&#1048;&#1048;&#1057;_&#1052;&#1072;&#1089;&#1083;&#1086;&#1074;&#1072;/" TargetMode="External"/><Relationship Id="rId386" Type="http://schemas.openxmlformats.org/officeDocument/2006/relationships/hyperlink" Target="../../../../TKP/TKP2025/tkp2025_081_&#1054;&#1044;&#1050;-&#1048;&#1085;&#1078;&#1080;&#1085;&#1080;&#1088;&#1080;&#1085;&#1075;_&#1057;&#1080;&#1089;&#1090;&#1077;&#1084;&#1072;_&#1074;&#1080;&#1073;&#1088;&#1086;&#1076;&#1080;&#1072;&#1075;&#1085;&#1086;&#1089;&#1090;&#1080;&#1082;&#1080;_(&#1040;&#1088;&#1082;&#1090;&#1080;&#1082;_&#1057;&#1055;&#1043;-2)_&#1052;&#1077;&#1083;&#1080;&#1093;&#1086;&#1074;/&#1058;&#1050;&#1055;_081_25_&#1089;&#1090;&#1072;&#1090;&#1091;&#1089;.xlsm" TargetMode="External"/><Relationship Id="rId551" Type="http://schemas.openxmlformats.org/officeDocument/2006/relationships/hyperlink" Target="../../../../TKP/TKP2025/tkp2025_593_&#1050;&#1091;&#1088;&#1075;&#1072;&#1085;&#1052;&#1072;&#1096;&#1047;&#1072;&#1074;&#1086;&#1076;_&#1056;&#1057;&#1057;_&#1052;&#1077;&#1083;&#1080;&#1093;&#1086;&#1074;/" TargetMode="External"/><Relationship Id="rId593" Type="http://schemas.openxmlformats.org/officeDocument/2006/relationships/hyperlink" Target="..\..\..\..\TKP\TKP2025\tkp2025_296_&#1056;&#1058;&#1059;_&#1052;&#1048;&#1056;&#1069;&#1040;_&#1057;&#1060;&#1053;&#1042;&#1055;_&#1056;&#1057;&#1057;_&#1041;&#1091;&#1088;&#1103;&#1082;\&#1058;&#1050;&#1055;_296_25_&#1089;&#1090;&#1072;&#1090;&#1091;&#1089;.xlsm" TargetMode="External"/><Relationship Id="rId607" Type="http://schemas.openxmlformats.org/officeDocument/2006/relationships/hyperlink" Target="file:///\\fserv\e\MERA\TKP\TKP2026\tkp2026_046_&#1057;&#1080;&#1083;&#1086;&#1074;&#1099;&#1077;%20&#1084;&#1072;&#1096;&#1080;&#1085;&#1099;_&#1069;&#1083;&#1077;&#1082;&#1090;&#1088;&#1086;&#1089;&#1080;&#1083;&#1072;_&#1074;&#1080;&#1073;&#1088;&#1086;&#1094;&#1080;&#1086;&#1085;&#1085;&#1099;&#1081;%20&#1080;%20&#1084;&#1086;&#1076;&#1072;&#1083;&#1100;&#1085;&#1099;&#1081;%20&#1072;&#1085;&#1072;&#1083;&#1080;&#1079;_&#1056;&#1057;&#1057;_&#1052;&#1077;&#1083;&#1080;&#1093;&#1086;&#1074;\" TargetMode="External"/><Relationship Id="rId649" Type="http://schemas.openxmlformats.org/officeDocument/2006/relationships/hyperlink" Target="file:///\\fserv\e\MERA\TKP\TKP2026\tkp2026_200_&#1052;&#1040;&#1048;_&#1048;&#1079;&#1084;&#1077;&#1088;&#1080;&#1090;&#1077;&#1083;&#1100;&#1085;&#1072;&#1103;_&#1089;&#1080;&#1089;&#1090;&#1077;&#1084;&#1072;_&#1054;&#1089;&#1090;&#1088;&#1086;&#1074;&#1089;&#1082;&#1072;&#1103;\" TargetMode="External"/><Relationship Id="rId190" Type="http://schemas.openxmlformats.org/officeDocument/2006/relationships/hyperlink" Target="..\..\..\..\TKP\TKP2024\tkp2024_075_&#1052;&#1080;&#1083;&#1100;%20&#1080;%20&#1050;&#1072;&#1084;&#1086;&#1074;%20&#1057;&#1048;&#1059;%20&#1052;&#1048;-8_&#1056;&#1057;&#1057;_\" TargetMode="External"/><Relationship Id="rId204" Type="http://schemas.openxmlformats.org/officeDocument/2006/relationships/hyperlink" Target="../../../../TKP/TKP2024/tkp2024_134_&#1062;&#1048;&#1040;&#1052;_&#1090;&#1077;&#1085;&#1079;&#1086;&#1089;&#1090;&#1072;&#1085;&#1094;&#1080;&#1103;_&#1052;&#1072;&#1089;&#1083;&#1086;&#1074;&#1072;/&#1058;&#1050;&#1055;_134_24_&#1089;&#1090;&#1072;&#1090;&#1091;&#1089;.xlsm" TargetMode="External"/><Relationship Id="rId246" Type="http://schemas.openxmlformats.org/officeDocument/2006/relationships/hyperlink" Target="../../../../TKP/TKP2024/tkp2024_252_NDTrus_&#1080;&#1089;&#1087;&#1099;&#1090;&#1072;&#1090;&#1077;&#1083;&#1100;&#1085;&#1099;&#1081;%20&#1089;&#1090;&#1077;&#1085;&#1076;_&#1056;&#1057;&#1057;_&#1045;&#1078;&#1086;&#1074;&#1072;/" TargetMode="External"/><Relationship Id="rId288" Type="http://schemas.openxmlformats.org/officeDocument/2006/relationships/hyperlink" Target="..\..\..\..\TKP\TKP2024\tkp2024_360_Kingsly_24%20channels_&#1056;&#1057;&#1057;_&#1041;&#1091;&#1088;&#1103;&#1082;\&#1058;&#1050;&#1055;_360_24_&#1089;&#1090;&#1072;&#1090;&#1091;&#1089;.xlsm" TargetMode="External"/><Relationship Id="rId411" Type="http://schemas.openxmlformats.org/officeDocument/2006/relationships/hyperlink" Target="../../../../TKP/TKP2025/tkp2025_237_&#1053;&#1055;&#1054;_&#1040;&#1074;&#1090;&#1086;&#1084;&#1072;&#1090;&#1080;&#1082;&#1080;_&#1041;&#1083;&#1086;&#1082;&#1080;_&#1050;&#1057;&#1058;-2_&#1052;&#1072;&#1088;&#1090;&#1099;&#1085;&#1086;&#1074;/" TargetMode="External"/><Relationship Id="rId453" Type="http://schemas.openxmlformats.org/officeDocument/2006/relationships/hyperlink" Target="../../../../TKP/TKP2025/tkp2025_293_&#1057;&#1080;&#1083;&#1086;&#1074;&#1099;&#1077;_&#1084;&#1072;&#1096;&#1080;&#1085;&#1099;_&#1057;&#1090;&#1072;&#1090;&#1080;&#1074;&#1099;_&#1043;&#1058;&#1069;-65.1_&#1052;&#1077;&#1083;&#1080;&#1093;&#1086;&#1074;/" TargetMode="External"/><Relationship Id="rId509" Type="http://schemas.openxmlformats.org/officeDocument/2006/relationships/hyperlink" Target="../../../../TKP/TKP2025/tkp2025_506_&#1053;&#1055;&#1055;_&#1047;&#1074;&#1077;&#1079;&#1076;&#1072;_&#1055;&#1085;&#1077;&#1074;&#1084;&#1086;&#1085;&#1072;&#1075;&#1088;&#1091;&#1078;&#1072;&#1090;&#1077;&#1083;&#1100;_&#1040;&#1057;&#1057;_&#1057;&#1072;&#1093;&#1072;&#1083;&#1080;&#1085;_&#1052;&#1077;&#1083;&#1080;&#1093;&#1086;&#1074;/" TargetMode="External"/><Relationship Id="rId660" Type="http://schemas.openxmlformats.org/officeDocument/2006/relationships/hyperlink" Target="..\..\..\..\TKP\TKP2026\in2026\&#1054;&#1054;&#1054;\401-500\&#1054;&#1054;&#1054;_&#1042;&#1061;_26_413.pdf" TargetMode="External"/><Relationship Id="rId106" Type="http://schemas.openxmlformats.org/officeDocument/2006/relationships/hyperlink" Target="../../../../TKP/TKP2023/tkp2023_439_&#1057;&#1080;&#1083;&#1086;&#1074;&#1099;&#1077;_&#1084;&#1072;&#1096;&#1080;&#1085;&#1099;_&#1057;&#1048;_&#1080;&#1089;&#1087;&#1099;&#1090;&#1072;&#1085;&#1080;&#1103;_&#1087;&#1072;&#1090;&#1088;&#1091;&#1073;&#1082;&#1086;&#1074;_&#1045;&#1078;&#1086;&#1074;&#1072;/" TargetMode="External"/><Relationship Id="rId313" Type="http://schemas.openxmlformats.org/officeDocument/2006/relationships/hyperlink" Target="../../../../TKP/TKP2024/tkp2024_451_&#1050;&#1072;&#1083;&#1080;&#1085;&#1080;&#1085;&#1089;&#1082;&#1072;&#1103;_&#1040;&#1069;&#1057;_&#1057;&#1080;&#1089;&#1090;&#1077;&#1084;&#1072;%20&#1082;&#1086;&#1085;&#1090;&#1088;&#1086;&#1083;&#1103;%20&#1074;&#1080;&#1073;&#1088;&#1072;&#1094;&#1080;&#1080;%20&#1083;&#1086;&#1087;&#1072;&#1090;&#1086;&#1082;_&#1041;&#1091;&#1088;&#1103;&#1082;/&#1058;&#1050;&#1055;_451_24_&#1089;&#1090;&#1072;&#1090;&#1091;&#1089;.xlsm" TargetMode="External"/><Relationship Id="rId495" Type="http://schemas.openxmlformats.org/officeDocument/2006/relationships/hyperlink" Target="../../../../TKP/TKP2021/tkp2021_596_&#1057;&#1048;&#1057;60&#1082;&#1075;_&#1050;&#1041;&#1061;&#1052;_&#1056;&#1057;&#1057;/&#1058;&#1050;&#1055;_596_21_&#1089;&#1090;&#1072;&#1090;&#1091;&#1089;.xlsm" TargetMode="External"/><Relationship Id="rId716" Type="http://schemas.openxmlformats.org/officeDocument/2006/relationships/hyperlink" Target="file:///\\fserv\e\MERA\TKP\TKP2026\tkp2026_373_&#1054;&#1050;&#1041;%20&#1052;&#1080;&#1082;&#1086;&#1103;&#1085;&#1072;_&#1084;&#1086;&#1076;&#1072;&#1083;&#1100;&#1085;&#1099;&#1077;%20&#1080;&#1089;&#1087;&#1099;&#1090;&#1072;&#1085;&#1080;&#1103;_&#1056;&#1057;&#1057;\"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TKP/TKP2021/tkp2021_291_&#1054;&#1044;&#1050;-&#1040;&#1074;&#1080;&#1072;&#1076;&#1074;&#1080;&#1075;&#1072;&#1090;&#1077;&#1083;&#1100;_&#1056;&#1058;&#1057;_&#1089;&#1090;&#1072;&#1090;&#1086;&#1076;&#1080;&#1085;&#1072;&#1084;&#1080;&#1082;&#1072;_&#1045;&#1078;&#1086;&#1074;&#1072;" TargetMode="External"/><Relationship Id="rId299" Type="http://schemas.openxmlformats.org/officeDocument/2006/relationships/hyperlink" Target="..\..\..\..\TKP\TKP2023\tkp2023_221_&#1048;&#1083;-&#1040;&#1074;&#1080;&#1072;&#1089;&#1090;&#1072;&#1088;_4-&#1082;&#1072;&#1085;&#1072;&#1083;&#1100;&#1085;&#1072;&#1103;_&#1089;&#1080;&#1089;&#1090;&#1077;&#1084;&#1072;_&#1085;&#1072;&#1075;&#1088;&#1091;&#1078;&#1077;&#1085;&#1080;&#1103;_&#1052;&#1077;&#1083;&#1080;&#1093;&#1086;&#1074;\&#1058;&#1050;&#1055;_221_23_&#1089;&#1090;&#1072;&#1090;&#1091;&#1089;.xlsm" TargetMode="External"/><Relationship Id="rId303" Type="http://schemas.openxmlformats.org/officeDocument/2006/relationships/hyperlink" Target="..\..\..\..\TKP\TKP2023\tkp2023_139_&#1048;&#1088;&#1082;&#1091;&#1090;_&#1054;&#1050;&#1056;_&#1048;&#1042;&#1050;_&#1072;&#1085;&#1072;&#1083;&#1080;&#1079;_&#1082;&#1086;&#1088;&#1088;&#1086;&#1079;&#1080;&#1080;_&#1045;&#1078;&#1086;&#1074;&#1072;\&#1058;&#1050;&#1055;_139_23_&#1089;&#1090;&#1072;&#1090;&#1091;&#1089;.xlsm" TargetMode="External"/><Relationship Id="rId21" Type="http://schemas.openxmlformats.org/officeDocument/2006/relationships/hyperlink" Target="../../../../TKP/TKP2021/tkp2021_296_&#1054;&#1044;&#1050;_&#1040;&#1074;&#1080;&#1072;&#1076;&#1074;&#1080;&#1075;&#1072;&#1090;&#1077;&#1083;&#1100;_MIC-170_&#1045;&#1078;&#1086;&#1074;&#1072;" TargetMode="External"/><Relationship Id="rId42" Type="http://schemas.openxmlformats.org/officeDocument/2006/relationships/hyperlink" Target="../../../../TKP/TKP2021/tkp2021_062_&#1062;&#1048;&#1040;&#1052;_&#1055;&#1091;&#1083;&#1100;&#1090;_&#1062;2_&#1057;&#1085;&#1099;&#1075;&#1080;&#1085;&#1072;" TargetMode="External"/><Relationship Id="rId63" Type="http://schemas.openxmlformats.org/officeDocument/2006/relationships/hyperlink" Target="..\..\..\..\TKP\TKP2021\tkp2021_252_&#1040;&#1054;_&#1060;&#1053;&#1055;&#1062;_&#1058;&#1080;&#1090;&#1072;&#1085;-&#1041;&#1072;&#1088;&#1088;&#1080;&#1082;&#1072;&#1076;&#1099;_mic-1150_&#1057;&#1087;&#1080;&#1088;&#1080;&#1076;&#1086;&#1085;&#1089;&#1082;&#1080;&#1081;" TargetMode="External"/><Relationship Id="rId84" Type="http://schemas.openxmlformats.org/officeDocument/2006/relationships/hyperlink" Target="../../../../TKP/TKP2021/tkp2021_095_&#1053;&#1048;&#1062;_&#1056;&#1050;&#1055;_MIC-553_&#1057;&#1085;&#1099;&#1075;&#1080;&#1085;&#1072;" TargetMode="External"/><Relationship Id="rId138" Type="http://schemas.openxmlformats.org/officeDocument/2006/relationships/hyperlink" Target="../../../../TKP/TKP2022/tkp2022_414_&#1047;&#1040;&#1054;_&#1055;&#1088;&#1086;&#1095;&#1085;&#1086;&#1089;&#1090;&#1100;_&#1058;&#1077;&#1085;&#1079;&#1086;&#1089;&#1090;&#1072;&#1085;&#1094;&#1080;&#1103;%20&#1085;&#1072;%20&#1073;&#1072;&#1079;&#1077;%20MIC-224_&#1052;&#1077;&#1083;&#1080;&#1093;&#1086;&#1074;" TargetMode="External"/><Relationship Id="rId159" Type="http://schemas.openxmlformats.org/officeDocument/2006/relationships/hyperlink" Target="..\..\..\..\TKP\TKP2022\tkp2022_588_&#1043;&#1080;&#1087;&#1088;&#1086;&#1085;&#1080;&#1080;&#1072;&#1074;&#1080;&#1072;&#1087;&#1088;&#1086;&#1084;_&#1062;&#1048;&#1040;&#1052;_3_&#1069;&#1090;&#1072;&#1087;_&#1057;&#1087;&#1080;&#1088;&#1080;&#1076;&#1086;&#1085;&#1089;&#1082;&#1080;&#1081;\&#1057;&#1093;&#1077;&#1084;&#1072;_&#1089;&#1086;&#1077;&#1076;&#1080;&#1085;&#1077;&#1085;&#1080;&#1081;\&#1058;&#1050;&#1055;_588_22_&#1089;&#1090;&#1072;&#1090;&#1091;&#1089;.xlsm" TargetMode="External"/><Relationship Id="rId324" Type="http://schemas.openxmlformats.org/officeDocument/2006/relationships/hyperlink" Target="../../../../TKP/TKP2024/tkp2024_003_&#1059;&#1088;&#1072;&#1083;&#1100;&#1089;&#1082;&#1080;&#1081;%20&#1090;&#1091;&#1088;&#1073;&#1080;&#1085;&#1085;&#1099;&#1081;%20&#1079;&#1072;&#1074;&#1086;&#1076;_&#1076;&#1080;&#1072;&#1092;&#1088;&#1072;&#1075;&#1084;&#1099;%20&#1087;&#1088;&#1086;&#1075;&#1080;&#1073;_&#1052;&#1072;&#1089;&#1083;&#1086;&#1074;&#1072;/" TargetMode="External"/><Relationship Id="rId170" Type="http://schemas.openxmlformats.org/officeDocument/2006/relationships/hyperlink" Target="..\..\..\..\TKP\TKP2022\tkp2022_500_&#1040;&#1074;&#1072;&#1085;&#1075;&#1072;&#1088;&#1076;_&#1057;&#1080;&#1089;&#1090;&#1077;&#1084;&#1072;_&#1082;&#1086;&#1085;&#1090;&#1088;&#1086;&#1083;&#1103;_&#1057;&#1085;&#1099;&#1075;&#1080;&#1085;&#1072;" TargetMode="External"/><Relationship Id="rId191" Type="http://schemas.openxmlformats.org/officeDocument/2006/relationships/hyperlink" Target="../../../../TKP/TKP2022/tkp2022_536_&#1069;&#1090;&#1072;&#1083;&#1086;&#1085;_&#1048;&#1085;&#1085;&#1086;&#1074;&#1072;&#1094;&#1080;&#1080;_&#1048;&#1042;&#1050;_&#1089;&#1090;&#1072;&#1090;&#1080;&#1082;&#1072;_&#1045;&#1078;&#1086;&#1074;&#1072;/&#1057;&#1093;&#1077;&#1084;&#1072;%20&#1089;&#1086;&#1077;&#1076;&#1080;&#1085;&#1077;&#1085;&#1080;&#1081;/&#1090;&#1082;&#1087;536.vsdx" TargetMode="External"/><Relationship Id="rId205" Type="http://schemas.openxmlformats.org/officeDocument/2006/relationships/hyperlink" Target="../../../../TKP/TKP2022/tkp2022_351_&#1040;&#1075;&#1088;&#1077;&#1075;&#1072;&#1090;_&#1054;&#1073;&#1086;&#1088;&#1091;&#1076;&#1086;&#1074;&#1072;&#1085;&#1080;&#1077;%20&#1076;&#1083;&#1103;%20&#1080;&#1089;&#1087;&#1099;&#1090;&#1072;&#1085;&#1080;&#1081;%20&#1084;&#1072;&#1089;&#1083;&#1086;&#1072;&#1075;&#1088;&#1077;&#1075;&#1072;&#1090;&#1072;%20&#1040;&#1041;&#1042;.0400_&#1052;&#1077;&#1083;&#1080;&#1093;&#1086;&#1074;" TargetMode="External"/><Relationship Id="rId226" Type="http://schemas.openxmlformats.org/officeDocument/2006/relationships/hyperlink" Target="../../../../TKP/TKP2022/tkp2022_003_&#1052;&#1080;&#1082;&#1088;&#1086;&#1085;&#1080;&#1082;&#1072;_&#1050;&#1072;&#1073;&#1077;&#1083;&#1080;_&#1041;&#1086;&#1076;&#1088;&#1086;&#1074;" TargetMode="External"/><Relationship Id="rId247" Type="http://schemas.openxmlformats.org/officeDocument/2006/relationships/hyperlink" Target="../../../../TKP/TKP2022/tkp2022_502_&#1050;&#1088;&#1086;&#1085;&#1096;&#1090;&#1072;&#1076;&#1090;_&#1087;&#1077;&#1088;&#1077;&#1077;&#1079;&#1076;_&#1074;&#1080;&#1085;&#1090;&#1086;&#1074;&#1086;&#1075;&#1086;_&#1089;&#1090;&#1077;&#1085;&#1076;&#1072;_&#1045;&#1078;&#1086;&#1074;&#1072;" TargetMode="External"/><Relationship Id="rId107" Type="http://schemas.openxmlformats.org/officeDocument/2006/relationships/hyperlink" Target="../../../../TKP/TKP2021/tkp2021_619_&#1062;&#1048;&#1040;&#1052;_&#1089;&#1080;&#1089;&#1090;&#1077;&#1084;&#1072;_&#1080;&#1079;&#1084;&#1077;&#1088;&#1077;&#1085;&#1080;&#1081;_&#1045;&#1078;&#1086;&#1074;&#1072;" TargetMode="External"/><Relationship Id="rId268" Type="http://schemas.openxmlformats.org/officeDocument/2006/relationships/hyperlink" Target="../../../../TKP/TKP2022/tkp2022_601_&#1060;.&#1052;&#1072;&#1088;&#1090;&#1099;&#1085;&#1086;&#1074;_&#1086;&#1073;&#1086;&#1088;&#1091;&#1076;&#1086;&#1074;&#1072;&#1085;&#1080;&#1077;_&#1045;&#1078;&#1086;&#1074;&#1072;" TargetMode="External"/><Relationship Id="rId289" Type="http://schemas.openxmlformats.org/officeDocument/2006/relationships/hyperlink" Target="../../../../TKP/TKP2023/tkp2023_230_&#1058;&#1077;&#1093;&#1085;&#1086;&#1089;&#1090;&#1080;&#1083;&#1100;_&#1057;&#1087;&#1080;&#1088;&#1080;&#1076;&#1086;&#1085;&#1089;&#1082;&#1080;&#1081;_&#1056;&#1057;&#1057;/&#1058;&#1050;&#1055;_230_23_&#1089;&#1090;&#1072;&#1090;&#1091;&#1089;.xlsm" TargetMode="External"/><Relationship Id="rId11" Type="http://schemas.openxmlformats.org/officeDocument/2006/relationships/hyperlink" Target="../../../../TKP/TKP2021/tkp2021_071_&#1062;&#1048;&#1040;&#1052;_&#1062;-2_&#1057;&#1090;&#1072;&#1090;&#1080;&#1082;&#1072;_&#1042;&#1080;&#1076;&#1077;&#1086;_&#1044;&#1080;&#1085;&#1072;&#1084;&#1080;&#1082;&#1072;_&#1057;&#1085;&#1099;&#1075;&#1080;&#1085;&#1072;" TargetMode="External"/><Relationship Id="rId32" Type="http://schemas.openxmlformats.org/officeDocument/2006/relationships/hyperlink" Target="../../../../TKP/TKP2021/tkp2021_600_&#1069;&#1085;&#1077;&#1088;&#1075;&#1086;&#1084;&#1072;&#1096;_&#1056;&#1077;&#1084;&#1086;&#1085;&#1090;_MIC-819_&#1052;&#1072;&#1088;&#1090;&#1099;&#1085;&#1086;&#1074;" TargetMode="External"/><Relationship Id="rId53" Type="http://schemas.openxmlformats.org/officeDocument/2006/relationships/hyperlink" Target="../../../../TKP/TKP2021/tkp2021_403_&#1040;&#1101;&#1088;&#1086;&#1089;&#1080;&#1083;&#1072;_&#1089;&#1080;&#1089;&#1090;&#1077;&#1084;&#1072;_&#1091;&#1087;&#1088;&#1072;&#1074;&#1083;&#1077;&#1085;&#1080;&#1103;_&#1090;&#1077;&#1084;&#1087;&#1077;&#1088;&#1072;&#1090;&#1091;&#1088;&#1085;&#1099;&#1084;&#1080;_&#1088;&#1077;&#1078;&#1080;&#1084;&#1072;&#1084;&#1080;_&#1057;&#1087;&#1080;&#1088;&#1080;&#1076;&#1086;&#1085;&#1089;&#1082;&#1080;&#1081;" TargetMode="External"/><Relationship Id="rId74" Type="http://schemas.openxmlformats.org/officeDocument/2006/relationships/hyperlink" Target="../../../../TKP/TKP2021/tkp2021_084_&#1061;&#1088;&#1091;&#1085;&#1080;&#1095;&#1077;&#1074;&#1072;_MIC-036_&#1052;&#1072;&#1088;&#1090;&#1099;&#1085;&#1086;&#1074;" TargetMode="External"/><Relationship Id="rId128" Type="http://schemas.openxmlformats.org/officeDocument/2006/relationships/hyperlink" Target="../../../../TKP/TKP2022/tkp2022_164_&#1050;&#1041;&#1061;&#1052;_&#1052;&#1086;&#1076;&#1091;&#1083;&#1080;_MR-227C2_&#1052;&#1072;&#1088;&#1090;&#1099;&#1085;&#1086;&#1074;" TargetMode="External"/><Relationship Id="rId149" Type="http://schemas.openxmlformats.org/officeDocument/2006/relationships/hyperlink" Target="../../../../TKP/TKP2022/tkp2022_129_Kingsly_MIC-553_&#1045;&#1078;&#1086;&#1074;&#1072;" TargetMode="External"/><Relationship Id="rId314" Type="http://schemas.openxmlformats.org/officeDocument/2006/relationships/hyperlink" Target="..\..\..\..\TKP\TKP2023\tkp2023_505_&#1062;&#1053;&#1048;&#1048;&#1052;&#1040;&#1064;_&#1044;&#1086;&#1088;&#1072;&#1073;&#1086;&#1090;&#1082;&#1072;_&#1073;&#1072;&#1083;&#1083;&#1080;&#1089;&#1090;&#1080;&#1095;&#1077;&#1089;&#1082;&#1086;&#1075;&#1086;_&#1084;&#1072;&#1103;&#1090;&#1085;&#1080;&#1082;&#1072;_&#1052;&#1072;&#1088;&#1090;&#1099;&#1085;&#1086;&#1074;\&#1058;&#1050;&#1055;_505_23_&#1089;&#1090;&#1072;&#1090;&#1091;&#1089;.xlsm" TargetMode="External"/><Relationship Id="rId335" Type="http://schemas.openxmlformats.org/officeDocument/2006/relationships/hyperlink" Target="../../../../TKP/TKP2024/tkp2024_283_&#1057;&#1080;&#1083;&#1086;&#1074;&#1099;&#1077;%20&#1084;&#1072;&#1096;&#1080;&#1085;&#1099;_MIC-1200_&#1052;&#1072;&#1089;&#1083;&#1086;&#1074;&#1072;/" TargetMode="External"/><Relationship Id="rId5" Type="http://schemas.openxmlformats.org/officeDocument/2006/relationships/hyperlink" Target="..\..\..\..\TKP\TKP2021\tkp2021_075_&#1069;&#1051;&#1047;&#1040;_&#1089;&#1090;&#1077;&#1085;&#1076;_&#1045;&#1078;&#1086;&#1074;&#1072;" TargetMode="External"/><Relationship Id="rId95" Type="http://schemas.openxmlformats.org/officeDocument/2006/relationships/hyperlink" Target="../../../../TKP/TKP2021/tkp2021_396_&#1053;&#1048;&#1062;_&#1056;&#1050;&#1055;_&#1040;&#1050;&#1059;_&#1056;&#1052;_&#1052;&#1072;&#1088;&#1090;&#1099;&#1085;&#1086;&#1074;" TargetMode="External"/><Relationship Id="rId160" Type="http://schemas.openxmlformats.org/officeDocument/2006/relationships/hyperlink" Target="../../../../TKP/TKP2022/tkp2022_522_&#1055;&#1040;&#1054;_&#1050;&#1091;&#1079;&#1085;&#1077;&#1094;&#1086;&#1074;_&#1042;&#1080;&#1085;&#1090;&#1072;&#1081;_198_&#1040;&#1057;&#1059;&#1058;&#1055;_&#1057;&#1087;&#1080;&#1088;&#1080;&#1076;&#1086;&#1085;&#1089;&#1082;&#1080;&#1081;/&#1058;&#1050;&#1055;_522_22_&#1089;&#1090;&#1072;&#1090;&#1091;&#1089;.xlsm" TargetMode="External"/><Relationship Id="rId181" Type="http://schemas.openxmlformats.org/officeDocument/2006/relationships/hyperlink" Target="../../../../TKP/TKP2022/tkp2022_117_&#1040;&#1074;&#1080;&#1072;&#1090;&#1077;&#1089;&#1090;_SSJ%20NEW_&#1045;&#1078;&#1086;&#1074;&#1072;_&#1056;&#1057;&#1057;/&#1048;&#1089;&#1093;&#1086;&#1076;&#1085;&#1099;&#1077;%20&#1076;&#1072;&#1085;&#1085;&#1099;&#1077;/&#1054;&#1054;&#1054;_&#1042;&#1061;_22_282_&#1040;&#1074;&#1080;&#1072;&#1090;&#1077;&#1089;&#1090;.pdf" TargetMode="External"/><Relationship Id="rId216" Type="http://schemas.openxmlformats.org/officeDocument/2006/relationships/hyperlink" Target="../../../../TKP/TKP2022/tkp2022_366_Kingsly_pressure_LabView_&#1056;&#1057;&#1057;" TargetMode="External"/><Relationship Id="rId237" Type="http://schemas.openxmlformats.org/officeDocument/2006/relationships/hyperlink" Target="../../../../TKP/TKP2022/tkp2022_058_&#1053;&#1055;&#1054;_&#1040;&#1074;&#1090;&#1086;&#1084;&#1072;&#1090;&#1080;&#1082;&#1080;_MIC-700_&#1052;&#1072;&#1088;&#1090;&#1099;&#1085;&#1086;&#1074;" TargetMode="External"/><Relationship Id="rId258" Type="http://schemas.openxmlformats.org/officeDocument/2006/relationships/hyperlink" Target="../../../../TKP/TKP2022/tkp2022_448_Kingsly_Rocket_Motor_static_fire_test_bench_&#1045;&#1078;&#1086;&#1074;&#1072;" TargetMode="External"/><Relationship Id="rId279" Type="http://schemas.openxmlformats.org/officeDocument/2006/relationships/hyperlink" Target="../../../../TKP/TKP2023/tkp2023_099_&#1052;&#1043;&#1040;&#1055;_&#1040;&#1057;&#1059;&#1058;&#1055;_&#1051;&#1048;&#1042;&#1059;&#1055;_&#1057;&#1087;&#1080;&#1088;&#1080;&#1076;&#1086;&#1085;&#1089;&#1082;&#1080;&#1081;" TargetMode="External"/><Relationship Id="rId22" Type="http://schemas.openxmlformats.org/officeDocument/2006/relationships/hyperlink" Target="../../../../TKP/TKP2021/tkp2021_521_&#1056;&#1057;&#1050;_&#1052;&#1048;&#1043;_MIC-200%20_&#1057;&#1085;&#1099;&#1075;&#1080;&#1085;&#1072;" TargetMode="External"/><Relationship Id="rId43" Type="http://schemas.openxmlformats.org/officeDocument/2006/relationships/hyperlink" Target="../../../../TKP/TKP2021/tkp2021_063_&#1062;&#1048;&#1040;&#1052;_&#1089;&#1090;&#1077;&#1085;&#1076;_&#1057;&#1085;&#1099;&#1075;&#1080;&#1085;&#1072;" TargetMode="External"/><Relationship Id="rId64" Type="http://schemas.openxmlformats.org/officeDocument/2006/relationships/hyperlink" Target="../../../../TKP/TKP2021/tkp2021_458_&#1053;&#1055;&#1054;_&#1040;&#1074;&#1090;&#1086;&#1084;&#1072;&#1090;&#1080;&#1082;&#1080;_&#1050;&#1057;&#1058;-1.5_&#1052;&#1072;&#1088;&#1090;&#1099;&#1085;&#1086;&#1074;" TargetMode="External"/><Relationship Id="rId118" Type="http://schemas.openxmlformats.org/officeDocument/2006/relationships/hyperlink" Target="../../../../TKP/TKP2021/tkp2021_531_&#1054;&#1044;&#1050;_&#1057;&#1072;&#1090;&#1091;&#1088;&#1085;_MIC-036_&#1057;&#1085;&#1099;&#1075;&#1080;&#1085;&#1072;" TargetMode="External"/><Relationship Id="rId139" Type="http://schemas.openxmlformats.org/officeDocument/2006/relationships/hyperlink" Target="..\..\..\..\TKP\TKP2022\tkp2022_056_&#1043;&#1040;&#1055;_&#1089;&#1086;&#1102;&#1079;_&#1040;&#1057;&#1059;&#1058;&#1055;_&#1051;&#1042;&#1044;_&#1057;&#1087;&#1080;&#1088;&#1080;&#1076;&#1086;&#1085;&#1089;&#1082;&#1080;&#1081;_&#1056;&#1057;&#1057;\" TargetMode="External"/><Relationship Id="rId290" Type="http://schemas.openxmlformats.org/officeDocument/2006/relationships/hyperlink" Target="../../../../TKP/TKP2023/tkp2023_059_&#1062;&#1048;&#1040;&#1052;_&#1040;&#1048;&#1048;&#1057;_&#1062;-17&#1043;3_2_&#1095;&#1072;&#1089;&#1090;&#1100;_&#1045;&#1078;&#1086;&#1074;&#1072;" TargetMode="External"/><Relationship Id="rId304" Type="http://schemas.openxmlformats.org/officeDocument/2006/relationships/hyperlink" Target="../../../../TKP/TKP2023/tkp2023_183_&#1056;&#1086;&#1074;&#1077;&#1088;_&#1088;&#1072;&#1073;&#1086;&#1090;&#1099;_&#1057;&#1059;&#1054;&#1057;&#1050;_&#1045;&#1078;&#1086;&#1074;&#1072;" TargetMode="External"/><Relationship Id="rId325" Type="http://schemas.openxmlformats.org/officeDocument/2006/relationships/hyperlink" Target="..\..\..\..\TKP\TKP2022\tkp2022_568_&#1042;&#1052;&#1047;_&#1059;&#1089;&#1090;&#1072;&#1083;&#1086;&#1089;&#1090;&#1085;&#1099;&#1077;%20&#1080;&#1089;&#1087;&#1099;&#1090;&#1072;&#1085;&#1080;&#1103;_&#1056;&#1057;&#1057;_&#1060;&#1080;&#1083;&#1080;&#1084;&#1086;&#1085;&#1086;&#1074;" TargetMode="External"/><Relationship Id="rId85" Type="http://schemas.openxmlformats.org/officeDocument/2006/relationships/hyperlink" Target="../../../../TKP/TKP2021/tkp2021_422_&#1057;&#1048;&#1054;&#1053;_MIC-170_&#1057;&#1085;&#1099;&#1075;&#1080;&#1085;&#1072;" TargetMode="External"/><Relationship Id="rId150" Type="http://schemas.openxmlformats.org/officeDocument/2006/relationships/hyperlink" Target="../../../../TKP/TKP2022/tkp2022_357_&#1054;&#1044;&#1050;-&#1050;&#1083;&#1080;&#1084;&#1086;&#1074;_MIC-553_&#1045;&#1078;&#1086;&#1074;&#1072;_&#1056;&#1057;&#1057;" TargetMode="External"/><Relationship Id="rId171" Type="http://schemas.openxmlformats.org/officeDocument/2006/relationships/hyperlink" Target="..\..\..\..\TKP\TKP2022\tkp2022_197_&#1050;&#1088;&#1072;&#1089;&#1084;&#1072;&#1096;_&#1057;&#1048;&#1059;_&#1045;&#1078;&#1086;&#1074;&#1072;\" TargetMode="External"/><Relationship Id="rId192" Type="http://schemas.openxmlformats.org/officeDocument/2006/relationships/hyperlink" Target="../../../../TKP/TKP2022/tkp2022_043_&#1062;&#1048;&#1040;&#1052;_&#1054;&#1042;&#1048;&#1057;&#1058;_&#1087;&#1088;&#1086;&#1077;&#1082;&#1090;&#1080;&#1088;&#1086;&#1074;&#1072;&#1085;&#1080;&#1077;_&#1057;&#1087;&#1080;&#1088;&#1080;&#1076;&#1086;&#1085;&#1089;&#1082;&#1080;&#1081;" TargetMode="External"/><Relationship Id="rId206" Type="http://schemas.openxmlformats.org/officeDocument/2006/relationships/hyperlink" Target="../../../../TKP/TKP2022/tkp2022_372_&#1054;&#1044;&#1050;_&#1057;&#1072;&#1090;&#1091;&#1088;&#1085;_&#1048;&#1042;&#1050;_&#1056;&#1059;&#1044;_&#1089;&#1090;&#1077;&#1085;&#1076;&#1099;%20&#1084;&#1072;&#1083;&#1099;&#1096;&#1080;_&#1045;&#1078;&#1086;&#1074;&#1072;_&#1056;&#1057;&#1057;/" TargetMode="External"/><Relationship Id="rId227" Type="http://schemas.openxmlformats.org/officeDocument/2006/relationships/hyperlink" Target="../../../../TKP/TKP2022/tkp2022_016_&#1062;&#1048;&#1040;&#1052;_&#1040;&#1048;&#1048;&#1057;%20&#1062;-17&#1058;_&#1041;&#1086;&#1076;&#1088;&#1086;&#1074;" TargetMode="External"/><Relationship Id="rId248" Type="http://schemas.openxmlformats.org/officeDocument/2006/relationships/hyperlink" Target="../../../../TKP/TKP2022/tkp2022_543_&#1042;&#1086;&#1090;&#1082;&#1080;&#1085;&#1089;&#1082;&#1080;&#1081;_&#1079;&#1072;&#1074;&#1086;&#1076;_&#1052;&#1057;-227U_&#1057;&#1085;&#1099;&#1075;&#1080;&#1085;&#1072;" TargetMode="External"/><Relationship Id="rId269" Type="http://schemas.openxmlformats.org/officeDocument/2006/relationships/hyperlink" Target="..\..\..\..\TKP\TKP2022\tkp2022_596_&#1059;&#1052;&#1055;&#1054;_&#1057;&#1090;&#1077;&#1085;&#1076;_&#1080;&#1089;&#1087;&#1099;&#1090;&#1072;&#1085;&#1080;&#1103;_&#1040;&#1055;&#1044;_&#1052;&#1077;&#1083;&#1080;&#1093;&#1086;&#1074;_&#1047;&#1077;&#1084;&#1089;&#1082;&#1080;&#1093;\&#1058;&#1050;&#1055;_596_22_&#1089;&#1090;&#1072;&#1090;&#1091;&#1089;.xlsm" TargetMode="External"/><Relationship Id="rId12" Type="http://schemas.openxmlformats.org/officeDocument/2006/relationships/hyperlink" Target="../../../../TKP/TKP2021/tkp2021_490_&#1062;&#1048;&#1040;&#1052;_&#1040;&#1048;&#1048;&#1057;_&#1055;&#1044;35_&#1057;&#1087;&#1080;&#1088;&#1080;&#1076;&#1086;&#1085;&#1089;&#1082;&#1080;&#1081;" TargetMode="External"/><Relationship Id="rId33" Type="http://schemas.openxmlformats.org/officeDocument/2006/relationships/hyperlink" Target="../../../../TKP/TKP2021/tkp2021_586_&#1057;&#1090;&#1072;&#1088;&#1090;_MIC-236_&#1057;&#1085;&#1099;&#1075;&#1080;&#1085;&#1072;" TargetMode="External"/><Relationship Id="rId108" Type="http://schemas.openxmlformats.org/officeDocument/2006/relationships/hyperlink" Target="../../../../TKP/TKP2021/tkp2021_596_&#1057;&#1048;&#1057;60&#1082;&#1075;_&#1050;&#1041;&#1061;&#1052;_&#1056;&#1057;&#1057;" TargetMode="External"/><Relationship Id="rId129" Type="http://schemas.openxmlformats.org/officeDocument/2006/relationships/hyperlink" Target="../../../../TKP/TKP2022/tkp2022_164_&#1050;&#1041;&#1061;&#1052;_&#1052;&#1086;&#1076;&#1091;&#1083;&#1080;_MR-227C2_&#1052;&#1072;&#1088;&#1090;&#1099;&#1085;&#1086;&#1074;" TargetMode="External"/><Relationship Id="rId280" Type="http://schemas.openxmlformats.org/officeDocument/2006/relationships/hyperlink" Target="file:///\\192.168.3.9\e\MERA\TKP\TKP2023\tkp2023_026_&#1062;&#1053;&#1048;&#1048;&#1052;&#1040;&#1064;_&#1056;&#1057;&#1057;" TargetMode="External"/><Relationship Id="rId315" Type="http://schemas.openxmlformats.org/officeDocument/2006/relationships/hyperlink" Target="../../../../TKP/TKP2023/tkp2023_505_&#1062;&#1053;&#1048;&#1048;&#1052;&#1040;&#1064;_&#1044;&#1086;&#1088;&#1072;&#1073;&#1086;&#1090;&#1082;&#1072;_&#1073;&#1072;&#1083;&#1083;&#1080;&#1089;&#1090;&#1080;&#1095;&#1077;&#1089;&#1082;&#1086;&#1075;&#1086;_&#1084;&#1072;&#1103;&#1090;&#1085;&#1080;&#1082;&#1072;_&#1052;&#1072;&#1088;&#1090;&#1099;&#1085;&#1086;&#1074;/" TargetMode="External"/><Relationship Id="rId336" Type="http://schemas.openxmlformats.org/officeDocument/2006/relationships/hyperlink" Target="../../../../TKP/TKP2024/tkp2024_283_&#1057;&#1080;&#1083;&#1086;&#1074;&#1099;&#1077;%20&#1084;&#1072;&#1096;&#1080;&#1085;&#1099;_MIC-1200_&#1052;&#1072;&#1089;&#1083;&#1086;&#1074;&#1072;/&#1058;&#1050;&#1055;_283_24_&#1089;&#1090;&#1072;&#1090;&#1091;&#1089;.xlsm" TargetMode="External"/><Relationship Id="rId54" Type="http://schemas.openxmlformats.org/officeDocument/2006/relationships/hyperlink" Target="../../../../TKP/TKP2021/tkp2021_399_&#1062;&#1048;&#1040;&#1052;_&#1087;&#1091;&#1083;&#1100;&#1090;&#1086;&#1074;&#1072;&#1103;_&#1062;-3_&#1045;&#1078;&#1086;&#1074;&#1072;" TargetMode="External"/><Relationship Id="rId75" Type="http://schemas.openxmlformats.org/officeDocument/2006/relationships/hyperlink" Target="../../../../TKP/TKP2021/tkp2021_032_&#1059;&#1088;&#1072;&#1083;&#1074;&#1072;&#1075;&#1086;&#1085;&#1079;&#1072;&#1074;&#1086;&#1076;_MIC-036_&#1045;&#1078;&#1086;&#1074;&#1072;" TargetMode="External"/><Relationship Id="rId96" Type="http://schemas.openxmlformats.org/officeDocument/2006/relationships/hyperlink" Target="../../../../TKP/TKP2020/tkp2020_245_&#1053;&#1055;&#1055;_&#1057;&#1090;&#1072;&#1088;&#1090;_&#1055;&#1088;&#1086;&#1075;&#1088;&#1072;&#1084;&#1085;&#1086;-&#1080;&#1079;&#1084;&#1077;&#1088;&#1080;&#1090;&#1077;&#1083;&#1100;&#1085;&#1099;&#1081;_&#1082;&#1086;&#1084;&#1087;&#1083;&#1077;&#1082;&#1089;_&#1052;&#1072;&#1088;&#1090;&#1099;&#1085;&#1086;&#1074;" TargetMode="External"/><Relationship Id="rId140" Type="http://schemas.openxmlformats.org/officeDocument/2006/relationships/hyperlink" Target="../../../../TKP/TKP2022/tkp2022_554_%20&#1054;&#1044;&#1050;-&#1057;&#1072;&#1090;&#1091;&#1088;&#1085;_&#1084;&#1086;&#1076;&#1077;&#1088;&#1085;&#1080;&#1079;&#1072;&#1094;&#1080;&#1103;_&#1089;&#1090;&#1077;&#1085;&#1076;&#1086;&#1074;_19,20,21_&#1045;&#1078;&#1086;&#1074;&#1072;" TargetMode="External"/><Relationship Id="rId161" Type="http://schemas.openxmlformats.org/officeDocument/2006/relationships/hyperlink" Target="..\..\..\..\TKP\TKP2022\tkp2022_588_&#1043;&#1080;&#1087;&#1088;&#1086;&#1085;&#1080;&#1080;&#1072;&#1074;&#1080;&#1072;&#1087;&#1088;&#1086;&#1084;_&#1062;&#1048;&#1040;&#1052;_3_&#1069;&#1090;&#1072;&#1087;_&#1057;&#1087;&#1080;&#1088;&#1080;&#1076;&#1086;&#1085;&#1089;&#1082;&#1080;&#1081;\&#1057;&#1093;&#1077;&#1084;&#1072;_&#1089;&#1086;&#1077;&#1076;&#1080;&#1085;&#1077;&#1085;&#1080;&#1081;\" TargetMode="External"/><Relationship Id="rId182" Type="http://schemas.openxmlformats.org/officeDocument/2006/relationships/hyperlink" Target="../../../../TKP/TKP2022/tkp2022_278_&#1054;&#1052;&#1050;_&#1042;&#1099;&#1082;&#1089;&#1072;_&#1055;&#1053;&#1056;%20&#1086;&#1073;&#1086;&#1088;&#1091;&#1076;&#1086;&#1074;&#1072;&#1085;&#1080;&#1103;%20NI_&#1052;&#1077;&#1083;&#1080;&#1093;&#1086;&#1074;" TargetMode="External"/><Relationship Id="rId217" Type="http://schemas.openxmlformats.org/officeDocument/2006/relationships/hyperlink" Target="../../../../TKP/TKP2022/tkp2022_230_&#1057;&#1050;&#1041;&#1052;_&#1050;&#1091;&#1088;&#1075;&#1072;&#1085;&#1052;&#1072;&#1096;&#1047;&#1072;&#1074;&#1086;&#1076;_&#1089;&#1090;&#1077;&#1085;&#1076;%20&#1080;&#1089;&#1087;&#1099;&#1090;&#1072;&#1085;&#1080;&#1081;%20&#1043;&#1052;&#1058;_&#1045;&#1078;&#1086;&#1074;&#1072;_&#1056;&#1057;&#1057;/&#1058;&#1050;&#1055;_230_22_&#1089;&#1090;&#1072;&#1090;&#1091;&#1089;.xlsm" TargetMode="External"/><Relationship Id="rId6" Type="http://schemas.openxmlformats.org/officeDocument/2006/relationships/hyperlink" Target="../../../../TKP/TKP2021/tkp2021_306_&#1043;&#1048;&#1055;&#1061;_&#1048;&#1048;&#1057;_&#1045;&#1078;&#1086;&#1074;&#1072;" TargetMode="External"/><Relationship Id="rId238" Type="http://schemas.openxmlformats.org/officeDocument/2006/relationships/hyperlink" Target="../../../../TKP/TKP2022/tkp2022_199_&#1050;&#1088;&#1080;&#1086;&#1075;&#1077;&#1085;&#1084;&#1072;&#1096;_&#1056;&#1057;&#1059;_&#1052;&#1077;&#1083;&#1080;&#1093;&#1086;&#1074;" TargetMode="External"/><Relationship Id="rId259" Type="http://schemas.openxmlformats.org/officeDocument/2006/relationships/hyperlink" Target="../../../../TKP/TKP2022/tkp2022_433_&#1048;&#1085;&#1078;&#1055;&#1088;&#1086;&#1084;_&#1040;&#1085;&#1072;&#1083;&#1086;&#1075;&#1080;_&#1084;&#1086;&#1076;&#1091;&#1083;&#1077;&#1081;_NI_&#1052;&#1077;&#1083;&#1080;&#1093;&#1086;&#1074;/" TargetMode="External"/><Relationship Id="rId23" Type="http://schemas.openxmlformats.org/officeDocument/2006/relationships/hyperlink" Target="../../../../TKP/TKP2022/tkp2022_005_&#1058;&#1077;&#1089;&#1090;&#1055;&#1072;&#1088;&#1090;&#1085;&#1077;&#1088;_MIC-355_&#1057;&#1085;&#1099;&#1075;&#1080;&#1085;&#1072;" TargetMode="External"/><Relationship Id="rId119" Type="http://schemas.openxmlformats.org/officeDocument/2006/relationships/hyperlink" Target="../../../../TKP/TKP2021/tkp2021_238_&#1054;&#1044;&#1050;-&#1057;&#1072;&#1090;&#1091;&#1088;&#1085;_&#1084;&#1086;&#1073;&#1080;&#1083;&#1100;&#1085;&#1099;&#1081;%20&#1048;&#1042;&#1050;%20DDS-M_&#1045;&#1078;&#1086;&#1074;&#1072;" TargetMode="External"/><Relationship Id="rId270" Type="http://schemas.openxmlformats.org/officeDocument/2006/relationships/hyperlink" Target="../../../../TKP/TKP2022/tkp2022_541_%20&#1050;&#1091;&#1088;&#1075;&#1072;&#1085;&#1052;&#1072;&#1096;&#1047;&#1072;&#1074;&#1086;&#1076;_8%20&#1089;&#1090;&#1077;&#1085;&#1076;&#1086;&#1074;_&#1056;&#1057;&#1057;_&#1052;&#1077;&#1083;&#1080;&#1093;&#1086;&#1074;/&#1058;&#1050;&#1055;_541_22_&#1089;&#1090;&#1072;&#1090;&#1091;&#1089;.xlsm" TargetMode="External"/><Relationship Id="rId291" Type="http://schemas.openxmlformats.org/officeDocument/2006/relationships/hyperlink" Target="../../../../TKP/TKP2023/tkp2023_034_&#1058;&#1040;&#1053;&#1058;&#1050;_&#1080;&#1084;_&#1041;&#1077;&#1088;&#1080;&#1077;&#1074;&#1072;_MIC-224_&#1057;&#1085;&#1099;&#1075;&#1080;&#1085;&#1072;" TargetMode="External"/><Relationship Id="rId305" Type="http://schemas.openxmlformats.org/officeDocument/2006/relationships/hyperlink" Target="../../../../TKP/TKP2023/tkp2023_176_&#1053;&#1055;&#1054;_&#1040;&#1074;&#1090;&#1086;&#1084;&#1072;&#1090;&#1080;&#1082;&#1080;_MIC-700_&#1052;&#1072;&#1088;&#1090;&#1099;&#1085;&#1086;&#1074;" TargetMode="External"/><Relationship Id="rId326" Type="http://schemas.openxmlformats.org/officeDocument/2006/relationships/hyperlink" Target="..\..\..\..\TKP\TKP2022\tkp2022_568_&#1042;&#1052;&#1047;_&#1059;&#1089;&#1090;&#1072;&#1083;&#1086;&#1089;&#1090;&#1085;&#1099;&#1077;%20&#1080;&#1089;&#1087;&#1099;&#1090;&#1072;&#1085;&#1080;&#1103;_&#1056;&#1057;&#1057;_&#1060;&#1080;&#1083;&#1080;&#1084;&#1086;&#1085;&#1086;&#1074;\&#1058;&#1050;&#1055;_568_22_&#1089;&#1090;&#1072;&#1090;&#1091;&#1089;.xlsm" TargetMode="External"/><Relationship Id="rId44" Type="http://schemas.openxmlformats.org/officeDocument/2006/relationships/hyperlink" Target="../../../../TKP/TKP2021/tkp2021_063_&#1062;&#1048;&#1040;&#1052;_&#1089;&#1090;&#1077;&#1085;&#1076;_&#1057;&#1085;&#1099;&#1075;&#1080;&#1085;&#1072;" TargetMode="External"/><Relationship Id="rId65" Type="http://schemas.openxmlformats.org/officeDocument/2006/relationships/hyperlink" Target="../../../../TKP/TKP2021/tkp2021_460_&#1053;&#1055;&#1054;_&#1040;&#1074;&#1090;&#1086;&#1084;&#1072;&#1090;&#1080;&#1082;&#1080;_&#1050;&#1057;&#1058;-1.5_&#1052;&#1072;&#1088;&#1090;&#1099;&#1085;&#1086;&#1074;" TargetMode="External"/><Relationship Id="rId86" Type="http://schemas.openxmlformats.org/officeDocument/2006/relationships/hyperlink" Target="../../../../TKP/TKP2021/tkp2021_173_&#1054;&#1044;&#1050;_&#1057;&#1072;&#1090;&#1091;&#1088;&#1085;_&#1059;5-&#1051;&#1050;_&#1055;&#1044;-8_&#1045;&#1078;&#1086;&#1074;&#1072;" TargetMode="External"/><Relationship Id="rId130" Type="http://schemas.openxmlformats.org/officeDocument/2006/relationships/hyperlink" Target="../../../../TKP/TKP2022/tkp2022_164_&#1050;&#1041;&#1061;&#1052;_&#1052;&#1086;&#1076;&#1091;&#1083;&#1080;_MR-227C2_&#1052;&#1072;&#1088;&#1090;&#1099;&#1085;&#1086;&#1074;" TargetMode="External"/><Relationship Id="rId151" Type="http://schemas.openxmlformats.org/officeDocument/2006/relationships/hyperlink" Target="../../../../TKP/TKP2023/tkp2023_072_&#1059;&#1047;&#1043;&#1040;_&#1055;&#1086;&#1087;&#1086;&#1083;&#1072;&#1074;&#1086;&#1082;_&#1044;_&#1057;&#1087;&#1080;&#1088;&#1080;&#1076;&#1086;&#1085;&#1089;&#1082;&#1080;&#1081;" TargetMode="External"/><Relationship Id="rId172" Type="http://schemas.openxmlformats.org/officeDocument/2006/relationships/hyperlink" Target="../../../../TKP/TKP2020/tkp2020_091_&#1053;&#1055;&#1054;_&#1052;&#1040;&#1064;_&#1057;&#1063;_&#1054;&#1050;&#1056;_&#1050;&#1088;&#1077;&#1084;&#1077;&#1085;&#1100;_&#1052;&#1072;&#1088;&#1090;&#1099;&#1085;&#1086;&#1074;" TargetMode="External"/><Relationship Id="rId193" Type="http://schemas.openxmlformats.org/officeDocument/2006/relationships/hyperlink" Target="../../../../TKP/TKP2022/tkp2022_401_&#1053;&#1055;&#1054;_&#1040;&#1074;&#1090;&#1086;&#1084;&#1072;&#1090;&#1080;&#1082;&#1080;_&#1050;&#1057;&#1058;-2_&#1052;&#1072;&#1088;&#1090;&#1099;&#1085;&#1086;&#1074;" TargetMode="External"/><Relationship Id="rId207" Type="http://schemas.openxmlformats.org/officeDocument/2006/relationships/hyperlink" Target="../../../../TKP/TKP2022/tkp2022_370_&#1040;&#1044;&#1052;_&#1057;&#1087;&#1077;&#1094;&#1056;&#1058;_&#1062;&#1053;&#1048;&#1048;&#1052;&#1040;&#1064;_&#1072;&#1082;&#1091;&#1089;&#1090;&#1080;&#1095;&#1077;&#1089;&#1082;&#1072;&#1103;_&#1082;&#1072;&#1084;&#1077;&#1088;&#1072;_&#1045;&#1078;&#1086;&#1074;&#1072;_&#1056;&#1057;&#1057;" TargetMode="External"/><Relationship Id="rId228" Type="http://schemas.openxmlformats.org/officeDocument/2006/relationships/hyperlink" Target="../../../../TKP/TKP2022/tkp2022_055_&#1040;&#1074;&#1080;&#1072;&#1076;&#1074;&#1080;&#1075;&#1072;&#1090;&#1077;&#1083;&#1100;_ME-005_&#1041;&#1086;&#1076;&#1088;&#1086;&#1074;" TargetMode="External"/><Relationship Id="rId249" Type="http://schemas.openxmlformats.org/officeDocument/2006/relationships/hyperlink" Target="../../../../TKP/TKP2022/tkp2022_011_&#1050;&#1043;&#1058;&#1059;_&#1087;&#1086;&#1074;&#1077;&#1088;&#1082;&#1072;_&#1057;&#1085;&#1099;&#1075;&#1080;&#1085;&#1072;" TargetMode="External"/><Relationship Id="rId13" Type="http://schemas.openxmlformats.org/officeDocument/2006/relationships/hyperlink" Target="../../../../TKP/TKP2021/tkp2021_063_&#1062;&#1048;&#1040;&#1052;_&#1089;&#1090;&#1077;&#1085;&#1076;_&#1057;&#1085;&#1099;&#1075;&#1080;&#1085;&#1072;" TargetMode="External"/><Relationship Id="rId109" Type="http://schemas.openxmlformats.org/officeDocument/2006/relationships/hyperlink" Target="../../../../TKP/TKP2021/tkp2021_266_&#1053;&#1040;&#1047;_&#1080;&#1084;.&#1063;&#1082;&#1072;&#1083;&#1086;&#1074;&#1072;(&#1057;&#1091;&#1093;&#1086;&#1081;)_&#1040;&#1057;&#1059;_&#1052;&#1072;&#1088;&#1090;&#1099;&#1085;&#1086;&#1074;_&#1056;&#1057;&#1057;" TargetMode="External"/><Relationship Id="rId260" Type="http://schemas.openxmlformats.org/officeDocument/2006/relationships/hyperlink" Target="../../../../TKP/TKP2022/tkp2022_494_&#1050;&#1041;&#1061;&#1052;_&#1052;&#1045;-927_&#1057;&#1085;&#1099;&#1075;&#1080;&#1085;&#1072;" TargetMode="External"/><Relationship Id="rId281" Type="http://schemas.openxmlformats.org/officeDocument/2006/relationships/hyperlink" Target="..\..\..\..\TKP\TKP2023\tkp2023_026_&#1062;&#1053;&#1048;&#1048;&#1052;&#1040;&#1064;_&#1056;&#1057;&#1057;\&#1058;&#1050;&#1055;_026_23_&#1089;&#1090;&#1072;&#1090;&#1091;&#1089;.xlsm" TargetMode="External"/><Relationship Id="rId316" Type="http://schemas.openxmlformats.org/officeDocument/2006/relationships/hyperlink" Target="..\..\..\..\TKP\TKP2023\tkp2023_395_&#1062;&#1053;&#1048;&#1048;&#1052;&#1072;&#1096;_&#1057;&#1080;&#1089;&#1090;&#1077;&#1084;&#1072;_&#1080;&#1079;&#1084;&#1077;&#1088;&#1077;&#1085;&#1080;&#1081;_200_&#1082;&#1072;&#1085;&#1072;&#1083;&#1086;&#1074;_&#1056;&#1057;&#1057;_&#1052;&#1077;&#1083;&#1080;&#1093;&#1086;&#1074;\" TargetMode="External"/><Relationship Id="rId337" Type="http://schemas.openxmlformats.org/officeDocument/2006/relationships/hyperlink" Target="..\..\..\..\..\CLIENTS\FORMULYA\2024\p3151_&#1051;&#1052;&#1047;_MIC-1200_&#1051;&#1072;&#1079;&#1072;&#1088;&#1077;&#1074;_&#1056;&#1057;&#1057;.xls" TargetMode="External"/><Relationship Id="rId34" Type="http://schemas.openxmlformats.org/officeDocument/2006/relationships/hyperlink" Target="../../../../TKP/TKP2021/tkp2021_597_&#1040;&#1074;&#1080;&#1072;&#1076;&#1074;&#1080;&#1075;&#1072;&#1090;&#1077;&#1083;&#1100;_MIC-140_&#1057;&#1085;&#1099;&#1075;&#1080;&#1085;&#1072;" TargetMode="External"/><Relationship Id="rId55" Type="http://schemas.openxmlformats.org/officeDocument/2006/relationships/hyperlink" Target="../../../../TKP/TKP2020/tkp2020_028_&#1053;&#1055;&#1054;_&#1084;&#1072;&#1096;&#1080;&#1085;&#1086;&#1089;&#1090;&#1088;&#1086;&#1077;&#1085;&#1080;&#1103;_MIC-355M_Win&#1055;&#1054;&#1057;_&#1045;&#1078;&#1086;&#1074;&#1072;/" TargetMode="External"/><Relationship Id="rId76" Type="http://schemas.openxmlformats.org/officeDocument/2006/relationships/hyperlink" Target="../../../../TKP/TKP2021/tkp2021_032_&#1059;&#1088;&#1072;&#1083;&#1074;&#1072;&#1075;&#1086;&#1085;&#1079;&#1072;&#1074;&#1086;&#1076;_MIC-036_&#1045;&#1078;&#1086;&#1074;&#1072;/" TargetMode="External"/><Relationship Id="rId97" Type="http://schemas.openxmlformats.org/officeDocument/2006/relationships/hyperlink" Target="../../../../../TKP/TKP2020/tkp2020_083_&#1057;&#1072;&#1090;&#1091;&#1088;&#1085;_&#1076;&#1080;&#1085;&#1072;&#1084;&#1080;&#1082;&#1072;_&#1089;&#1090;&#1077;&#1085;&#1076;%2013_&#1055;&#1044;-8_&#1045;&#1078;&#1086;&#1074;&#1072;" TargetMode="External"/><Relationship Id="rId120" Type="http://schemas.openxmlformats.org/officeDocument/2006/relationships/hyperlink" Target="../../../../TKP/TKP2021/tkp2021_061_&#1062;&#1048;&#1040;&#1052;_&#1062;3_&#1062;4_&#1062;5_&#1057;&#1085;&#1099;&#1075;&#1080;&#1085;&#1072;" TargetMode="External"/><Relationship Id="rId141" Type="http://schemas.openxmlformats.org/officeDocument/2006/relationships/hyperlink" Target="../../../../TKP/TKP2020/tkp2020_602_&#1062;&#1048;&#1040;&#1052;_&#1042;&#1080;&#1082;&#1091;&#1083;&#1080;&#1085;&#1072;" TargetMode="External"/><Relationship Id="rId7" Type="http://schemas.openxmlformats.org/officeDocument/2006/relationships/hyperlink" Target="../../../../TKP/TKP2021/tkp2021_420_&#1053;&#1086;&#1074;&#1072;&#1090;&#1086;&#1088;_MIC-552_&#1057;&#1085;&#1099;&#1075;&#1080;&#1085;&#1072;" TargetMode="External"/><Relationship Id="rId162" Type="http://schemas.openxmlformats.org/officeDocument/2006/relationships/hyperlink" Target="../../../../TKP/TKP2023/out2023/&#1040;&#1054;/201-300/&#1080;&#1089;&#1093;.(&#1040;&#1054;)23_283.pdf" TargetMode="External"/><Relationship Id="rId183" Type="http://schemas.openxmlformats.org/officeDocument/2006/relationships/hyperlink" Target="../../../../TKP/TKP2022/tkp2022_203_&#1059;&#1050;&#1041;&#1042;_&#1048;&#1042;&#1050;_&#1045;&#1078;&#1086;&#1074;&#1072;" TargetMode="External"/><Relationship Id="rId218" Type="http://schemas.openxmlformats.org/officeDocument/2006/relationships/hyperlink" Target="..\..\..\..\TKP\TKP2022\tkp2022_047_&#1050;&#1072;&#1079;&#1072;&#1085;&#1089;&#1082;&#1080;&#1081;%20&#1087;&#1086;&#1088;&#1086;&#1093;&#1086;&#1074;&#1086;&#1081;%20&#1079;&#1072;&#1074;&#1086;&#1076;_MIC-355M_&#1057;&#1085;&#1099;&#1075;&#1080;&#1085;&#1072;" TargetMode="External"/><Relationship Id="rId239" Type="http://schemas.openxmlformats.org/officeDocument/2006/relationships/hyperlink" Target="../../../../TKP/TKP2022/tkp2022_206_&#1053;&#1055;&#1054;%20&#1051;&#1072;&#1074;&#1086;&#1095;&#1082;&#1080;&#1085;&#1072;_&#1052;&#1077;&#1083;&#1080;&#1093;&#1086;&#1074;" TargetMode="External"/><Relationship Id="rId250" Type="http://schemas.openxmlformats.org/officeDocument/2006/relationships/hyperlink" Target="../../../../TKP/TKP2022/tkp2022_196_&#1053;&#1048;&#1062;%20&#1056;&#1050;&#1055;_&#1050;&#1058;&#1042;&#1048;%20&#1050;&#1040;_&#1056;&#1057;&#1057;/" TargetMode="External"/><Relationship Id="rId271" Type="http://schemas.openxmlformats.org/officeDocument/2006/relationships/hyperlink" Target="..\..\..\..\TKP\TKP2023\tkp2023_457_&#1057;&#1080;&#1083;&#1086;&#1074;&#1099;&#1077;_&#1084;&#1072;&#1096;&#1080;&#1085;&#1099;_&#1040;&#1048;&#1057;_&#1043;&#1058;&#1069;-65.1_&#1052;&#1077;&#1083;&#1080;&#1093;&#1086;&#1074;\" TargetMode="External"/><Relationship Id="rId292" Type="http://schemas.openxmlformats.org/officeDocument/2006/relationships/hyperlink" Target="../../../../TKP/TKP2023/tkp2023_019_&#1048;&#1083;_&#1040;&#1074;&#1080;&#1072;&#1089;&#1090;&#1072;&#1088;_MIC-185_&#1057;&#1085;&#1099;&#1075;&#1080;&#1085;&#1072;/" TargetMode="External"/><Relationship Id="rId306" Type="http://schemas.openxmlformats.org/officeDocument/2006/relationships/hyperlink" Target="../../../../TKP/TKP2023/tkp2023_176_&#1053;&#1055;&#1054;_&#1040;&#1074;&#1090;&#1086;&#1084;&#1072;&#1090;&#1080;&#1082;&#1080;_MIC-700_&#1052;&#1072;&#1088;&#1090;&#1099;&#1085;&#1086;&#1074;/&#1058;&#1050;&#1055;_176_23_&#1089;&#1090;&#1072;&#1090;&#1091;&#1089;.xlsm" TargetMode="External"/><Relationship Id="rId24" Type="http://schemas.openxmlformats.org/officeDocument/2006/relationships/hyperlink" Target="../../../../TKP/TKP2021/tkp2021_442_&#1053;&#1055;&#1054;_&#1051;&#1072;&#1074;&#1086;&#1095;&#1082;&#1080;&#1085;&#1072;_&#1048;&#1085;&#1076;&#1080;&#1082;&#1072;&#1090;&#1086;&#1088;&#1099;_&#1052;&#1072;&#1088;&#1090;&#1099;&#1085;&#1086;&#1074;" TargetMode="External"/><Relationship Id="rId45" Type="http://schemas.openxmlformats.org/officeDocument/2006/relationships/hyperlink" Target="../../../../TKP/TKP2021/tkp2021_079_&#1056;&#1050;&#1062;_&#1055;&#1088;&#1086;&#1075;&#1088;&#1077;&#1089;&#1089;_&#1057;&#1080;&#1089;&#1090;&#1077;&#1084;&#1072;_&#1080;&#1079;&#1084;&#1077;&#1088;&#1077;&#1085;&#1080;&#1103;_&#1086;&#1073;&#1098;&#1077;&#1084;&#1072;_&#1073;&#1072;&#1082;&#1086;&#1074;_&#1052;&#1072;&#1088;&#1090;&#1099;&#1085;&#1086;&#1074;" TargetMode="External"/><Relationship Id="rId66" Type="http://schemas.openxmlformats.org/officeDocument/2006/relationships/hyperlink" Target="../../../../TKP/TKP2021/tkp2021_621_&#1045;&#1074;&#1088;&#1086;&#1057;&#1080;&#1073;&#1069;&#1085;&#1077;&#1088;&#1075;&#1086;_MIC_&#1045;&#1078;&#1086;&#1074;&#1072;" TargetMode="External"/><Relationship Id="rId87" Type="http://schemas.openxmlformats.org/officeDocument/2006/relationships/hyperlink" Target="../../../../TKP/TKP2021/tkp2021_293_&#1057;&#1080;&#1083;&#1086;&#1074;&#1099;&#1077;_&#1084;&#1072;&#1096;&#1080;&#1085;&#1099;_MIC-1200_&#1050;&#1091;&#1076;&#1072;&#1085;&#1050;&#1091;&#1083;&#1072;&#1084;_&#1057;&#1087;&#1080;&#1088;&#1080;&#1076;&#1086;&#1085;&#1089;&#1082;&#1080;&#1081;" TargetMode="External"/><Relationship Id="rId110" Type="http://schemas.openxmlformats.org/officeDocument/2006/relationships/hyperlink" Target="../../../../TKP/TKP2021/tkp2021_437_&#1062;&#1048;&#1040;&#1052;_&#1055;&#1091;&#1083;&#1100;&#1090;_&#1062;3&#1041;_&#1057;&#1085;&#1099;&#1075;&#1080;&#1085;&#1072;" TargetMode="External"/><Relationship Id="rId131" Type="http://schemas.openxmlformats.org/officeDocument/2006/relationships/hyperlink" Target="../../../../TKP/TKP2021/tkp2021_315_&#1058;&#1091;&#1087;&#1086;&#1083;&#1077;&#1074;_MIC-200_&#1057;&#1085;&#1099;&#1075;&#1080;&#1085;&#1072;" TargetMode="External"/><Relationship Id="rId327" Type="http://schemas.openxmlformats.org/officeDocument/2006/relationships/hyperlink" Target="../../../../TKP/TKP2023/tkp2023_361_&#1057;&#1080;&#1083;&#1086;&#1074;&#1099;&#1077;_&#1084;&#1072;&#1096;&#1080;&#1085;&#1099;_MIC-1200_&#1082;&#1086;&#1084;&#1087;&#1088;&#1077;&#1089;&#1089;&#1086;&#1088;_&#1043;&#1058;&#1069;-65.1_&#1045;&#1078;&#1086;&#1074;&#1072;/" TargetMode="External"/><Relationship Id="rId152" Type="http://schemas.openxmlformats.org/officeDocument/2006/relationships/hyperlink" Target="../../../../TKP/TKP2022/tkp2022_139_&#1069;&#1060;&#1050;&#1054;_&#1089;&#1090;&#1077;&#1085;&#1076;_&#1045;&#1078;&#1086;&#1074;&#1072;" TargetMode="External"/><Relationship Id="rId173" Type="http://schemas.openxmlformats.org/officeDocument/2006/relationships/hyperlink" Target="../../../../TKP/TKP2020/tkp2020_097_&#1053;&#1055;&#1054;_&#1052;&#1040;&#1064;_&#1057;&#1063;_&#1054;&#1050;&#1056;_&#1050;&#1072;&#1088;&#1072;&#1075;&#1072;&#1095;_&#1052;&#1072;&#1088;&#1090;&#1099;&#1085;&#1086;&#1074;" TargetMode="External"/><Relationship Id="rId194" Type="http://schemas.openxmlformats.org/officeDocument/2006/relationships/hyperlink" Target="../../../../TKP/TKP2022/tkp2022_307_&#1062;&#1040;&#1043;&#1048;_MIC-553_&#1057;&#1085;&#1099;&#1075;&#1080;&#1085;&#1072;" TargetMode="External"/><Relationship Id="rId208" Type="http://schemas.openxmlformats.org/officeDocument/2006/relationships/hyperlink" Target="../../../../TKP/TKP2022/tkp2022_090_&#1040;&#1054;_&#1060;&#1053;&#1055;&#1062;_&#1058;&#1080;&#1090;&#1072;&#1085;-&#1041;&#1072;&#1088;&#1088;&#1080;&#1082;&#1072;&#1076;&#1099;_mic-1150_&#1045;&#1078;&#1086;&#1074;&#1072;" TargetMode="External"/><Relationship Id="rId229" Type="http://schemas.openxmlformats.org/officeDocument/2006/relationships/hyperlink" Target="../../../../TKP/TKP2022/tkp2022_049_&#1050;&#1041;&#1061;&#1052;_&#1054;&#1073;&#1086;&#1088;&#1091;&#1076;&#1086;&#1074;&#1072;&#1085;&#1080;&#1077;_&#1076;&#1083;&#1103;_&#1040;&#1057;&#1055;&#1059;-&#1050;&#1044;&#1059;_&#1052;&#1072;&#1088;&#1090;&#1099;&#1085;&#1086;&#1074;" TargetMode="External"/><Relationship Id="rId240" Type="http://schemas.openxmlformats.org/officeDocument/2006/relationships/hyperlink" Target="../../../../TKP/TKP2022/tkp2022_224_&#1050;&#1088;&#1072;&#1089;&#1084;&#1072;&#1096;_&#1084;&#1086;&#1076;&#1091;&#1083;&#1100;%20_&#1057;&#1085;&#1099;&#1075;&#1080;&#1085;&#1072;" TargetMode="External"/><Relationship Id="rId261" Type="http://schemas.openxmlformats.org/officeDocument/2006/relationships/hyperlink" Target="..\..\..\..\TKP\TKP2022\tkp2022_541_%20&#1050;&#1091;&#1088;&#1075;&#1072;&#1085;&#1052;&#1072;&#1096;&#1047;&#1072;&#1074;&#1086;&#1076;_8%20&#1089;&#1090;&#1077;&#1085;&#1076;&#1086;&#1074;_&#1056;&#1057;&#1057;_&#1052;&#1077;&#1083;&#1080;&#1093;&#1086;&#1074;\" TargetMode="External"/><Relationship Id="rId14" Type="http://schemas.openxmlformats.org/officeDocument/2006/relationships/hyperlink" Target="../../../../TKP/TKP2021/tkp2021_199_&#1053;&#1055;&#1054;_&#1051;&#1072;&#1074;&#1086;&#1095;&#1082;&#1080;&#1085;&#1072;_&#1074;&#1080;&#1073;&#1088;&#1086;&#1084;&#1086;&#1085;&#1080;&#1090;&#1086;&#1088;&#1080;&#1085;&#1075;_&#1045;&#1078;&#1086;&#1074;&#1072;_&#1056;&#1057;&#1057;" TargetMode="External"/><Relationship Id="rId35" Type="http://schemas.openxmlformats.org/officeDocument/2006/relationships/hyperlink" Target="../../../../../mera/TKP/TKP2020/tkp2020_029_&#1056;&#1050;&#1050;_&#1069;&#1085;&#1077;&#1088;&#1075;&#1080;&#1103;_&#1048;&#1059;&#1057;_&#1040;&#1057;_&#1052;&#1072;&#1088;&#1090;&#1099;&#1085;&#1086;&#1074;/&#1057;&#1093;&#1077;&#1084;&#1072;%20&#1089;&#1086;&#1077;&#1076;&#1080;&#1085;&#1077;&#1085;&#1080;&#1081;/" TargetMode="External"/><Relationship Id="rId56" Type="http://schemas.openxmlformats.org/officeDocument/2006/relationships/hyperlink" Target="../../../../TKP/TKP2021/tkp2021_228_&#1053;&#1086;&#1088;&#1080;&#1083;&#1100;&#1089;&#1082;&#1080;&#1081;%20&#1080;&#1085;&#1076;&#1091;&#1089;&#1090;&#1088;&#1080;&#1072;&#1083;&#1100;&#1085;&#1099;&#1081;%20&#1080;&#1085;&#1089;&#1090;&#1080;&#1090;&#1091;&#1090;_MIC-236_&#1045;&#1078;&#1086;&#1074;&#1072;" TargetMode="External"/><Relationship Id="rId77" Type="http://schemas.openxmlformats.org/officeDocument/2006/relationships/hyperlink" Target="../../../../TKP/TKP2021/tkp2021_446_&#1050;&#1041;&#1061;&#1052;_&#1052;&#1086;&#1076;&#1091;&#1083;&#1080;_&#1052;&#1072;&#1088;&#1090;&#1099;&#1085;&#1086;&#1074;" TargetMode="External"/><Relationship Id="rId100" Type="http://schemas.openxmlformats.org/officeDocument/2006/relationships/hyperlink" Target="../../../../TKP/TKP2021/tkp2021_375_&#1059;&#1047;&#1043;&#1040;-&#1040;&#1055;&#1044;_&#1057;&#1080;&#1083;&#1072;-500_&#1057;&#1087;&#1080;&#1088;&#1080;&#1076;&#1086;&#1085;&#1089;&#1082;&#1080;&#1081;" TargetMode="External"/><Relationship Id="rId282" Type="http://schemas.openxmlformats.org/officeDocument/2006/relationships/hyperlink" Target="../../../../TKP/TKP2021/tkp2021_168_&#1057;&#1080;&#1083;&#1086;&#1074;&#1099;&#1077;%20&#1084;&#1072;&#1096;&#1080;&#1085;&#1099;_MIC-1500_&#1045;&#1078;&#1086;&#1074;&#1072;" TargetMode="External"/><Relationship Id="rId317" Type="http://schemas.openxmlformats.org/officeDocument/2006/relationships/hyperlink" Target="..\..\..\..\TKP\TKP2023\tkp2023_395_&#1062;&#1053;&#1048;&#1048;&#1052;&#1072;&#1096;_&#1057;&#1080;&#1089;&#1090;&#1077;&#1084;&#1072;_&#1080;&#1079;&#1084;&#1077;&#1088;&#1077;&#1085;&#1080;&#1081;_200_&#1082;&#1072;&#1085;&#1072;&#1083;&#1086;&#1074;_&#1056;&#1057;&#1057;_&#1052;&#1077;&#1083;&#1080;&#1093;&#1086;&#1074;\&#1058;&#1050;&#1055;_395_23_&#1089;&#1090;&#1072;&#1090;&#1091;&#1089;.xlsm" TargetMode="External"/><Relationship Id="rId338" Type="http://schemas.openxmlformats.org/officeDocument/2006/relationships/hyperlink" Target="../../../../TKP/TKP2024/tkp2024_293_&#1051;&#1052;&#1047;_&#1044;&#1086;&#1088;&#1072;&#1073;&#1086;&#1090;&#1082;&#1072;%20&#1055;&#1054;%20BladeBox_&#1051;&#1040;&#1069;&#1057;-2_&#1056;&#1057;&#1057;_&#1045;&#1078;&#1086;&#1074;&#1072;/" TargetMode="External"/><Relationship Id="rId8" Type="http://schemas.openxmlformats.org/officeDocument/2006/relationships/hyperlink" Target="../../../../TKP/TKP2021/tkp2021_436_&#1057;&#1080;&#1083;&#1086;&#1074;&#1099;&#1077;_&#1084;&#1072;&#1096;&#1080;&#1085;&#1099;_MIC-170_&#1057;&#1085;&#1099;&#1075;&#1080;&#1085;&#1072;" TargetMode="External"/><Relationship Id="rId98" Type="http://schemas.openxmlformats.org/officeDocument/2006/relationships/hyperlink" Target="../../../../TKP/TKP2020/tkp2020_571_&#1062;&#1048;&#1040;&#1052;_&#1062;1&#1040;_&#1062;4_&#1047;&#1048;&#1055;_&#1057;&#1087;&#1080;&#1088;&#1080;&#1076;&#1086;&#1085;&#1089;&#1082;&#1080;&#1081;" TargetMode="External"/><Relationship Id="rId121" Type="http://schemas.openxmlformats.org/officeDocument/2006/relationships/hyperlink" Target="../../../../TKP/TKP2021/tkp2021_202_&#1055;&#1040;&#1054;_&#1050;&#1091;&#1079;&#1085;&#1077;&#1094;&#1086;&#1074;_MIC-236_&#1057;&#1085;&#1099;&#1075;&#1080;&#1085;&#1072;" TargetMode="External"/><Relationship Id="rId142" Type="http://schemas.openxmlformats.org/officeDocument/2006/relationships/hyperlink" Target="../../../../TKP/TKP2021/tkp2021_374_&#1050;&#1088;&#1086;&#1085;&#1096;&#1090;&#1072;&#1076;&#1090;_&#1048;&#1048;&#1057;_&#1040;&#1055;&#1044;-140&#1058;_&#1057;&#1087;&#1080;&#1088;&#1080;&#1076;&#1086;&#1085;&#1089;&#1082;&#1080;&#1081;" TargetMode="External"/><Relationship Id="rId163" Type="http://schemas.openxmlformats.org/officeDocument/2006/relationships/hyperlink" Target="../../../../TKP/TKP2022/tkp2022_501_&#1054;&#1050;&#1041;&#1052;_&#1040;&#1092;&#1088;&#1080;&#1082;&#1072;&#1085;&#1090;&#1086;&#1074;_&#1076;&#1080;&#1072;&#1075;&#1085;&#1086;&#1089;&#1090;&#1080;&#1095;&#1077;&#1089;&#1082;&#1080;&#1081;_&#1082;&#1086;&#1084;&#1087;&#1083;&#1077;&#1082;&#1089;_&#1052;&#1077;&#1083;&#1080;&#1093;&#1086;&#1074;/" TargetMode="External"/><Relationship Id="rId184" Type="http://schemas.openxmlformats.org/officeDocument/2006/relationships/hyperlink" Target="../../../../TKP/TKP2022/tkp2022_271_&#1059;&#1047;&#1043;&#1040;_&#1040;&#1055;&#1044;-85_&#1057;&#1087;&#1080;&#1088;&#1080;&#1076;&#1086;&#1085;&#1089;&#1082;&#1080;&#1081;" TargetMode="External"/><Relationship Id="rId219" Type="http://schemas.openxmlformats.org/officeDocument/2006/relationships/hyperlink" Target="../../../../TKP/TKP2022/tkp2022_047_&#1050;&#1072;&#1079;&#1072;&#1085;&#1089;&#1082;&#1080;&#1081;%20&#1087;&#1086;&#1088;&#1086;&#1093;&#1086;&#1074;&#1086;&#1081;%20&#1079;&#1072;&#1074;&#1086;&#1076;_MIC-355M_&#1057;&#1085;&#1099;&#1075;&#1080;&#1085;&#1072;" TargetMode="External"/><Relationship Id="rId3" Type="http://schemas.openxmlformats.org/officeDocument/2006/relationships/hyperlink" Target="../../../../TKP/TKP2021/tkp2021_514_&#1055;&#1058;_&#1043;&#1056;&#1059;&#1055;&#1055;_MIC-185,%20MIC-236_&#1045;&#1078;&#1086;&#1074;&#1072;" TargetMode="External"/><Relationship Id="rId214" Type="http://schemas.openxmlformats.org/officeDocument/2006/relationships/hyperlink" Target="..\..\..\..\TKP\TKP2022\tkp2022_230_&#1057;&#1050;&#1041;&#1052;_&#1050;&#1091;&#1088;&#1075;&#1072;&#1085;&#1052;&#1072;&#1096;&#1047;&#1072;&#1074;&#1086;&#1076;_&#1089;&#1090;&#1077;&#1085;&#1076;%20&#1080;&#1089;&#1087;&#1099;&#1090;&#1072;&#1085;&#1080;&#1081;%20&#1043;&#1052;&#1058;_&#1045;&#1078;&#1086;&#1074;&#1072;_&#1056;&#1057;&#1057;\" TargetMode="External"/><Relationship Id="rId230" Type="http://schemas.openxmlformats.org/officeDocument/2006/relationships/hyperlink" Target="../../../../TKP/TKP2022/tkp2022_067_&#1058;&#1080;&#1090;&#1072;&#1085;-&#1041;&#1072;&#1088;&#1088;&#1080;&#1082;&#1072;&#1076;&#1099;_&#1048;&#1042;&#1050;_&#1045;&#1078;&#1086;&#1074;&#1072;" TargetMode="External"/><Relationship Id="rId235" Type="http://schemas.openxmlformats.org/officeDocument/2006/relationships/hyperlink" Target="../../../../TKP/TKP2022/tkp2022_121_&#1056;&#1077;&#1075;&#1080;&#1086;&#1085;&#1057;&#1090;&#1088;&#1086;&#1081;&#1050;&#1086;&#1084;&#1087;&#1083;&#1077;&#1082;&#1090;_MIC_&#1057;&#1085;&#1099;&#1075;&#1080;&#1085;&#1072;" TargetMode="External"/><Relationship Id="rId251" Type="http://schemas.openxmlformats.org/officeDocument/2006/relationships/hyperlink" Target="..\..\..\..\TKP\TKP2022\tkp2022_196_&#1053;&#1048;&#1062;%20&#1056;&#1050;&#1055;_&#1050;&#1058;&#1042;&#1048;%20&#1050;&#1040;_&#1056;&#1057;&#1057;\&#1048;&#1089;&#1093;&#1086;&#1076;&#1085;&#1099;&#1077;%20&#1076;&#1072;&#1085;&#1085;&#1099;&#1077;\&#1054;&#1054;&#1054;_&#1042;&#1061;_22_464.pdf" TargetMode="External"/><Relationship Id="rId256" Type="http://schemas.openxmlformats.org/officeDocument/2006/relationships/hyperlink" Target="../../../../TKP/TKP2022/tkp2022_336_&#1056;&#1069;&#1055;&#1061;_&#1074;&#1080;&#1073;&#1088;&#1086;&#1076;&#1080;&#1072;&#1075;&#1085;&#1086;&#1089;&#1090;&#1080;&#1082;&#1072;_&#1043;&#1055;&#1040;_&#1043;&#1058;&#1059;_&#1052;&#1077;&#1083;&#1080;&#1093;&#1086;&#1074;/&#1057;&#1093;&#1077;&#1084;&#1072;%20&#1089;&#1086;&#1077;&#1076;&#1080;&#1085;&#1077;&#1085;&#1080;&#1081;/v1_&#1057;&#1093;&#1077;&#1084;&#1072;.vsd" TargetMode="External"/><Relationship Id="rId277" Type="http://schemas.openxmlformats.org/officeDocument/2006/relationships/hyperlink" Target="../../../../../CLIENTS/FORMULYA/2025/p3209_&#1059;&#1047;&#1043;&#1040;_&#1040;&#1055;&#1044;-500_&#1057;&#1082;&#1088;&#1080;&#1087;&#1085;&#1080;&#1082;_&#1056;&#1057;&#1057;.xls" TargetMode="External"/><Relationship Id="rId298" Type="http://schemas.openxmlformats.org/officeDocument/2006/relationships/hyperlink" Target="..\..\..\..\TKP\TKP2023\tkp2023_221_&#1048;&#1083;-&#1040;&#1074;&#1080;&#1072;&#1089;&#1090;&#1072;&#1088;_4-&#1082;&#1072;&#1085;&#1072;&#1083;&#1100;&#1085;&#1072;&#1103;_&#1089;&#1080;&#1089;&#1090;&#1077;&#1084;&#1072;_&#1085;&#1072;&#1075;&#1088;&#1091;&#1078;&#1077;&#1085;&#1080;&#1103;_&#1052;&#1077;&#1083;&#1080;&#1093;&#1086;&#1074;\" TargetMode="External"/><Relationship Id="rId25" Type="http://schemas.openxmlformats.org/officeDocument/2006/relationships/hyperlink" Target="../../../../TKP/TKP2021/tkp2021_018_&#1053;&#1055;&#1054;%20&#1052;&#1072;&#1096;&#1080;&#1085;&#1086;&#1089;&#1090;&#1088;&#1086;&#1077;&#1085;&#1080;&#1103;_&#1055;&#1054;_&#1072;&#1074;&#1090;&#1086;&#1084;&#1072;&#1090;&#1080;&#1079;&#1072;&#1094;&#1080;&#1080;_&#1087;&#1086;&#1074;&#1077;&#1088;&#1082;&#1080;_&#1052;&#1072;&#1088;&#1090;&#1099;&#1085;&#1086;&#1074;" TargetMode="External"/><Relationship Id="rId46" Type="http://schemas.openxmlformats.org/officeDocument/2006/relationships/hyperlink" Target="../../../../TKP/TKP2021/tkp2021_090_&#1060;&#1052;&#1050;&#1041;_&#1043;&#1086;&#1088;&#1080;&#1079;&#1086;&#1085;&#1090;_MIC-355M_&#1045;&#1078;&#1086;&#1074;&#1072;" TargetMode="External"/><Relationship Id="rId67" Type="http://schemas.openxmlformats.org/officeDocument/2006/relationships/hyperlink" Target="../../../../TKP/TKP2021/tkp2021_621_&#1045;&#1074;&#1088;&#1086;&#1057;&#1080;&#1073;&#1069;&#1085;&#1077;&#1088;&#1075;&#1086;_MIC_&#1045;&#1078;&#1086;&#1074;&#1072;/" TargetMode="External"/><Relationship Id="rId116" Type="http://schemas.openxmlformats.org/officeDocument/2006/relationships/hyperlink" Target="../../../../TKP/TKP2021/tkp2021_047_&#1054;&#1044;&#1050;_&#1050;&#1083;&#1080;&#1084;&#1086;&#1074;_MIC-1500_&#1045;&#1078;&#1086;&#1074;&#1072;" TargetMode="External"/><Relationship Id="rId137" Type="http://schemas.openxmlformats.org/officeDocument/2006/relationships/hyperlink" Target="../../../../TKP/TKP2021/tkp2021_232_&#1054;&#1044;&#1050;-&#1057;&#1072;&#1090;&#1091;&#1088;&#1085;_&#1089;&#1090;&#1077;&#1085;&#1076;&#1099;%2027,28_&#1045;&#1078;&#1086;&#1074;&#1072;" TargetMode="External"/><Relationship Id="rId158" Type="http://schemas.openxmlformats.org/officeDocument/2006/relationships/hyperlink" Target="../../../../TKP/TKP2022/tkp2022_498_&#1059;&#1047;&#1043;&#1040;_&#1057;&#1090;&#1072;&#1090;&#1080;&#1095;&#1077;&#1089;&#1082;&#1080;&#1077;_&#1080;&#1089;&#1087;&#1099;&#1090;&#1072;&#1085;&#1080;&#1103;_&#1087;&#1083;&#1072;&#1085;&#1077;&#1088;&#1072;_&#1057;&#1087;&#1080;&#1088;&#1080;&#1076;&#1086;&#1085;&#1089;&#1082;&#1080;&#1081;/" TargetMode="External"/><Relationship Id="rId272" Type="http://schemas.openxmlformats.org/officeDocument/2006/relationships/hyperlink" Target="..\..\..\..\TKP\TKP2023\tkp2023_457_&#1057;&#1080;&#1083;&#1086;&#1074;&#1099;&#1077;_&#1084;&#1072;&#1096;&#1080;&#1085;&#1099;_&#1040;&#1048;&#1057;_&#1043;&#1058;&#1069;-65.1_&#1052;&#1077;&#1083;&#1080;&#1093;&#1086;&#1074;\&#1058;&#1050;&#1055;_457_23_&#1089;&#1090;&#1072;&#1090;&#1091;&#1089;.xlsm" TargetMode="External"/><Relationship Id="rId293" Type="http://schemas.openxmlformats.org/officeDocument/2006/relationships/hyperlink" Target="../../../../TKP/TKP2021/tkp2021_140_&#1059;&#1050;&#1041;&#1058;&#1052;_MIC-200_&#1057;&#1085;&#1099;&#1075;&#1080;&#1085;&#1072;" TargetMode="External"/><Relationship Id="rId302" Type="http://schemas.openxmlformats.org/officeDocument/2006/relationships/hyperlink" Target="../../../../TKP/TKP2023/tkp2023_142_&#1054;&#1050;&#1041;_&#1057;&#1086;&#1102;&#1079;_MIC-036_&#1057;&#1085;&#1099;&#1075;&#1080;&#1085;&#1072;" TargetMode="External"/><Relationship Id="rId307" Type="http://schemas.openxmlformats.org/officeDocument/2006/relationships/hyperlink" Target="..\..\..\..\TKP\TKP2023\tkp2023_183_&#1056;&#1086;&#1074;&#1077;&#1088;_&#1088;&#1072;&#1073;&#1086;&#1090;&#1099;_&#1057;&#1059;&#1054;&#1057;&#1050;_&#1045;&#1078;&#1086;&#1074;&#1072;\&#1058;&#1050;&#1055;_183_23_&#1089;&#1090;&#1072;&#1090;&#1091;&#1089;.xlsm" TargetMode="External"/><Relationship Id="rId323" Type="http://schemas.openxmlformats.org/officeDocument/2006/relationships/hyperlink" Target="..\..\..\..\TKP\TKP2023\tkp2023_569_&#1055;&#1085;&#1077;&#1074;&#1084;&#1072;&#1082;&#1089;_&#1052;&#1043;&#1058;&#1059;%20&#1041;&#1072;&#1091;&#1084;&#1072;&#1085;&#1072;_&#1089;&#1090;&#1072;&#1090;&#1079;&#1072;&#1083;%20&#1082;&#1072;&#1073;&#1080;&#1085;&#1072;_&#1056;&#1057;&#1057;_&#1055;&#1086;&#1090;&#1086;&#1083;&#1086;&#1095;&#1080;&#1085;\&#1058;&#1050;&#1055;_569_23_&#1089;&#1090;&#1072;&#1090;&#1091;&#1089;.xlsm" TargetMode="External"/><Relationship Id="rId328" Type="http://schemas.openxmlformats.org/officeDocument/2006/relationships/hyperlink" Target="../../../../TKP/TKP2023/tkp2023_361_&#1057;&#1080;&#1083;&#1086;&#1074;&#1099;&#1077;_&#1084;&#1072;&#1096;&#1080;&#1085;&#1099;_MIC-1200_&#1082;&#1086;&#1084;&#1087;&#1088;&#1077;&#1089;&#1089;&#1086;&#1088;_&#1043;&#1058;&#1069;-65.1_&#1045;&#1078;&#1086;&#1074;&#1072;/&#1058;&#1050;&#1055;_361_23_&#1089;&#1090;&#1072;&#1090;&#1091;&#1089;.xlsm" TargetMode="External"/><Relationship Id="rId20" Type="http://schemas.openxmlformats.org/officeDocument/2006/relationships/hyperlink" Target="..\..\..\..\TKP\TKP2021\tkp2021_011_&#1061;&#1088;&#1091;&#1085;&#1080;&#1095;&#1077;&#1074;&#1072;_MIC-036,-200,-224_&#1052;&#1072;&#1088;&#1090;&#1099;&#1085;&#1086;&#1074;" TargetMode="External"/><Relationship Id="rId41" Type="http://schemas.openxmlformats.org/officeDocument/2006/relationships/hyperlink" Target="../../../../TKP/TKP2021/tkp2021_019_&#1053;&#1055;&#1054;_&#1052;&#1072;&#1096;&#1080;&#1085;&#1086;&#1089;&#1090;&#1088;&#1086;&#1077;&#1085;&#1080;&#1103;_&#1057;&#1059;_&#1074;&#1072;&#1082;&#1091;&#1091;&#1084;&#1085;&#1086;&#1081;_&#1082;&#1072;&#1084;&#1077;&#1088;&#1099;_&#1042;&#1050;-3" TargetMode="External"/><Relationship Id="rId62" Type="http://schemas.openxmlformats.org/officeDocument/2006/relationships/hyperlink" Target="../../../../TKP/TKP2021/tkp2021_459_&#1050;&#1072;&#1079;&#1072;&#1085;&#1089;&#1082;&#1080;&#1081;%20&#1087;&#1086;&#1088;&#1086;&#1093;&#1086;&#1074;&#1086;&#1081;%20&#1079;&#1072;&#1074;&#1086;&#1076;_MIC-355M_&#1045;&#1078;&#1086;&#1074;&#1072;" TargetMode="External"/><Relationship Id="rId83" Type="http://schemas.openxmlformats.org/officeDocument/2006/relationships/hyperlink" Target="../../../../TKP/TKP2021/tkp2021_467_&#1056;&#1057;&#1050;_&#1052;&#1048;&#1043;_MIC-036%20_&#1057;&#1085;&#1099;&#1075;&#1080;&#1085;&#1072;" TargetMode="External"/><Relationship Id="rId88" Type="http://schemas.openxmlformats.org/officeDocument/2006/relationships/hyperlink" Target="../../../../TKP/TKP2021/tkp2021_293_&#1057;&#1080;&#1083;&#1086;&#1074;&#1099;&#1077;_&#1084;&#1072;&#1096;&#1080;&#1085;&#1099;_MIC-1200_&#1050;&#1091;&#1076;&#1072;&#1085;&#1050;&#1091;&#1083;&#1072;&#1084;_&#1057;&#1087;&#1080;&#1088;&#1080;&#1076;&#1086;&#1085;&#1089;&#1082;&#1080;&#1081;/&#1058;&#1050;&#1055;_293_21_&#1089;&#1090;&#1072;&#1090;&#1091;&#1089;.xlsm" TargetMode="External"/><Relationship Id="rId111" Type="http://schemas.openxmlformats.org/officeDocument/2006/relationships/hyperlink" Target="../../../../TKP/TKP2021/tkp2021_630_&#1054;&#1044;&#1050;_&#1057;&#1072;&#1083;&#1102;&#1090;_&#1050;&#1048;&#1057;-500_&#1045;&#1078;&#1086;&#1074;&#1072;" TargetMode="External"/><Relationship Id="rId132" Type="http://schemas.openxmlformats.org/officeDocument/2006/relationships/hyperlink" Target="..\..\..\..\TKP\TKP2021\tkp2021_013_&#1054;&#1054;&#1054;_&#1042;&#1077;&#1089;&#1090;&#1077;&#1088;&#1086;&#1089;_&#1053;&#1044;&#1057;_&#1058;&#1088;&#1091;&#1073;&#1086;&#1087;&#1088;&#1086;&#1074;&#1086;&#1076;&#1072;_&#1052;&#1072;&#1088;&#1090;&#1099;&#1085;&#1086;&#1074;" TargetMode="External"/><Relationship Id="rId153" Type="http://schemas.openxmlformats.org/officeDocument/2006/relationships/hyperlink" Target="../../../../TKP/TKP2022/tkp2022_139_&#1069;&#1060;&#1050;&#1054;_&#1089;&#1090;&#1077;&#1085;&#1076;_&#1045;&#1078;&#1086;&#1074;&#1072;/&#1048;&#1089;&#1093;&#1086;&#1076;&#1085;&#1099;&#1077;%20&#1076;&#1072;&#1085;&#1085;&#1099;&#1077;/&#1054;&#1054;&#1054;_&#1042;&#1061;_22_327_&#1069;&#1060;&#1050;&#1054;.pdf" TargetMode="External"/><Relationship Id="rId174" Type="http://schemas.openxmlformats.org/officeDocument/2006/relationships/hyperlink" Target="..\..\..\..\TKP\TKP2020\tkp2020_266_&#1054;&#1044;&#1050;_&#1059;&#1052;&#1055;&#1054;_MIC-553_&#1057;&#1087;&#1080;&#1088;&#1080;&#1076;&#1086;&#1085;&#1089;&#1082;&#1080;&#1081;" TargetMode="External"/><Relationship Id="rId179" Type="http://schemas.openxmlformats.org/officeDocument/2006/relationships/hyperlink" Target="../../../../TKP/TKP2022/tkp2022_117_&#1040;&#1074;&#1080;&#1072;&#1090;&#1077;&#1089;&#1090;_SSJ%20NEW_&#1045;&#1078;&#1086;&#1074;&#1072;_&#1056;&#1057;&#1057;" TargetMode="External"/><Relationship Id="rId195" Type="http://schemas.openxmlformats.org/officeDocument/2006/relationships/hyperlink" Target="../../../../TKP/TKP2022/tkp2022_527_&#1054;&#1053;&#1055;&#1055;_&#1058;&#1077;&#1093;&#1085;&#1086;&#1083;&#1086;&#1075;&#1080;&#1103;_MIC-236_&#1057;&#1085;&#1099;&#1075;&#1080;&#1085;&#1072;" TargetMode="External"/><Relationship Id="rId209" Type="http://schemas.openxmlformats.org/officeDocument/2006/relationships/hyperlink" Target="../../../../TKP/TKP2022/tkp2022_118_&#1055;&#1088;&#1086;&#1090;&#1086;&#1085;-&#1055;&#1052;%20NI_&#1045;&#1078;&#1086;&#1074;&#1072;_&#1056;&#1057;&#1057;" TargetMode="External"/><Relationship Id="rId190" Type="http://schemas.openxmlformats.org/officeDocument/2006/relationships/hyperlink" Target="../../../../TKP/TKP2022/tkp2022_536_&#1069;&#1090;&#1072;&#1083;&#1086;&#1085;_&#1048;&#1085;&#1085;&#1086;&#1074;&#1072;&#1094;&#1080;&#1080;_&#1048;&#1042;&#1050;_&#1089;&#1090;&#1072;&#1090;&#1080;&#1082;&#1072;_&#1045;&#1078;&#1086;&#1074;&#1072;/" TargetMode="External"/><Relationship Id="rId204" Type="http://schemas.openxmlformats.org/officeDocument/2006/relationships/hyperlink" Target="../../../../TKP/TKP2022/tkp2022_244_RIZZANI_DE_ECCHER_&#1057;&#1080;&#1089;&#1090;&#1077;&#1084;&#1072;_&#1086;&#1073;&#1088;&#1072;&#1073;&#1086;&#1090;&#1082;&#1080;_&#1052;&#1072;&#1088;&#1090;&#1099;&#1085;&#1086;&#1074;_&#1056;&#1057;&#1057;" TargetMode="External"/><Relationship Id="rId220" Type="http://schemas.openxmlformats.org/officeDocument/2006/relationships/hyperlink" Target="../../../../TKP/TKP2022/tkp2022_330_&#1055;&#1085;&#1077;&#1074;&#1084;&#1072;&#1082;&#1089;_&#1057;&#1040;&#1059;_&#1089;&#1090;&#1077;&#1085;&#1076;&#1072;_&#1080;&#1089;&#1087;&#1099;&#1090;&#1072;&#1085;&#1080;&#1081;_&#1087;&#1088;&#1080;&#1074;&#1086;&#1076;&#1086;&#1074;_&#1045;&#1078;&#1086;&#1074;&#1072;" TargetMode="External"/><Relationship Id="rId225" Type="http://schemas.openxmlformats.org/officeDocument/2006/relationships/hyperlink" Target="../../../../TKP/TKP2021/tkp2021_607_&#1053;&#1055;&#1055;_&#1056;&#1048;&#1057;&#1040;&#1051;_&#1090;&#1077;&#1085;&#1079;&#1086;&#1089;&#1090;&#1072;&#1085;&#1094;&#1080;&#1103;_&#1045;&#1078;&#1086;&#1074;&#1072;" TargetMode="External"/><Relationship Id="rId241" Type="http://schemas.openxmlformats.org/officeDocument/2006/relationships/hyperlink" Target="../../../../TKP/TKP2022/tkp2022_240_&#1053;&#1055;&#1055;_&#1055;&#1072;&#1088;&#1082;-&#1062;&#1077;&#1085;&#1090;&#1088;_MIC-236_&#1052;&#1077;&#1083;&#1080;&#1093;&#1086;&#1074;" TargetMode="External"/><Relationship Id="rId246" Type="http://schemas.openxmlformats.org/officeDocument/2006/relationships/hyperlink" Target="../../../../TKP/TKP2022/tkp2022_368_&#1053;&#1055;&#1055;%20&#1057;&#1090;&#1072;&#1088;&#1090;_&#1056;&#1057;&#1057;" TargetMode="External"/><Relationship Id="rId267" Type="http://schemas.openxmlformats.org/officeDocument/2006/relationships/hyperlink" Target="../../../../TKP/TKP2022/tkp2022_597_&#1062;&#1077;&#1085;&#1090;&#1088;_&#1050;&#1077;&#1083;&#1076;&#1099;&#1096;&#1072;_&#1057;&#1080;&#1089;&#1090;&#1077;&#1084;&#1072;_&#1080;&#1079;&#1084;&#1077;&#1088;&#1077;&#1085;&#1080;&#1081;_&#1052;&#1077;&#1083;&#1080;&#1093;&#1086;&#1074;/" TargetMode="External"/><Relationship Id="rId288" Type="http://schemas.openxmlformats.org/officeDocument/2006/relationships/hyperlink" Target="..\..\..\..\TKP\TKP2023\tkp2023_230_&#1058;&#1077;&#1093;&#1085;&#1086;&#1089;&#1090;&#1080;&#1083;&#1100;_&#1057;&#1087;&#1080;&#1088;&#1080;&#1076;&#1086;&#1085;&#1089;&#1082;&#1080;&#1081;_&#1056;&#1057;&#1057;\" TargetMode="External"/><Relationship Id="rId15" Type="http://schemas.openxmlformats.org/officeDocument/2006/relationships/hyperlink" Target="../../../../TKP/TKP2021/tkp2021_250_&#1053;&#1048;&#1062;_&#1056;&#1050;&#1055;_&#1048;&#1057;-102_&#1057;&#1054;&#1070;&#1047;-5_&#1052;&#1072;&#1088;&#1090;&#1099;&#1085;&#1086;&#1074;/" TargetMode="External"/><Relationship Id="rId36" Type="http://schemas.openxmlformats.org/officeDocument/2006/relationships/hyperlink" Target="../../../../../mera/TKP/TKP2020/tkp2020_029_&#1056;&#1050;&#1050;_&#1069;&#1085;&#1077;&#1088;&#1075;&#1080;&#1103;_&#1048;&#1059;&#1057;_&#1040;&#1057;_&#1052;&#1072;&#1088;&#1090;&#1099;&#1085;&#1086;&#1074;/" TargetMode="External"/><Relationship Id="rId57" Type="http://schemas.openxmlformats.org/officeDocument/2006/relationships/hyperlink" Target="../../../../TKP/TKP2021/tkp2021_277_&#1062;&#1048;&#1040;&#1052;_MIC-236%20_&#1057;&#1085;&#1099;&#1075;&#1080;&#1085;&#1072;" TargetMode="External"/><Relationship Id="rId106" Type="http://schemas.openxmlformats.org/officeDocument/2006/relationships/hyperlink" Target="../../../../TKP/TKP2021/tkp2021_134_&#1053;&#1055;&#1054;_&#1051;&#1072;&#1074;&#1086;&#1095;&#1082;&#1080;&#1085;&#1072;_&#1053;&#1072;&#1089;&#1086;&#1089;&#1085;&#1072;&#1103;_&#1075;&#1080;&#1076;&#1088;&#1072;&#1074;&#1083;&#1080;&#1095;&#1077;&#1089;&#1082;&#1072;&#1103;_&#1089;&#1090;&#1072;&#1085;&#1094;&#1080;&#1103;_&#1052;&#1072;&#1088;&#1090;&#1099;&#1085;&#1086;&#1074;" TargetMode="External"/><Relationship Id="rId127" Type="http://schemas.openxmlformats.org/officeDocument/2006/relationships/hyperlink" Target="../../../../TKP/TKP2022/tkp2022_381_&#1053;&#1048;&#1048;&#1055;&#1052;_&#1052;&#1045;-402_&#1057;&#1085;&#1099;&#1075;&#1080;&#1085;&#1072;" TargetMode="External"/><Relationship Id="rId262" Type="http://schemas.openxmlformats.org/officeDocument/2006/relationships/hyperlink" Target="../../../../TKP/TKP2022/tkp2022_541_%20&#1050;&#1091;&#1088;&#1075;&#1072;&#1085;&#1052;&#1072;&#1096;&#1047;&#1072;&#1074;&#1086;&#1076;_8%20&#1089;&#1090;&#1077;&#1085;&#1076;&#1086;&#1074;_&#1056;&#1057;&#1057;_&#1052;&#1077;&#1083;&#1080;&#1093;&#1086;&#1074;/" TargetMode="External"/><Relationship Id="rId283" Type="http://schemas.openxmlformats.org/officeDocument/2006/relationships/hyperlink" Target="..\..\..\..\TKP\TKP2022\tkp2022_212_&#1050;&#1091;&#1079;&#1085;&#1077;&#1094;&#1086;&#1074;_&#1042;&#1080;&#1085;&#1090;&#1072;&#1081;_&#1040;&#1057;&#1048;_&#1041;&#1052;&#1055;_&#1057;&#1087;&#1080;&#1088;&#1080;&#1076;&#1086;&#1085;&#1089;&#1082;&#1080;&#1081;_&#1056;&#1057;&#1057;\" TargetMode="External"/><Relationship Id="rId313" Type="http://schemas.openxmlformats.org/officeDocument/2006/relationships/hyperlink" Target="../../../../TKP/TKP2023/tkp2023_231_&#1041;&#1048;&#1057;-&#1056;&#1059;&#1057;_&#1048;&#1079;&#1084;&#1077;&#1088;&#1080;&#1090;&#1077;&#1083;&#1100;_&#1074;&#1080;&#1073;&#1088;&#1072;&#1094;&#1080;&#1080;_&#1076;&#1083;&#1103;_&#1101;&#1083;&#1077;&#1082;&#1090;&#1088;&#1086;&#1082;&#1086;&#1084;&#1087;&#1088;&#1077;&#1089;&#1089;&#1086;&#1088;&#1072;_&#1040;&#1053;&#1061;&#1050;_&#1052;&#1077;&#1083;&#1080;&#1093;&#1086;&#1074;/&#1058;&#1050;&#1055;_231_23_&#1089;&#1090;&#1072;&#1090;&#1091;&#1089;.xlsm" TargetMode="External"/><Relationship Id="rId318" Type="http://schemas.openxmlformats.org/officeDocument/2006/relationships/hyperlink" Target="../../../../TKP/TKP2025/tkp2025_112_&#1053;&#1055;&#1055;_&#1057;&#1090;&#1072;&#1088;&#1090;_&#1071;&#1089;&#1082;&#1080;&#1085;&#1072;_&#1052;&#1086;&#1076;&#1077;&#1088;&#1085;&#1080;&#1079;&#1072;&#1094;&#1080;&#1103;_&#1089;&#1080;&#1089;&#1090;&#1077;&#1084;&#1099;_&#1054;&#1089;&#1090;&#1088;&#1086;&#1074;&#1089;&#1082;&#1072;&#1103;/" TargetMode="External"/><Relationship Id="rId339" Type="http://schemas.openxmlformats.org/officeDocument/2006/relationships/hyperlink" Target="..\..\..\..\TKP\TKP2024\tkp2024_293_&#1051;&#1052;&#1047;_&#1044;&#1086;&#1088;&#1072;&#1073;&#1086;&#1090;&#1082;&#1072;%20&#1055;&#1054;%20BladeBox_&#1051;&#1040;&#1069;&#1057;-2_&#1056;&#1057;&#1057;_&#1045;&#1078;&#1086;&#1074;&#1072;\&#1058;&#1050;&#1055;_293_24_&#1089;&#1090;&#1072;&#1090;&#1091;&#1089;.xlsm" TargetMode="External"/><Relationship Id="rId10" Type="http://schemas.openxmlformats.org/officeDocument/2006/relationships/hyperlink" Target="../../../../TKP/TKP2021/tkp2021_071_&#1062;&#1048;&#1040;&#1052;_&#1062;-2_&#1057;&#1090;&#1072;&#1090;&#1080;&#1082;&#1072;_&#1042;&#1080;&#1076;&#1077;&#1086;_&#1044;&#1080;&#1085;&#1072;&#1084;&#1080;&#1082;&#1072;_&#1057;&#1085;&#1099;&#1075;&#1080;&#1085;&#1072;" TargetMode="External"/><Relationship Id="rId31" Type="http://schemas.openxmlformats.org/officeDocument/2006/relationships/hyperlink" Target="../../../../TKP/TKP2021/tkp2021_477_&#1053;&#1048;&#1062;_&#1056;&#1050;&#1055;_&#1091;&#1095;&#1072;&#1089;&#1090;&#1080;&#1077;%20&#1074;%20&#1080;&#1089;&#1087;&#1099;&#1090;&#1072;&#1085;&#1080;&#1103;&#1093;_&#1045;&#1078;&#1086;&#1074;&#1072;" TargetMode="External"/><Relationship Id="rId52" Type="http://schemas.openxmlformats.org/officeDocument/2006/relationships/hyperlink" Target="../../../../TKP/TKP2021/tkp2021_440_&#1040;&#1074;&#1080;&#1072;&#1076;&#1074;&#1080;&#1075;&#1072;&#1090;&#1077;&#1083;&#1100;_&#1044;&#1086;&#1088;&#1072;&#1073;&#1086;&#1090;&#1082;&#1072;_&#1055;&#1054;_&#1057;&#1085;&#1099;&#1075;&#1080;&#1085;&#1072;" TargetMode="External"/><Relationship Id="rId73" Type="http://schemas.openxmlformats.org/officeDocument/2006/relationships/hyperlink" Target="../../../../TKP/TKP2021/tkp2021_468_&#1056;&#1057;&#1050;_&#1052;&#1048;&#1043;_MIC-200%20_&#1057;&#1085;&#1099;&#1075;&#1080;&#1085;&#1072;" TargetMode="External"/><Relationship Id="rId78" Type="http://schemas.openxmlformats.org/officeDocument/2006/relationships/hyperlink" Target="../../../../TKP/TKP2021/tkp2021_446_&#1050;&#1041;&#1061;&#1052;_&#1052;&#1086;&#1076;&#1091;&#1083;&#1080;_&#1052;&#1072;&#1088;&#1090;&#1099;&#1085;&#1086;&#1074;" TargetMode="External"/><Relationship Id="rId94" Type="http://schemas.openxmlformats.org/officeDocument/2006/relationships/hyperlink" Target="..\..\..\..\TKP\TKP2021\tkp2021_262_&#1050;&#1041;&#1061;&#1052;_&#1040;&#1085;&#1072;&#1083;&#1086;&#1075;_&#1051;&#1048;&#1059;&#1057;_&#1056;&#1055;&#1048;_&#1052;&#1072;&#1088;&#1090;&#1099;&#1085;&#1086;&#1074;" TargetMode="External"/><Relationship Id="rId99" Type="http://schemas.openxmlformats.org/officeDocument/2006/relationships/hyperlink" Target="../../../../TKP/TKP2021/tkp2021_304_&#1057;&#1080;&#1083;&#1086;&#1074;&#1099;&#1077;_&#1084;&#1072;&#1096;&#1080;&#1085;&#1099;_&#1050;&#1072;&#1083;&#1080;&#1085;&#1080;&#1085;&#1089;&#1082;&#1072;&#1103;_&#1040;&#1069;&#1057;_MIC-1200_&#1057;&#1087;&#1080;&#1088;&#1080;&#1076;&#1086;&#1085;&#1089;&#1082;&#1080;&#1081;" TargetMode="External"/><Relationship Id="rId101" Type="http://schemas.openxmlformats.org/officeDocument/2006/relationships/hyperlink" Target="../../../../TKP/TKP2021/tkp2021_352_&#1053;&#1055;&#1054;_&#1069;&#1085;&#1077;&#1088;&#1075;&#1086;&#1084;&#1072;&#1096;_&#1057;&#1040;&#1059;_&#1089;&#1086;&#1086;&#1088;&#1091;&#1078;&#1077;&#1085;&#1080;&#1103;%204_&#1045;&#1078;&#1086;&#1074;&#1072;" TargetMode="External"/><Relationship Id="rId122" Type="http://schemas.openxmlformats.org/officeDocument/2006/relationships/hyperlink" Target="../../../../TKP/TKP2021/tkp2021_235_&#1053;&#1048;&#1062;_&#1056;&#1050;&#1055;_&#1047;&#1048;&#1055;_&#1050;&#1048;&#1042;&#1048;&#1048;&#1057;-2_&#1052;&#1072;&#1088;&#1090;&#1099;&#1085;&#1086;&#1074;" TargetMode="External"/><Relationship Id="rId143" Type="http://schemas.openxmlformats.org/officeDocument/2006/relationships/hyperlink" Target="../../../../TKP/TKP2021/tkp2021_312_&#1057;&#1080;&#1083;&#1086;&#1074;&#1099;&#1077;%20&#1084;&#1072;&#1096;&#1080;&#1085;&#1099;_&#1048;&#1057;_&#1074;&#1080;&#1073;&#1088;&#1086;_&#1075;&#1080;&#1076;&#1088;&#1086;&#1090;&#1091;&#1088;&#1073;&#1080;&#1085;&#1072;_&#1045;&#1078;&#1086;&#1074;&#1072;" TargetMode="External"/><Relationship Id="rId148" Type="http://schemas.openxmlformats.org/officeDocument/2006/relationships/hyperlink" Target="..\..\..\..\TKP\TKP2021\tkp2021_578_MIC-224_&#1054;&#1050;&#1041;_&#1057;&#1091;&#1093;&#1086;&#1075;&#1086;_&#1045;&#1078;&#1086;&#1074;&#1072;" TargetMode="External"/><Relationship Id="rId164" Type="http://schemas.openxmlformats.org/officeDocument/2006/relationships/hyperlink" Target="..\..\..\..\TKP\TKP2022\tkp2022_522_&#1055;&#1040;&#1054;_&#1050;&#1091;&#1079;&#1085;&#1077;&#1094;&#1086;&#1074;_&#1042;&#1080;&#1085;&#1090;&#1072;&#1081;_198_&#1040;&#1057;&#1059;&#1058;&#1055;_&#1057;&#1087;&#1080;&#1088;&#1080;&#1076;&#1086;&#1085;&#1089;&#1082;&#1080;&#1081;" TargetMode="External"/><Relationship Id="rId169" Type="http://schemas.openxmlformats.org/officeDocument/2006/relationships/hyperlink" Target="../../../../TKP/TKP2021/tkp2021_237_&#1048;&#1085;&#1092;&#1088;&#1072;&#1083;&#1080;&#1085;&#1082;_&#1069;&#1085;&#1077;&#1088;&#1075;&#1086;&#1084;&#1072;&#1096;_&#1053;&#1048;&#1050;-751_&#1052;&#1072;&#1088;&#1090;&#1099;&#1085;&#1086;&#1074;/" TargetMode="External"/><Relationship Id="rId185" Type="http://schemas.openxmlformats.org/officeDocument/2006/relationships/hyperlink" Target="../../../../TKP/TKP2022/tkp2022_272_&#1048;&#1088;&#1082;&#1091;&#1090;_&#1057;&#1048;&#1052;&#1042;-ST-21_08a_&#1057;&#1087;&#1080;&#1088;&#1080;&#1076;&#1086;&#1085;&#1089;&#1082;&#1080;&#1081;" TargetMode="External"/><Relationship Id="rId334" Type="http://schemas.openxmlformats.org/officeDocument/2006/relationships/hyperlink" Target="../../../../TKP/TKP2024/tkp2024_289_&#1062;&#1048;&#1040;&#1052;_&#1054;&#1042;&#1048;&#1057;&#1058;_&#1087;&#1088;&#1086;&#1077;&#1082;&#1090;&#1080;&#1088;&#1086;&#1074;&#1072;&#1085;&#1080;&#1077;_&#1041;&#1091;&#1088;&#1103;&#1082;/&#1058;&#1050;&#1055;_289_24_&#1089;&#1090;&#1072;&#1090;&#1091;&#1089;.xlsm" TargetMode="External"/><Relationship Id="rId4" Type="http://schemas.openxmlformats.org/officeDocument/2006/relationships/hyperlink" Target="..\..\..\..\TKP\TKP2020\tkp2020_035_&#1050;&#1088;&#1072;&#1089;&#1052;&#1050;_MIC-355M_Win&#1055;&#1054;&#1057;_&#1057;&#1085;&#1099;&#1075;&#1080;&#1085;&#1072;" TargetMode="External"/><Relationship Id="rId9" Type="http://schemas.openxmlformats.org/officeDocument/2006/relationships/hyperlink" Target="..\..\..\..\..\CLIENTS\FORMULYA\2021\p2810_&#1048;&#1050;&#1044;&#1052;%20MIC-170_&#1051;&#1072;&#1079;&#1072;&#1088;&#1077;&#1074;_&#1088;&#1089;&#1089;.xls" TargetMode="External"/><Relationship Id="rId180" Type="http://schemas.openxmlformats.org/officeDocument/2006/relationships/hyperlink" Target="../../../../TKP/TKP2022/tkp2022_117_&#1040;&#1074;&#1080;&#1072;&#1090;&#1077;&#1089;&#1090;_SSJ%20NEW_&#1045;&#1078;&#1086;&#1074;&#1072;_&#1056;&#1057;&#1057;/&#1057;&#1093;&#1077;&#1084;&#1072;%20&#1089;&#1086;&#1077;&#1076;&#1080;&#1085;&#1077;&#1085;&#1080;&#1081;/v1_&#1057;&#1093;&#1077;&#1084;&#1072;.vsd" TargetMode="External"/><Relationship Id="rId210" Type="http://schemas.openxmlformats.org/officeDocument/2006/relationships/hyperlink" Target="../../../../TKP/TKP2022/tkp2022_205_IRIT_MIC-1150_&#1057;&#1085;&#1099;&#1075;&#1080;&#1085;&#1072;" TargetMode="External"/><Relationship Id="rId215" Type="http://schemas.openxmlformats.org/officeDocument/2006/relationships/hyperlink" Target="../../../../TKP/TKP2022/tkp2022_464_&#1056;&#1043;&#1040;&#1058;&#1059;_MIC-355_236_&#1057;&#1085;&#1099;&#1075;&#1080;&#1085;&#1072;" TargetMode="External"/><Relationship Id="rId236" Type="http://schemas.openxmlformats.org/officeDocument/2006/relationships/hyperlink" Target="..\..\..\..\TKP\TKP2022\tkp2022_121_&#1056;&#1077;&#1075;&#1080;&#1086;&#1085;&#1057;&#1090;&#1088;&#1086;&#1081;&#1050;&#1086;&#1084;&#1087;&#1083;&#1077;&#1082;&#1090;_MIC_&#1057;&#1085;&#1099;&#1075;&#1080;&#1085;&#1072;\&#1058;&#1047;\&#1058;&#1047;-&#1090;&#1088;&#1077;&#1073;&#1086;&#1074;&#1072;&#1085;&#1080;&#1103;%20(&#1082;&#1086;&#1084;&#1087;&#1083;&#1077;&#1089;%20&#1090;&#1077;&#1085;&#1079;&#1086;&#1084;&#1077;&#1090;&#1088;&#1080;&#1088;&#1086;&#1074;&#1072;&#1085;&#1080;&#1103;).pdf" TargetMode="External"/><Relationship Id="rId257" Type="http://schemas.openxmlformats.org/officeDocument/2006/relationships/hyperlink" Target="../../../../TKP/TKP2022/tkp2022_424_&#1053;&#1048;&#1062;_&#1057;&#1090;&#1088;&#1086;&#1080;&#1090;&#1077;&#1083;&#1100;&#1089;&#1090;&#1074;&#1086;_&#1056;&#1057;&#1057;_&#1052;&#1077;&#1083;&#1080;&#1093;&#1086;&#1074;" TargetMode="External"/><Relationship Id="rId278" Type="http://schemas.openxmlformats.org/officeDocument/2006/relationships/hyperlink" Target="../../../../TKP/TKP2023/in2023/&#1054;&#1054;&#1054;/101-200/&#1054;&#1054;&#1054;_&#1042;&#1061;_23_174.pdf" TargetMode="External"/><Relationship Id="rId26" Type="http://schemas.openxmlformats.org/officeDocument/2006/relationships/hyperlink" Target="../../../../TKP/TKP2021/tkp2021_234_&#1063;&#1055;&#1054;%20&#1080;&#1084;.%20&#1063;&#1072;&#1087;&#1072;&#1077;&#1074;&#1072;_MIC-026_&#1045;&#1078;&#1086;&#1074;&#1072;" TargetMode="External"/><Relationship Id="rId231" Type="http://schemas.openxmlformats.org/officeDocument/2006/relationships/hyperlink" Target="../../../../TKP/TKP2022/tkp2022_115_&#1050;&#1041;&#1052;_MIC-026_&#1057;&#1085;&#1099;&#1075;&#1080;&#1085;&#1072;" TargetMode="External"/><Relationship Id="rId252" Type="http://schemas.openxmlformats.org/officeDocument/2006/relationships/hyperlink" Target="../../../../TKP/TKP2022/tkp2022_325_&#1053;&#1048;&#1062;_&#1056;&#1050;&#1055;_&#1050;&#1048;&#1042;&#1048;&#1048;&#1057;-2_&#1052;&#1072;&#1088;&#1090;&#1099;&#1085;&#1086;&#1074;" TargetMode="External"/><Relationship Id="rId273" Type="http://schemas.openxmlformats.org/officeDocument/2006/relationships/hyperlink" Target="..\..\..\..\TKP\TKP2022\tkp2022_264_&#1053;&#1055;&#1055;%20&#1047;&#1074;&#1077;&#1079;&#1076;&#1072;_&#1057;&#1090;&#1077;&#1085;&#1076;%20&#1040;&#1057;&#1057;_&#1052;&#1077;&#1083;&#1080;&#1093;&#1086;&#1074;" TargetMode="External"/><Relationship Id="rId294" Type="http://schemas.openxmlformats.org/officeDocument/2006/relationships/hyperlink" Target="../../../../TKP/TKP2020/tkp2020_184_&#1053;&#1055;&#1054;_&#1051;&#1072;&#1074;&#1086;&#1095;&#1082;&#1080;&#1085;&#1072;_&#1041;&#1083;&#1086;&#1082;_&#1082;&#1086;&#1085;&#1090;&#1088;&#1086;&#1083;&#1103;_&#1080;_&#1091;&#1087;&#1088;&#1072;&#1074;&#1083;&#1077;&#1085;&#1080;&#1103;_&#1090;&#1086;&#1082;&#1086;&#1084;_&#1052;&#1072;&#1088;&#1090;&#1099;&#1085;&#1086;&#1074;" TargetMode="External"/><Relationship Id="rId308" Type="http://schemas.openxmlformats.org/officeDocument/2006/relationships/hyperlink" Target="../../../../TKP/TKP2023/tkp2023_001_&#1043;&#1041;&#1048;&#1055;_MIC-355_&#1057;&#1085;&#1099;&#1075;&#1080;&#1085;&#1072;/" TargetMode="External"/><Relationship Id="rId329" Type="http://schemas.openxmlformats.org/officeDocument/2006/relationships/hyperlink" Target="../../../../TKP/TKP2023/tkp2023_435_&#1057;&#1080;&#1083;&#1086;&#1074;&#1099;&#1077;%20&#1084;&#1072;&#1096;&#1080;&#1085;&#1099;_mic1200_&#1088;&#1089;&#1089;_&#1045;&#1078;&#1086;&#1074;&#1072;/" TargetMode="External"/><Relationship Id="rId47" Type="http://schemas.openxmlformats.org/officeDocument/2006/relationships/hyperlink" Target="../../../../TKP/TKP2021/tkp2021_174_&#1055;&#1058;_&#1043;&#1056;&#1059;&#1055;&#1055;_&#1048;&#1079;&#1084;&#1077;&#1088;&#1080;&#1090;&#1077;&#1083;&#1100;&#1085;&#1086;&#1077;_&#1086;&#1073;&#1086;&#1088;&#1091;&#1076;&#1086;&#1074;&#1072;&#1085;&#1080;&#1077;_&#1052;&#1072;&#1088;&#1090;&#1099;&#1085;&#1086;&#1074;" TargetMode="External"/><Relationship Id="rId68" Type="http://schemas.openxmlformats.org/officeDocument/2006/relationships/hyperlink" Target="../../../../TKP/TKP2021/tkp2021_621_&#1045;&#1074;&#1088;&#1086;&#1057;&#1080;&#1073;&#1069;&#1085;&#1077;&#1088;&#1075;&#1086;_MIC_&#1045;&#1078;&#1086;&#1074;&#1072;/&#1048;&#1089;&#1093;&#1086;&#1076;&#1085;&#1099;&#1077;%20&#1076;&#1072;&#1085;&#1085;&#1099;&#1077;/&#1054;&#1054;&#1054;_&#1042;&#1061;_21_1603_&#1045;&#1074;&#1088;&#1086;&#1089;&#1080;&#1073;&#1101;&#1085;&#1077;&#1088;&#1075;&#1086;.pdf" TargetMode="External"/><Relationship Id="rId89" Type="http://schemas.openxmlformats.org/officeDocument/2006/relationships/hyperlink" Target="../../../../TKP/TKP2020/tkp2020_366_&#1053;&#1055;&#1054;_&#1072;&#1074;&#1090;&#1086;&#1084;&#1072;&#1090;&#1080;&#1082;&#1080;_&#1050;&#1057;&#1058;-1,MIC-&#1062;&#1058;&#1052;&#1048;_&#1052;&#1072;&#1088;&#1090;&#1099;&#1085;&#1086;&#1074;/&#1057;&#1093;&#1077;&#1084;&#1072;%20&#1089;&#1086;&#1077;&#1076;&#1080;&#1085;&#1077;&#1085;&#1080;&#1081;/" TargetMode="External"/><Relationship Id="rId112" Type="http://schemas.openxmlformats.org/officeDocument/2006/relationships/hyperlink" Target="../../../../TKP/TKP2020/tkp2020_454_&#1059;&#1092;&#1072;_&#1040;&#1074;&#1080;&#1072;&#1075;&#1072;&#1079;_&#1057;&#1059;&#1054;&#1057;&#1050;_&#1057;&#1087;&#1080;&#1088;&#1080;&#1076;&#1086;&#1085;&#1089;&#1082;&#1080;&#1081;" TargetMode="External"/><Relationship Id="rId133" Type="http://schemas.openxmlformats.org/officeDocument/2006/relationships/hyperlink" Target="../../../../TKP/TKP2022/tkp2022_194_&#1050;&#1088;&#1086;&#1085;&#1096;&#1090;&#1072;&#1076;&#1090;_&#1058;&#1054;_&#1074;&#1080;&#1085;&#1090;&#1086;&#1074;&#1099;&#1077;%20&#1089;&#1090;&#1077;&#1085;&#1076;&#1099;_&#1045;&#1078;&#1086;&#1074;&#1072;" TargetMode="External"/><Relationship Id="rId154" Type="http://schemas.openxmlformats.org/officeDocument/2006/relationships/hyperlink" Target="../../../../TKP/TKP2022/tkp2022_347_&#1053;&#1055;&#1054;_&#1051;&#1072;&#1074;&#1086;&#1095;&#1082;&#1080;&#1085;&#1072;_&#1062;&#1077;&#1085;&#1090;&#1088;&#1080;&#1092;&#1091;&#1075;&#1072;%20&#1057;&#1059;-267%20(&#1089;&#1080;&#1089;&#1090;&#1077;&#1084;&#1072;%20&#1080;&#1079;&#1084;&#1077;&#1088;&#1077;&#1085;&#1080;&#1081;),%20&#1042;&#1080;&#1073;&#1088;&#1086;&#1084;&#1086;&#1085;&#1080;&#1090;&#1086;&#1088;&#1080;&#1085;&#1075;,%20&#1055;&#1080;&#1088;&#1086;&#1090;&#1077;&#1093;&#1085;&#1080;&#1082;&#1072;_&#1052;&#1077;&#1083;&#1080;&#1093;&#1086;&#1074;" TargetMode="External"/><Relationship Id="rId175" Type="http://schemas.openxmlformats.org/officeDocument/2006/relationships/hyperlink" Target="..\..\..\..\TKP\TKP2022\tkp2022_029_&#1054;&#1044;&#1050;_&#1057;&#1072;&#1090;&#1091;&#1088;&#1085;_&#1076;&#1080;&#1085;&#1072;&#1084;&#1080;&#1082;&#1072;_&#1089;&#1090;&#1077;&#1085;&#1076;&#1099;%20&#8470;3,4_&#1045;&#1078;&#1086;&#1074;&#1072;\" TargetMode="External"/><Relationship Id="rId340" Type="http://schemas.openxmlformats.org/officeDocument/2006/relationships/vmlDrawing" Target="../drawings/vmlDrawing2.vml"/><Relationship Id="rId196" Type="http://schemas.openxmlformats.org/officeDocument/2006/relationships/hyperlink" Target="../../../../TKP/TKP2022/tkp2022_153_&#1062;&#1053;&#1048;&#1048;&#1052;&#1040;&#1064;_&#1048;&#1042;&#1050;_&#1045;&#1078;&#1086;&#1074;&#1072;" TargetMode="External"/><Relationship Id="rId200" Type="http://schemas.openxmlformats.org/officeDocument/2006/relationships/hyperlink" Target="../../../../TKP/TKP2022/tkp2022_490_&#1043;&#1053;&#1062;_&#1050;&#1077;&#1083;&#1076;&#1099;&#1096;&#1072;_&#1040;&#1085;&#1072;&#1083;&#1086;&#1075;_&#1082;&#1088;&#1077;&#1081;&#1090;&#1072;_NI_&#1052;&#1077;&#1083;&#1080;&#1093;&#1086;&#1074;" TargetMode="External"/><Relationship Id="rId16" Type="http://schemas.openxmlformats.org/officeDocument/2006/relationships/hyperlink" Target="../../../../TKP/TKP2021/tkp2021_535_&#1062;&#1048;&#1040;&#1052;_&#1040;&#1048;&#1048;&#1057;_&#1076;&#1080;&#1085;&#1072;&#1084;&#1080;&#1082;&#1072;_&#1062;17&#1058;,%20&#1062;-2,%20&#1062;-1&#1040;_&#1045;&#1078;&#1086;&#1074;&#1072;" TargetMode="External"/><Relationship Id="rId221" Type="http://schemas.openxmlformats.org/officeDocument/2006/relationships/hyperlink" Target="../../../../TKP/TKP2022/tkp2022_390_&#1057;&#1050;&#1041;%20&#1058;&#1091;&#1088;&#1073;&#1080;&#1085;&#1072;_MIC-236_&#1045;&#1078;&#1086;&#1074;&#1072;/" TargetMode="External"/><Relationship Id="rId242" Type="http://schemas.openxmlformats.org/officeDocument/2006/relationships/hyperlink" Target="../../../../TKP/TKP2022/tkp2022_381_&#1053;&#1048;&#1048;&#1055;&#1052;_&#1052;&#1045;-402_&#1057;&#1085;&#1099;&#1075;&#1080;&#1085;&#1072;" TargetMode="External"/><Relationship Id="rId263" Type="http://schemas.openxmlformats.org/officeDocument/2006/relationships/hyperlink" Target="../../../../TKP/TKP2022/tkp2022_572_&#1059;&#1043;&#1040;&#1058;&#1059;_&#1040;&#1085;&#1072;&#1083;&#1086;&#1075;_AVL_&#1052;&#1077;&#1083;&#1080;&#1093;&#1086;&#1074;" TargetMode="External"/><Relationship Id="rId284" Type="http://schemas.openxmlformats.org/officeDocument/2006/relationships/hyperlink" Target="../../../../TKP/TKP2022/tkp2022_212_&#1050;&#1091;&#1079;&#1085;&#1077;&#1094;&#1086;&#1074;_&#1040;&#1057;&#1048;_&#1041;&#1052;&#1055;_&#1057;&#1087;&#1080;&#1088;&#1080;&#1076;&#1086;&#1085;&#1089;&#1082;&#1080;&#1081;/&#1057;&#1093;&#1077;&#1084;&#1072;_&#1089;&#1086;&#1077;&#1076;&#1080;&#1085;&#1077;&#1085;&#1080;&#1081;/" TargetMode="External"/><Relationship Id="rId319" Type="http://schemas.openxmlformats.org/officeDocument/2006/relationships/hyperlink" Target="../../../../TKP/TKP2025/tkp2025_112_&#1053;&#1055;&#1055;_&#1057;&#1090;&#1072;&#1088;&#1090;_&#1071;&#1089;&#1082;&#1080;&#1085;&#1072;_&#1052;&#1086;&#1076;&#1077;&#1088;&#1085;&#1080;&#1079;&#1072;&#1094;&#1080;&#1103;_&#1089;&#1080;&#1089;&#1090;&#1077;&#1084;&#1099;_&#1054;&#1089;&#1090;&#1088;&#1086;&#1074;&#1089;&#1082;&#1072;&#1103;/&#1058;&#1050;&#1055;_112_25_&#1089;&#1090;&#1072;&#1090;&#1091;&#1089;.xlsm" TargetMode="External"/><Relationship Id="rId37" Type="http://schemas.openxmlformats.org/officeDocument/2006/relationships/hyperlink" Target="../../../../../TKP/TKP2020/tkp2020_065_&#1040;&#1043;&#1040;&#1058;_&#1084;&#1086;&#1090;&#1086;&#1088;&#1085;&#1099;&#1081;%20&#1089;&#1090;&#1077;&#1085;&#1076;_&#1056;&#1057;&#1057;/" TargetMode="External"/><Relationship Id="rId58" Type="http://schemas.openxmlformats.org/officeDocument/2006/relationships/hyperlink" Target="../../../../TKP/TKP2021/tkp2021_590_&#1050;&#1058;&#1056;&#1042;_&#1082;&#1072;&#1073;&#1077;&#1083;&#1080;%20_&#1057;&#1085;&#1099;&#1075;&#1080;&#1085;&#1072;" TargetMode="External"/><Relationship Id="rId79" Type="http://schemas.openxmlformats.org/officeDocument/2006/relationships/hyperlink" Target="../../../../TKP/TKP2021/tkp2021_446_&#1050;&#1041;&#1061;&#1052;_&#1052;&#1086;&#1076;&#1091;&#1083;&#1080;_&#1052;&#1072;&#1088;&#1090;&#1099;&#1085;&#1086;&#1074;" TargetMode="External"/><Relationship Id="rId102" Type="http://schemas.openxmlformats.org/officeDocument/2006/relationships/hyperlink" Target="..\..\..\..\TKP\TKP2020\tkp2020_109_Kingsly_MIC-1150_&#1057;&#1087;&#1080;&#1088;&#1080;&#1076;&#1086;&#1085;&#1089;&#1082;&#1080;&#1081;\" TargetMode="External"/><Relationship Id="rId123" Type="http://schemas.openxmlformats.org/officeDocument/2006/relationships/hyperlink" Target="../../../../TKP/TKP2021/tkp2021_335_&#1059;&#1042;&#1047;_&#1047;&#1072;&#1074;&#1086;&#1076;_9_MIC-200&#1052;_&#1057;&#1085;&#1099;&#1075;&#1080;&#1085;&#1072;" TargetMode="External"/><Relationship Id="rId144" Type="http://schemas.openxmlformats.org/officeDocument/2006/relationships/hyperlink" Target="../../../../TKP/TKP2021/tkp2021_384_&#1040;&#1073;&#1072;&#1082;&#1072;&#1085;&#1074;&#1072;&#1075;&#1086;&#1085;&#1084;&#1072;&#1096;_&#1048;&#1042;&#1050;_&#1045;&#1078;&#1086;&#1074;&#1072;" TargetMode="External"/><Relationship Id="rId330" Type="http://schemas.openxmlformats.org/officeDocument/2006/relationships/hyperlink" Target="..\..\..\..\TKP\TKP2023\tkp2023_435_&#1057;&#1080;&#1083;&#1086;&#1074;&#1099;&#1077;%20&#1084;&#1072;&#1096;&#1080;&#1085;&#1099;_mic1200_&#1088;&#1089;&#1089;_&#1045;&#1078;&#1086;&#1074;&#1072;\&#1058;&#1050;&#1055;_435_23_&#1089;&#1090;&#1072;&#1090;&#1091;&#1089;.xlsm" TargetMode="External"/><Relationship Id="rId90" Type="http://schemas.openxmlformats.org/officeDocument/2006/relationships/hyperlink" Target="../../../../TKP/TKP2020/tkp2020_366_&#1053;&#1055;&#1054;_&#1072;&#1074;&#1090;&#1086;&#1084;&#1072;&#1090;&#1080;&#1082;&#1080;_&#1050;&#1057;&#1058;-1,MIC-&#1062;&#1058;&#1052;&#1048;_&#1052;&#1072;&#1088;&#1090;&#1099;&#1085;&#1086;&#1074;/&#1057;&#1093;&#1077;&#1084;&#1072;%20&#1089;&#1086;&#1077;&#1076;&#1080;&#1085;&#1077;&#1085;&#1080;&#1081;/v1_&#1057;&#1093;&#1077;&#1084;&#1072;%20(&#1050;&#1057;&#1058;-1).vsd" TargetMode="External"/><Relationship Id="rId165" Type="http://schemas.openxmlformats.org/officeDocument/2006/relationships/hyperlink" Target="../../../../TKP/TKP2021/tkp2021_405_&#1048;&#1057;&#1050;-&#1101;&#1085;&#1077;&#1088;&#1075;&#1086;&#1087;&#1088;&#1086;&#1084;&#1089;&#1090;&#1088;&#1086;&#1081;_&#1084;&#1086;&#1076;&#1077;&#1088;&#1085;&#1080;&#1079;&#1072;&#1094;&#1080;&#1103;_&#1051;&#1042;&#1044;_&#1057;&#1086;&#1102;&#1079;%20&#1057;&#1082;&#1086;&#1087;&#1080;&#1095;%20&#1062;12_&#1057;&#1087;&#1080;&#1088;&#1080;&#1076;&#1086;&#1085;&#1089;&#1082;&#1080;&#1081;_&#1056;&#1057;&#1057;" TargetMode="External"/><Relationship Id="rId186" Type="http://schemas.openxmlformats.org/officeDocument/2006/relationships/hyperlink" Target="../../../../TKP/TKP2022/tkp2022_025_Kingsly_1150_&#1056;&#1057;&#1057;_&#1057;&#1085;&#1099;&#1075;&#1080;&#1085;&#1072;/" TargetMode="External"/><Relationship Id="rId211" Type="http://schemas.openxmlformats.org/officeDocument/2006/relationships/hyperlink" Target="../../../../TKP/TKP2022/tkp2022_047_&#1050;&#1072;&#1079;&#1072;&#1085;&#1089;&#1082;&#1080;&#1081;%20&#1087;&#1086;&#1088;&#1086;&#1093;&#1086;&#1074;&#1086;&#1081;%20&#1079;&#1072;&#1074;&#1086;&#1076;_MIC-355M_&#1057;&#1085;&#1099;&#1075;&#1080;&#1085;&#1072;" TargetMode="External"/><Relationship Id="rId232" Type="http://schemas.openxmlformats.org/officeDocument/2006/relationships/hyperlink" Target="../../../../TKP/TKP2022/tkp2022_156_&#1058;&#1091;&#1087;&#1086;&#1083;&#1077;&#1074;_MIC-200_&#1045;&#1078;&#1086;&#1074;&#1072;" TargetMode="External"/><Relationship Id="rId253" Type="http://schemas.openxmlformats.org/officeDocument/2006/relationships/hyperlink" Target="../../../../TKP/TKP2022/tkp2022_214_&#1060;&#1086;&#1088;&#1076;&#1057;&#1086;&#1083;&#1083;&#1077;&#1088;&#1089;_&#1052;&#1077;&#1083;&#1080;&#1093;&#1086;&#1074;" TargetMode="External"/><Relationship Id="rId274" Type="http://schemas.openxmlformats.org/officeDocument/2006/relationships/hyperlink" Target="..\..\..\..\TKP\TKP2022\tkp2022_264_&#1053;&#1055;&#1055;%20&#1047;&#1074;&#1077;&#1079;&#1076;&#1072;_&#1057;&#1090;&#1077;&#1085;&#1076;%20&#1040;&#1057;&#1057;_&#1052;&#1077;&#1083;&#1080;&#1093;&#1086;&#1074;\&#1058;&#1050;&#1055;_264_22_&#1089;&#1090;&#1072;&#1090;&#1091;&#1089;.xlsm" TargetMode="External"/><Relationship Id="rId295" Type="http://schemas.openxmlformats.org/officeDocument/2006/relationships/hyperlink" Target="../../../../TKP/TKP2022/tkp2022_427_&#1050;&#1088;&#1072;&#1089;&#1084;&#1072;&#1096;_&#1047;&#1048;&#1055;_&#1050;&#1048;&#1042;&#1048;&#1048;&#1057;-2_&#1045;&#1078;&#1086;&#1074;&#1072;" TargetMode="External"/><Relationship Id="rId309" Type="http://schemas.openxmlformats.org/officeDocument/2006/relationships/hyperlink" Target="..\..\..\..\TKP\TKP2023\tkp2023_001_&#1043;&#1041;&#1048;&#1055;_MIC-355_&#1057;&#1085;&#1099;&#1075;&#1080;&#1085;&#1072;\&#1058;&#1050;&#1055;_001_23_&#1089;&#1090;&#1072;&#1090;&#1091;&#1089;.xlsm" TargetMode="External"/><Relationship Id="rId27" Type="http://schemas.openxmlformats.org/officeDocument/2006/relationships/hyperlink" Target="../../../../TKP/TKP2021/tkp2021_207_&#1059;&#1050;&#1041;&#1058;&#1052;_&#1082;&#1072;&#1073;&#1077;&#1083;&#1100;_&#1056;&#1057;&#1057;_&#1052;&#1072;&#1088;&#1090;&#1099;&#1085;&#1086;&#1074;" TargetMode="External"/><Relationship Id="rId48" Type="http://schemas.openxmlformats.org/officeDocument/2006/relationships/hyperlink" Target="../../../../TKP/TKP2021/tkp2021_256_&#1044;&#1042;&#1047;_&#1047;&#1074;&#1077;&#1079;&#1076;&#1072;_&#1058;&#1077;&#1085;&#1079;&#1086;&#1084;&#1077;&#1090;&#1088;&#1080;&#1103;_&#1052;&#1072;&#1088;&#1090;&#1099;&#1085;&#1086;&#1074;" TargetMode="External"/><Relationship Id="rId69" Type="http://schemas.openxmlformats.org/officeDocument/2006/relationships/hyperlink" Target="../../../../TKP/TKP2021/tkp2021_621_&#1045;&#1074;&#1088;&#1086;&#1057;&#1080;&#1073;&#1069;&#1085;&#1077;&#1088;&#1075;&#1086;_MIC_&#1045;&#1078;&#1086;&#1074;&#1072;/&#1042;&#1086;&#1087;&#1088;&#1086;&#1089;&#1099;.xlsx" TargetMode="External"/><Relationship Id="rId113" Type="http://schemas.openxmlformats.org/officeDocument/2006/relationships/hyperlink" Target="../../../../TKP/TKP2020/tkp2020_454_&#1059;&#1092;&#1072;_&#1040;&#1074;&#1080;&#1072;&#1075;&#1072;&#1079;_&#1057;&#1059;&#1054;&#1057;&#1050;_&#1057;&#1087;&#1080;&#1088;&#1080;&#1076;&#1086;&#1085;&#1089;&#1082;&#1080;&#1081;/&#1058;&#1047;/&#1052;&#1045;&#1056;&#1040;/" TargetMode="External"/><Relationship Id="rId134" Type="http://schemas.openxmlformats.org/officeDocument/2006/relationships/hyperlink" Target="..\..\..\..\TKP\TKP2021\tkp2021_099_&#1058;&#1077;&#1093;&#1087;&#1088;&#1080;&#1073;&#1086;&#1088;_MIC-036_&#1045;&#1078;&#1086;&#1074;&#1072;" TargetMode="External"/><Relationship Id="rId320" Type="http://schemas.openxmlformats.org/officeDocument/2006/relationships/hyperlink" Target="..\..\..\..\TKP\TKP2023\tkp2023_547_&#1055;&#1053;&#1045;&#1042;&#1052;&#1040;&#1050;&#1057;_&#1057;&#1048;&#1057;&#1058;&#1045;&#1052;&#1067;_&#1048;&#1042;&#1050;_MIC-236_&#1052;&#1077;&#1083;&#1080;&#1093;&#1086;&#1074;\" TargetMode="External"/><Relationship Id="rId80" Type="http://schemas.openxmlformats.org/officeDocument/2006/relationships/hyperlink" Target="../../../../TKP/TKP2021/tkp2021_002_&#1056;&#1057;&#1057;_&#1054;&#1044;&#1050;-&#1040;&#1074;&#1080;&#1072;&#1076;&#1074;&#1080;&#1075;&#1072;&#1090;&#1077;&#1083;&#1100;_&#1089;&#1090;&#1072;&#1090;&#1086;&#1076;&#1080;&#1085;&#1072;&#1084;&#1080;&#1082;&#1072;%20&#1090;&#1103;&#1075;%20&#1087;&#1086;&#1076;&#1074;&#1077;&#1089;&#1082;&#1080;_&#1045;&#1078;&#1086;&#1074;&#1072;/" TargetMode="External"/><Relationship Id="rId155" Type="http://schemas.openxmlformats.org/officeDocument/2006/relationships/hyperlink" Target="../../../../TKP/TKP2022/tkp2022_338_&#1053;&#1055;&#1054;_&#1051;&#1072;&#1074;&#1086;&#1095;&#1082;&#1080;&#1085;&#1072;_&#1057;&#1090;&#1072;&#1090;&#1079;&#1072;&#1083;_&#1052;&#1077;&#1083;&#1080;&#1093;&#1086;&#1074;" TargetMode="External"/><Relationship Id="rId176" Type="http://schemas.openxmlformats.org/officeDocument/2006/relationships/hyperlink" Target="../../../../TKP/TKP2022/tkp2022_342_&#1062;&#1048;&#1040;&#1052;_&#1040;&#1048;&#1048;&#1057;%20&#1062;-17&#1043;3_&#1056;&#1057;&#1057;" TargetMode="External"/><Relationship Id="rId197" Type="http://schemas.openxmlformats.org/officeDocument/2006/relationships/hyperlink" Target="../../../../TKP/TKP2022/tkp2022_153_&#1062;&#1053;&#1048;&#1048;&#1052;&#1040;&#1064;_&#1048;&#1042;&#1050;_&#1045;&#1078;&#1086;&#1074;&#1072;/&#1048;&#1089;&#1093;&#1086;&#1076;&#1085;&#1099;&#1077;%20&#1076;&#1072;&#1085;&#1085;&#1099;&#1077;/&#1054;&#1054;&#1054;_&#1042;&#1061;_22_384_&#1062;&#1053;&#1048;&#1048;&#1052;&#1040;&#1064;_&#1084;&#1086;&#1073;&#1080;&#1083;&#1100;&#1085;&#1099;&#1081;%20&#1048;&#1042;&#1050;.pdf" TargetMode="External"/><Relationship Id="rId341" Type="http://schemas.openxmlformats.org/officeDocument/2006/relationships/comments" Target="../comments2.xml"/><Relationship Id="rId201" Type="http://schemas.openxmlformats.org/officeDocument/2006/relationships/hyperlink" Target="../../../../TKP/TKP2022/tkp2022_350_&#1057;&#1080;&#1083;&#1086;&#1074;&#1099;&#1077;_&#1084;&#1072;&#1096;&#1080;&#1085;&#1099;_&#1050;&#1072;&#1083;&#1080;&#1085;&#1080;&#1085;&#1089;&#1082;&#1072;&#1103;_&#1040;&#1069;&#1057;_MIC-1200_&#1057;&#1087;&#1080;&#1088;&#1080;&#1076;&#1086;&#1085;&#1089;&#1082;&#1080;&#1081;" TargetMode="External"/><Relationship Id="rId222" Type="http://schemas.openxmlformats.org/officeDocument/2006/relationships/hyperlink" Target="../../../../TKP/TKP2022/tkp2022_451_&#1053;&#1055;&#1054;_&#1051;&#1072;&#1074;&#1086;&#1095;&#1082;&#1080;&#1085;&#1072;_MIC-200_&#1052;&#1077;&#1083;&#1080;&#1093;&#1086;&#1074;" TargetMode="External"/><Relationship Id="rId243" Type="http://schemas.openxmlformats.org/officeDocument/2006/relationships/hyperlink" Target="../../../../TKP/TKP2022/tkp2022_381_&#1053;&#1048;&#1048;&#1055;&#1052;_&#1052;&#1045;-402_&#1057;&#1085;&#1099;&#1075;&#1080;&#1085;&#1072;" TargetMode="External"/><Relationship Id="rId264" Type="http://schemas.openxmlformats.org/officeDocument/2006/relationships/hyperlink" Target="..\..\..\..\TKP\TKP2022\tkp2022_592_Kingsly_Test%20Firing_&#1056;&#1057;&#1057;_&#1045;&#1078;&#1086;&#1074;&#1072;" TargetMode="External"/><Relationship Id="rId285" Type="http://schemas.openxmlformats.org/officeDocument/2006/relationships/hyperlink" Target="../../../../TKP/TKP2022/tkp2022_184_&#1054;&#1044;&#1050;_&#1057;&#1072;&#1090;&#1091;&#1088;&#1085;_MIC-185,%20MIC-355M_&#1045;&#1078;&#1086;&#1074;&#1072;" TargetMode="External"/><Relationship Id="rId17" Type="http://schemas.openxmlformats.org/officeDocument/2006/relationships/hyperlink" Target="../../../../TKP/TKP2020/tkp2020_116_&#1053;&#1055;&#1054;_&#1051;&#1072;&#1074;&#1086;&#1095;&#1082;&#1080;&#1085;&#1072;_&#1040;&#1056;&#1052;_&#1058;&#1042;&#1048;_&#1052;&#1072;&#1088;&#1090;&#1099;&#1085;&#1086;&#1074;" TargetMode="External"/><Relationship Id="rId38" Type="http://schemas.openxmlformats.org/officeDocument/2006/relationships/hyperlink" Target="../../../../../mera/TKP/TKP2020/tkp2020_067_&#1040;&#1074;&#1080;&#1072;&#1076;&#1074;&#1080;&#1075;&#1072;&#1090;&#1077;&#1083;&#1100;_3%20&#1084;&#1080;&#1085;&#1080;%20&#1089;&#1080;&#1089;&#1090;&#1077;&#1084;&#1099;%20&#1080;&#1079;%20&#1089;&#1090;&#1072;&#1090;&#1079;&#1072;&#1083;&#1072;_&#1056;&#1057;&#1057;/" TargetMode="External"/><Relationship Id="rId59" Type="http://schemas.openxmlformats.org/officeDocument/2006/relationships/hyperlink" Target="../../../../TKP/TKP2021/tkp2021_151_&#1057;&#1086;&#1102;&#1079;&#1087;&#1088;&#1086;&#1084;&#1053;&#1048;&#1048;&#1087;&#1088;&#1086;&#1077;&#1082;&#1090;_MIC-036_&#1045;&#1078;&#1086;&#1074;&#1072;" TargetMode="External"/><Relationship Id="rId103" Type="http://schemas.openxmlformats.org/officeDocument/2006/relationships/hyperlink" Target="../../../../TKP/TKP2020/tkp2020_109_Kingsly_MIC-1150_&#1057;&#1087;&#1080;&#1088;&#1080;&#1076;&#1086;&#1085;&#1089;&#1082;&#1080;&#1081;/" TargetMode="External"/><Relationship Id="rId124" Type="http://schemas.openxmlformats.org/officeDocument/2006/relationships/hyperlink" Target="../../../../TKP/TKP2021/tkp2021_638_&#1053;&#1077;&#1092;&#1090;&#1077;&#1084;&#1086;&#1085;&#1090;&#1072;&#1078;&#1076;&#1080;&#1072;&#1075;&#1085;&#1086;&#1089;&#1090;&#1080;&#1082;&#1072;_&#1090;&#1077;&#1085;&#1079;&#1086;&#1089;&#1090;&#1072;&#1085;&#1094;&#1080;&#1103;_&#1045;&#1078;&#1086;&#1074;&#1072;" TargetMode="External"/><Relationship Id="rId310" Type="http://schemas.openxmlformats.org/officeDocument/2006/relationships/hyperlink" Target="..\..\..\..\TKP\TKP2023\tkp2023_363_&#1062;&#1053;&#1048;&#1048;&#1052;&#1072;&#1096;_&#1084;&#1086;&#1076;&#1091;&#1083;&#1080;_&#1052;&#1072;&#1089;&#1083;&#1086;&#1074;&#1072;\" TargetMode="External"/><Relationship Id="rId70" Type="http://schemas.openxmlformats.org/officeDocument/2006/relationships/hyperlink" Target="../../../../TKP/TKP2021/tkp2021_621_&#1045;&#1074;&#1088;&#1086;&#1057;&#1080;&#1073;&#1069;&#1085;&#1077;&#1088;&#1075;&#1086;_MIC_&#1045;&#1078;&#1086;&#1074;&#1072;/&#1050;&#1086;&#1085;&#1090;&#1072;&#1082;&#1090;&#1099;.txt" TargetMode="External"/><Relationship Id="rId91" Type="http://schemas.openxmlformats.org/officeDocument/2006/relationships/hyperlink" Target="../../../../TKP/TKP2020/tkp2020_366_&#1053;&#1055;&#1054;_&#1072;&#1074;&#1090;&#1086;&#1084;&#1072;&#1090;&#1080;&#1082;&#1080;_&#1050;&#1057;&#1058;-1,MIC-&#1062;&#1058;&#1052;&#1048;_&#1052;&#1072;&#1088;&#1090;&#1099;&#1085;&#1086;&#1074;/v1_tkp2020_366_&#1053;&#1055;&#1054;_&#1072;&#1074;&#1090;&#1086;&#1084;&#1072;&#1090;&#1080;&#1082;&#1080;_&#1050;&#1057;&#1058;-1,MIC-&#1062;&#1058;&#1052;&#1048;_&#1052;&#1072;&#1088;&#1090;&#1099;&#1085;&#1086;&#1074;.xls" TargetMode="External"/><Relationship Id="rId145" Type="http://schemas.openxmlformats.org/officeDocument/2006/relationships/hyperlink" Target="..\..\..\..\TKP\TKP2020\tkp2020_038_&#1054;&#1044;&#1050;-&#1055;&#1052;_MIC-355M_&#1045;&#1078;&#1086;&#1074;&#1072;" TargetMode="External"/><Relationship Id="rId166" Type="http://schemas.openxmlformats.org/officeDocument/2006/relationships/hyperlink" Target="../../../../TKP/TKP2021/tkp2021_098_&#1058;&#1091;&#1083;&#1072;&#1086;&#1073;&#1086;&#1088;&#1086;&#1085;&#1089;&#1090;&#1088;&#1086;&#1081;_&#1084;&#1086;&#1076;&#1077;&#1088;&#1085;&#1080;&#1079;&#1072;&#1094;&#1080;&#1103;_&#1051;&#1042;&#1044;_&#1057;&#1087;&#1080;&#1088;&#1080;&#1076;&#1086;&#1085;&#1089;&#1082;&#1080;&#1081;" TargetMode="External"/><Relationship Id="rId187" Type="http://schemas.openxmlformats.org/officeDocument/2006/relationships/hyperlink" Target="../../../../TKP/TKP2022/tkp2022_455_&#1043;&#1086;&#1089;&#1052;&#1041;&#1050;_&#1042;&#1099;&#1084;&#1087;&#1077;&#1083;_&#1050;&#1086;&#1084;&#1087;&#1083;&#1077;&#1082;&#1089;_&#1091;&#1087;&#1088;&#1072;&#1074;&#1083;&#1077;&#1085;&#1080;&#1103;_&#1080;_&#1082;&#1086;&#1085;&#1090;&#1088;&#1086;&#1083;&#1103;_&#1052;&#1077;&#1083;&#1080;&#1093;&#1086;&#1074;/&#1057;&#1093;&#1077;&#1084;&#1072;%20&#1089;&#1086;&#1077;&#1076;&#1080;&#1085;&#1077;&#1085;&#1080;&#1081;/" TargetMode="External"/><Relationship Id="rId331" Type="http://schemas.openxmlformats.org/officeDocument/2006/relationships/hyperlink" Target="../../../../TKP/TKP2023/tkp2023_479_&#1062;&#1048;&#1040;&#1052;_MIC-1200_&#1052;&#1072;&#1089;&#1083;&#1086;&#1074;&#1072;/" TargetMode="External"/><Relationship Id="rId1" Type="http://schemas.openxmlformats.org/officeDocument/2006/relationships/hyperlink" Target="../../../../TKP/TKP2021/tkp2021_618_&#1053;&#1048;&#1062;_&#1057;&#1090;&#1088;&#1086;&#1080;&#1090;&#1077;&#1083;&#1100;&#1089;&#1090;&#1074;&#1086;_&#1090;&#1077;&#1085;&#1079;&#1086;&#1084;&#1077;&#1090;&#1088;&#1080;&#1103;_&#1045;&#1078;&#1086;&#1074;&#1072;" TargetMode="External"/><Relationship Id="rId212" Type="http://schemas.openxmlformats.org/officeDocument/2006/relationships/hyperlink" Target="../../../../TKP/TKP2022/tkp2022_047_&#1050;&#1072;&#1079;&#1072;&#1085;&#1089;&#1082;&#1080;&#1081;%20&#1087;&#1086;&#1088;&#1086;&#1093;&#1086;&#1074;&#1086;&#1081;%20&#1079;&#1072;&#1074;&#1086;&#1076;_MIC-355M_&#1057;&#1085;&#1099;&#1075;&#1080;&#1085;&#1072;" TargetMode="External"/><Relationship Id="rId233" Type="http://schemas.openxmlformats.org/officeDocument/2006/relationships/hyperlink" Target="../../../../TKP/TKP2022/tkp2022_058_&#1053;&#1055;&#1054;_&#1040;&#1074;&#1090;&#1086;&#1084;&#1072;&#1090;&#1080;&#1082;&#1080;_MIC-700_&#1052;&#1072;&#1088;&#1090;&#1099;&#1085;&#1086;&#1074;" TargetMode="External"/><Relationship Id="rId254" Type="http://schemas.openxmlformats.org/officeDocument/2006/relationships/hyperlink" Target="..\..\..\..\TKP\TKP2022\tkp2022_336_&#1056;&#1069;&#1055;&#1061;_&#1074;&#1080;&#1073;&#1088;&#1086;&#1076;&#1080;&#1072;&#1075;&#1085;&#1086;&#1089;&#1090;&#1080;&#1082;&#1072;_&#1043;&#1055;&#1040;_&#1043;&#1058;&#1059;_&#1052;&#1077;&#1083;&#1080;&#1093;&#1086;&#1074;\" TargetMode="External"/><Relationship Id="rId28" Type="http://schemas.openxmlformats.org/officeDocument/2006/relationships/hyperlink" Target="../../../../TKP/TKP2021/tkp2021_193_&#1040;&#1101;&#1088;&#1086;&#1089;&#1080;&#1083;&#1072;_&#1080;&#1079;&#1084;&#1077;&#1088;&#1080;&#1090;&#1077;&#1083;&#1100;_&#1074;&#1080;&#1073;&#1088;&#1072;&#1094;&#1080;&#1080;_&#1057;&#1087;&#1080;&#1088;&#1080;&#1076;&#1086;&#1085;&#1089;&#1082;&#1080;&#1081;" TargetMode="External"/><Relationship Id="rId49" Type="http://schemas.openxmlformats.org/officeDocument/2006/relationships/hyperlink" Target="../../../../TKP/TKP2021/tkp2021_246_&#1050;&#1088;&#1086;&#1085;&#1096;&#1090;&#1072;&#1076;&#1090;_&#1048;&#1058;&#1057;-115_&#1076;&#1086;&#1087;_&#1088;&#1072;&#1073;&#1086;&#1090;&#1099;_&#1057;&#1087;&#1080;&#1088;&#1080;&#1076;&#1086;&#1085;&#1089;&#1082;&#1080;&#1081;" TargetMode="External"/><Relationship Id="rId114" Type="http://schemas.openxmlformats.org/officeDocument/2006/relationships/hyperlink" Target="../../../../TKP/TKP2020/tkp2020_454_&#1059;&#1092;&#1072;_&#1040;&#1074;&#1080;&#1072;&#1075;&#1072;&#1079;_&#1057;&#1059;&#1054;&#1057;&#1050;_&#1057;&#1087;&#1080;&#1088;&#1080;&#1076;&#1086;&#1085;&#1089;&#1082;&#1080;&#1081;/&#1057;&#1093;&#1077;&#1084;&#1072;_&#1089;&#1086;&#1077;&#1076;&#1080;&#1085;&#1077;&#1085;&#1080;&#1081;/" TargetMode="External"/><Relationship Id="rId275" Type="http://schemas.openxmlformats.org/officeDocument/2006/relationships/hyperlink" Target="../../../../TKP/TKP2024/tkp2024_334_&#1059;&#1047;&#1043;&#1040;_&#1040;&#1055;&#1044;-500_2_&#1089;&#1090;&#1077;&#1085;&#1076;&#1072;_&#1056;&#1057;&#1057;_&#1041;&#1091;&#1088;&#1103;&#1082;/" TargetMode="External"/><Relationship Id="rId296" Type="http://schemas.openxmlformats.org/officeDocument/2006/relationships/hyperlink" Target="../../../../TKP/TKP2023/tkp2023_045_&#1054;&#1044;&#1050;_&#1057;&#1072;&#1090;&#1091;&#1088;&#1085;_MIC-185_&#1045;&#1078;&#1086;&#1074;&#1072;" TargetMode="External"/><Relationship Id="rId300" Type="http://schemas.openxmlformats.org/officeDocument/2006/relationships/hyperlink" Target="../../../../TKP/TKP2023/tkp2023_124_&#1055;&#1053;&#1048;&#1055;&#1059;_MIC-236_&#1045;&#1078;&#1086;&#1074;&#1072;" TargetMode="External"/><Relationship Id="rId60" Type="http://schemas.openxmlformats.org/officeDocument/2006/relationships/hyperlink" Target="../../../../TKP/TKP2021/tkp2021_176_&#1057;&#1086;&#1102;&#1079;&#1087;&#1088;&#1086;&#1084;&#1053;&#1048;&#1048;&#1087;&#1088;&#1086;&#1077;&#1082;&#1090;_&#1050;&#1086;&#1084;&#1073;&#1080;&#1085;&#1072;&#1090;%20&#1050;&#1072;&#1084;&#1077;&#1085;&#1089;&#1082;&#1080;&#1081;_MIC-036_&#1045;&#1078;&#1086;&#1074;&#1072;/" TargetMode="External"/><Relationship Id="rId81" Type="http://schemas.openxmlformats.org/officeDocument/2006/relationships/hyperlink" Target="../../../../TKP/TKP2021/tkp2021_128_&#1053;&#1055;&#1054;_&#1052;&#1072;&#1096;&#1080;&#1085;&#1086;&#1089;&#1090;&#1088;&#1086;&#1077;&#1085;&#1080;&#1103;_&#1059;&#1085;&#1080;&#1074;&#1077;&#1088;&#1089;&#1072;&#1083;&#1100;&#1085;&#1099;&#1077;_&#1080;&#1079;&#1084;&#1077;&#1088;&#1080;&#1090;&#1077;&#1083;&#1100;&#1085;&#1099;&#1077;_&#1082;&#1086;&#1084;&#1087;&#1083;&#1077;&#1082;&#1089;&#1099;_&#1052;&#1072;&#1088;&#1090;&#1099;&#1085;&#1086;&#1074;" TargetMode="External"/><Relationship Id="rId135" Type="http://schemas.openxmlformats.org/officeDocument/2006/relationships/hyperlink" Target="../../../../TKP/TKP2021/tkp2021_359_&#1050;&#1041;&#1061;&#1052;_&#1091;&#1090;&#1074;&#1077;&#1088;&#1078;&#1076;&#1077;&#1085;&#1080;&#1077;&#1090;&#1080;&#1087;&#1072;&#1057;&#1048;_&#1045;&#1078;&#1086;&#1074;&#1072;" TargetMode="External"/><Relationship Id="rId156" Type="http://schemas.openxmlformats.org/officeDocument/2006/relationships/hyperlink" Target="../../../../TKP/TKP2021/tkp2021_141_&#1053;&#1055;&#1054;_&#1051;&#1072;&#1074;&#1086;&#1095;&#1082;&#1080;&#1085;&#1072;_&#1057;&#1090;&#1072;&#1090;&#1079;&#1072;&#1083;_&#1052;&#1072;&#1088;&#1090;&#1099;&#1085;&#1086;&#1074;" TargetMode="External"/><Relationship Id="rId177" Type="http://schemas.openxmlformats.org/officeDocument/2006/relationships/hyperlink" Target="../../../../TKP/TKP2022/tkp2022_600_RIZZANI_DE_ECCHER_&#1057;&#1054;&#1044;_&#1052;&#1077;&#1083;&#1080;&#1093;&#1086;&#1074;" TargetMode="External"/><Relationship Id="rId198" Type="http://schemas.openxmlformats.org/officeDocument/2006/relationships/hyperlink" Target="../../../../TKP/TKP2022/tkp2022_385_&#1050;&#1072;&#1079;&#1072;&#1085;&#1089;&#1082;&#1080;&#1081;_&#1087;&#1086;&#1088;&#1086;&#1093;&#1086;&#1074;&#1086;&#1081;_&#1079;&#1072;&#1074;&#1086;&#1076;_MIC-355_&#1057;&#1085;&#1099;&#1075;&#1080;&#1085;&#1072;" TargetMode="External"/><Relationship Id="rId321" Type="http://schemas.openxmlformats.org/officeDocument/2006/relationships/hyperlink" Target="../../../../TKP/TKP2023/tkp2023_547_&#1055;&#1053;&#1045;&#1042;&#1052;&#1040;&#1050;&#1057;_&#1057;&#1048;&#1057;&#1058;&#1045;&#1052;&#1067;_&#1048;&#1042;&#1050;_MIC-236_&#1052;&#1077;&#1083;&#1080;&#1093;&#1086;&#1074;/&#1058;&#1050;&#1055;_547_23_&#1089;&#1090;&#1072;&#1090;&#1091;&#1089;%20.xlsm" TargetMode="External"/><Relationship Id="rId202" Type="http://schemas.openxmlformats.org/officeDocument/2006/relationships/hyperlink" Target="../../../../TKP/TKP2022/tkp2022_228_&#1053;&#1055;&#1050;_&#1059;&#1042;&#1047;_&#1089;&#1090;&#1077;&#1085;&#1076;_&#1088;&#1077;&#1089;&#1091;&#1088;&#1089;&#1085;&#1099;&#1093;%20&#1080;&#1089;&#1087;&#1099;&#1090;&#1072;&#1085;&#1080;&#1081;_&#1045;&#1078;&#1086;&#1074;&#1072;" TargetMode="External"/><Relationship Id="rId223" Type="http://schemas.openxmlformats.org/officeDocument/2006/relationships/hyperlink" Target="../../../../TKP/TKP2021/tkp2021_182_&#1054;&#1044;&#1050;-&#1040;&#1074;&#1080;&#1072;&#1076;&#1074;&#1080;&#1075;&#1072;&#1090;&#1077;&#1083;&#1100;_&#1055;&#1054;_&#1089;&#1090;&#1077;&#1085;&#1076;&#1072;_&#1089;&#1090;&#1072;&#1090;&#1080;&#1089;&#1087;&#1099;&#1090;&#1072;&#1085;&#1080;&#1081;_&#1052;&#1072;&#1088;&#1090;&#1099;&#1085;&#1086;&#1074;" TargetMode="External"/><Relationship Id="rId244" Type="http://schemas.openxmlformats.org/officeDocument/2006/relationships/hyperlink" Target="../../../../TKP/TKP2022/tkp2022_382_AdayGroup_MIC-185_&#1057;&#1085;&#1099;&#1075;&#1080;&#1085;&#1072;" TargetMode="External"/><Relationship Id="rId18" Type="http://schemas.openxmlformats.org/officeDocument/2006/relationships/hyperlink" Target="../../../../TKP/TKP2021/tkp2021_052_&#1053;&#1055;&#1054;_&#1051;&#1072;&#1074;&#1086;&#1095;&#1082;&#1080;&#1085;&#1072;_&#1094;&#1077;&#1085;&#1090;&#1088;&#1080;&#1092;&#1091;&#1075;&#1072;%20&#1057;&#1059;-267_&#1057;&#1087;&#1080;&#1088;&#1080;&#1076;&#1086;&#1085;&#1089;&#1082;&#1080;&#1081;-&#1056;&#1057;&#1057;" TargetMode="External"/><Relationship Id="rId39" Type="http://schemas.openxmlformats.org/officeDocument/2006/relationships/hyperlink" Target="../../../../TKP/TKP2021/tkp2021_005_&#1060;&#1043;&#1059;&#1055;_&#1060;&#1062;&#1044;&#1058;_&#1057;&#1086;&#1102;&#1079;_&#1057;&#1048;_&#1089;&#1090;&#1077;&#1085;&#1076;&#1072;_&#1087;&#1088;&#1086;&#1095;&#1085;&#1086;&#1089;&#1090;&#1085;&#1099;&#1093;_&#1080;&#1089;&#1087;&#1099;&#1090;&#1072;&#1085;&#1080;&#1081;_&#1057;&#1087;&#1080;&#1088;&#1080;&#1076;&#1086;&#1085;&#1089;&#1082;&#1080;&#1081;" TargetMode="External"/><Relationship Id="rId265" Type="http://schemas.openxmlformats.org/officeDocument/2006/relationships/hyperlink" Target="../../../../TKP/TKP2022/tkp2022_593_Kingsly_Rocket%20Transport_&#1056;&#1057;&#1057;_&#1045;&#1078;&#1086;&#1074;&#1072;" TargetMode="External"/><Relationship Id="rId286" Type="http://schemas.openxmlformats.org/officeDocument/2006/relationships/hyperlink" Target="..\..\..\..\TKP\TKP2022\tkp2022_212_&#1050;&#1091;&#1079;&#1085;&#1077;&#1094;&#1086;&#1074;_&#1042;&#1080;&#1085;&#1090;&#1072;&#1081;_&#1040;&#1057;&#1048;_&#1041;&#1052;&#1055;_&#1057;&#1087;&#1080;&#1088;&#1080;&#1076;&#1086;&#1085;&#1089;&#1082;&#1080;&#1081;_&#1056;&#1057;&#1057;\&#1058;&#1050;&#1055;_212_22_&#1089;&#1090;&#1072;&#1090;&#1091;&#1089;.xlsm" TargetMode="External"/><Relationship Id="rId50" Type="http://schemas.openxmlformats.org/officeDocument/2006/relationships/hyperlink" Target="../../../../TKP/TKP2021/tkp2021_399_&#1062;&#1048;&#1040;&#1052;_&#1087;&#1091;&#1083;&#1100;&#1090;&#1086;&#1074;&#1072;&#1103;_&#1062;-3_&#1045;&#1078;&#1086;&#1074;&#1072;" TargetMode="External"/><Relationship Id="rId104" Type="http://schemas.openxmlformats.org/officeDocument/2006/relationships/hyperlink" Target="../../../../../TKP/TKP2020/tkp2020_109_Kingsly_MIC-1150_&#1057;&#1087;&#1080;&#1088;&#1080;&#1076;&#1086;&#1085;&#1089;&#1082;&#1080;&#1081;/&#1057;&#1093;&#1077;&#1084;&#1072;_&#1089;&#1086;&#1077;&#1076;&#1080;&#1085;&#1077;&#1085;&#1080;&#1081;/&#1069;&#1089;&#1082;&#1080;&#1079;_Airworthy%20MIC1150_1500_v2.vsd" TargetMode="External"/><Relationship Id="rId125" Type="http://schemas.openxmlformats.org/officeDocument/2006/relationships/hyperlink" Target="../../../../TKP/TKP2023/tkp2023_182_&#1062;&#1048;&#1040;&#1052;_&#1040;&#1057;&#1059;_&#1058;&#1055;_&#1062;17&#1043;3_&#1045;&#1078;&#1086;&#1074;&#1072;" TargetMode="External"/><Relationship Id="rId146" Type="http://schemas.openxmlformats.org/officeDocument/2006/relationships/hyperlink" Target="../../../../TKP/TKP2021/tkp2021_035_&#1057;&#1050;&#1041;%20&#1058;&#1091;&#1088;&#1073;&#1080;&#1085;&#1072;_MIC-036_&#1045;&#1078;&#1086;&#1074;&#1072;" TargetMode="External"/><Relationship Id="rId167" Type="http://schemas.openxmlformats.org/officeDocument/2006/relationships/hyperlink" Target="../../../../TKP/TKP2021/tkp2021_496_&#1040;&#1054;_&#1059;&#1088;&#1072;&#1083;&#1087;&#1088;&#1086;&#1084;&#1087;&#1088;&#1086;&#1077;&#1082;&#1090;_&#1089;&#1090;&#1077;&#1085;&#1076;_50_&#1050;&#1041;&#1061;&#1040;_&#1057;&#1087;&#1080;&#1088;&#1080;&#1076;&#1086;&#1085;&#1089;&#1082;&#1080;&#1081;" TargetMode="External"/><Relationship Id="rId188" Type="http://schemas.openxmlformats.org/officeDocument/2006/relationships/hyperlink" Target="../../../../TKP/TKP2022/tkp2022_475_Kingsly_LPSC%20Bangalor%20DAS_&#1056;&#1057;&#1057;" TargetMode="External"/><Relationship Id="rId311" Type="http://schemas.openxmlformats.org/officeDocument/2006/relationships/hyperlink" Target="../../../../TKP/TKP2023/tkp2023_363_&#1062;&#1053;&#1048;&#1048;&#1052;&#1072;&#1096;_&#1084;&#1086;&#1076;&#1091;&#1083;&#1080;_&#1052;&#1072;&#1089;&#1083;&#1086;&#1074;&#1072;/&#1058;&#1050;&#1055;_363_23_&#1089;&#1090;&#1072;&#1090;&#1091;&#1089;.xlsm" TargetMode="External"/><Relationship Id="rId332" Type="http://schemas.openxmlformats.org/officeDocument/2006/relationships/hyperlink" Target="../../../../TKP/TKP2023/tkp2023_479_&#1062;&#1048;&#1040;&#1052;_MIC-1200_&#1052;&#1072;&#1089;&#1083;&#1086;&#1074;&#1072;/&#1058;&#1050;&#1055;_479_23_&#1089;&#1090;&#1072;&#1090;&#1091;&#1089;.xlsm" TargetMode="External"/><Relationship Id="rId71" Type="http://schemas.openxmlformats.org/officeDocument/2006/relationships/hyperlink" Target="..\..\..\..\TKP\TKP2021\tkp2021_205_&#1053;&#1055;&#1054;_&#1040;&#1074;&#1090;&#1086;&#1084;&#1072;&#1090;&#1080;&#1082;&#1080;_&#1050;&#1057;&#1058;-2_&#1052;&#1072;&#1088;&#1090;&#1099;&#1085;&#1086;&#1074;" TargetMode="External"/><Relationship Id="rId92" Type="http://schemas.openxmlformats.org/officeDocument/2006/relationships/hyperlink" Target="../../../../TKP/TKP2021/tkp2021_007_&#1055;&#1058;&#1043;_&#1057;&#1059;&#1054;&#1057;&#1050;_&#1057;&#1087;&#1080;&#1088;&#1080;&#1076;&#1086;&#1085;&#1089;&#1082;&#1080;&#1081;" TargetMode="External"/><Relationship Id="rId213" Type="http://schemas.openxmlformats.org/officeDocument/2006/relationships/hyperlink" Target="../../../../TKP/TKP2022/tkp2022_434_&#1059;&#1047;&#1043;&#1040;%20(&#1057;&#1080;&#1085;&#1077;&#1088;&#1082;&#1086;&#1085;)_&#1090;&#1077;&#1085;&#1079;&#1086;&#1089;&#1090;&#1072;&#1085;&#1094;&#1080;&#1103;_200_&#1082;&#1072;&#1085;&#1072;&#1083;&#1086;&#1074;_&#1052;&#1077;&#1083;&#1080;&#1093;&#1086;&#1074;" TargetMode="External"/><Relationship Id="rId234" Type="http://schemas.openxmlformats.org/officeDocument/2006/relationships/hyperlink" Target="../../../../TKP/TKP2022/tkp2022_074_Kingsly_Monitoring%20system" TargetMode="External"/><Relationship Id="rId2" Type="http://schemas.openxmlformats.org/officeDocument/2006/relationships/hyperlink" Target="../../../../TKP/TKP2021/tkp2021_323_&#1062;&#1053;&#1048;&#1048;&#1040;&#1043;_MIC-355_&#1057;&#1085;&#1099;&#1075;&#1080;&#1085;&#1072;" TargetMode="External"/><Relationship Id="rId29" Type="http://schemas.openxmlformats.org/officeDocument/2006/relationships/hyperlink" Target="../../../../TKP/TKP2021/tkp2021_278_&#1058;&#1052;&#1050;_&#1053;&#1058;&#1062;_MIC-185_&#1045;&#1078;&#1086;&#1074;&#1072;" TargetMode="External"/><Relationship Id="rId255" Type="http://schemas.openxmlformats.org/officeDocument/2006/relationships/hyperlink" Target="../../../../TKP/TKP2022/tkp2022_336_&#1056;&#1069;&#1055;&#1061;_&#1074;&#1080;&#1073;&#1088;&#1086;&#1076;&#1080;&#1072;&#1075;&#1085;&#1086;&#1089;&#1090;&#1080;&#1082;&#1072;_&#1043;&#1055;&#1040;_&#1043;&#1058;&#1059;_&#1052;&#1077;&#1083;&#1080;&#1093;&#1086;&#1074;/&#1048;&#1089;&#1093;&#1086;&#1076;&#1085;&#1099;&#1077;%20&#1076;&#1072;&#1085;&#1085;&#1099;&#1077;/2022-07-04%20&#1058;&#1077;&#1093;&#1085;&#1080;&#1095;&#1077;&#1089;&#1082;&#1080;&#1077;%20&#1090;&#1088;&#1077;&#1073;&#1086;&#1074;&#1072;&#1085;&#1080;&#1103;%20&#1082;%20&#1089;&#1080;&#1089;&#1090;&#1077;&#1084;&#1077;%20&#1074;&#1080;&#1073;&#1088;&#1072;&#1094;&#1080;&#1086;&#1085;&#1085;&#1086;&#1081;%20&#1076;&#1080;&#1072;&#1075;&#1085;&#1086;&#1089;&#1090;&#1080;&#1082;&#1080;%20(1)(1).docx" TargetMode="External"/><Relationship Id="rId276" Type="http://schemas.openxmlformats.org/officeDocument/2006/relationships/hyperlink" Target="..\..\..\..\TKP\TKP2024\tkp2024_334_&#1059;&#1047;&#1043;&#1040;_&#1040;&#1055;&#1044;-500_2_&#1089;&#1090;&#1077;&#1085;&#1076;&#1072;_&#1056;&#1057;&#1057;_&#1041;&#1091;&#1088;&#1103;&#1082;\&#1058;&#1050;&#1055;_334_24_&#1089;&#1090;&#1072;&#1090;&#1091;&#1089;.xlsm" TargetMode="External"/><Relationship Id="rId297" Type="http://schemas.openxmlformats.org/officeDocument/2006/relationships/hyperlink" Target="../../../../TKP/TKP2023/tkp2023_073_Kingsly_DAS_&#1045;&#1078;&#1086;&#1074;&#1072;" TargetMode="External"/><Relationship Id="rId40" Type="http://schemas.openxmlformats.org/officeDocument/2006/relationships/hyperlink" Target="../../../../TKP/TKP2021/tkp2021_065_&#1048;&#1062;_&#1054;&#1056;&#1043;&#1056;&#1069;&#1057;_&#1040;&#1048;&#1057;_&#1045;&#1078;&#1086;&#1074;&#1072;" TargetMode="External"/><Relationship Id="rId115" Type="http://schemas.openxmlformats.org/officeDocument/2006/relationships/hyperlink" Target="..\..\..\..\TKP\TKP2021\tkp2021_574_&#1040;&#1054;_&#1050;&#1088;&#1086;&#1085;&#1096;&#1090;&#1072;&#1076;&#1090;_&#1074;&#1080;&#1085;&#1090;&#1086;&#1074;&#1086;&#1081;%20&#1089;&#1090;&#1077;&#1085;&#1076;_&#1040;&#1043;&#1058;&#1044;_115&#1058;-&#1057;&#1087;&#1080;&#1088;&#1080;&#1076;&#1086;&#1085;&#1089;&#1082;&#1080;&#1081;\" TargetMode="External"/><Relationship Id="rId136" Type="http://schemas.openxmlformats.org/officeDocument/2006/relationships/hyperlink" Target="../../../../TKP/TKP2020/tkp2020_487_&#1059;&#1047;&#1043;&#1040;_&#1040;&#1055;&#1044;_3%20&#1074;&#1080;&#1085;&#1090;&#1086;&#1074;&#1099;&#1093;%20&#1089;&#1090;&#1077;&#1085;&#1076;&#1072;_&#1057;&#1087;&#1080;&#1088;&#1080;&#1076;&#1086;&#1085;&#1089;&#1082;&#1080;&#1081;_&#1056;&#1057;&#1057;" TargetMode="External"/><Relationship Id="rId157" Type="http://schemas.openxmlformats.org/officeDocument/2006/relationships/hyperlink" Target="../../../../TKP/TKP2022/tkp2022_306_Kingsly_DAQ%20system_&#1056;&#1057;&#1057;_&#1045;&#1078;&#1086;&#1074;&#1072;" TargetMode="External"/><Relationship Id="rId178" Type="http://schemas.openxmlformats.org/officeDocument/2006/relationships/hyperlink" Target="../../../../TKP/TKP2021/tkp2021_376_&#1059;&#1047;&#1043;&#1040;-&#1040;&#1055;&#1044;_&#1060;&#1086;&#1088;&#1072;-500_&#1057;&#1087;&#1080;&#1088;&#1080;&#1076;&#1086;&#1085;&#1089;&#1082;&#1080;&#1081;" TargetMode="External"/><Relationship Id="rId301" Type="http://schemas.openxmlformats.org/officeDocument/2006/relationships/hyperlink" Target="../../../../TKP/TKP2023/tkp2023_139_&#1048;&#1088;&#1082;&#1091;&#1090;_&#1054;&#1050;&#1056;_&#1048;&#1042;&#1050;_&#1072;&#1085;&#1072;&#1083;&#1080;&#1079;_&#1082;&#1086;&#1088;&#1088;&#1086;&#1079;&#1080;&#1080;_&#1045;&#1078;&#1086;&#1074;&#1072;" TargetMode="External"/><Relationship Id="rId322" Type="http://schemas.openxmlformats.org/officeDocument/2006/relationships/hyperlink" Target="..\..\..\..\TKP\TKP2023\tkp2023_569_&#1055;&#1085;&#1077;&#1074;&#1084;&#1072;&#1082;&#1089;_&#1052;&#1043;&#1058;&#1059;%20&#1041;&#1072;&#1091;&#1084;&#1072;&#1085;&#1072;_&#1089;&#1090;&#1072;&#1090;&#1079;&#1072;&#1083;%20&#1082;&#1072;&#1073;&#1080;&#1085;&#1072;_&#1056;&#1057;&#1057;_&#1055;&#1086;&#1090;&#1086;&#1083;&#1086;&#1095;&#1080;&#1085;\" TargetMode="External"/><Relationship Id="rId61" Type="http://schemas.openxmlformats.org/officeDocument/2006/relationships/hyperlink" Target="../../../../TKP/TKP2021/tkp2021_347_&#1042;&#1086;&#1090;&#1082;&#1080;&#1085;&#1089;&#1082;&#1080;&#1081;%20&#1079;&#1072;&#1074;&#1086;&#1076;_MIC-036_&#1045;&#1078;&#1086;&#1074;&#1072;" TargetMode="External"/><Relationship Id="rId82" Type="http://schemas.openxmlformats.org/officeDocument/2006/relationships/hyperlink" Target="../../../../TKP/TKP2021/tkp2021_208_&#1062;&#1048;&#1040;&#1052;_MIC-553_&#1045;&#1078;&#1086;&#1074;&#1072;" TargetMode="External"/><Relationship Id="rId199" Type="http://schemas.openxmlformats.org/officeDocument/2006/relationships/hyperlink" Target="../../../../TKP/TKP2022/tkp2022_385_&#1050;&#1072;&#1079;&#1072;&#1085;&#1089;&#1082;&#1080;&#1081;_&#1087;&#1086;&#1088;&#1086;&#1093;&#1086;&#1074;&#1086;&#1081;_&#1079;&#1072;&#1074;&#1086;&#1076;_MIC-355_&#1057;&#1085;&#1099;&#1075;&#1080;&#1085;&#1072;" TargetMode="External"/><Relationship Id="rId203" Type="http://schemas.openxmlformats.org/officeDocument/2006/relationships/hyperlink" Target="../../../../TKP/TKP2022/tkp2022_127_&#1053;&#1055;&#1054;_&#1051;&#1072;&#1074;&#1086;&#1095;&#1082;&#1080;&#1085;&#1072;_&#1051;&#1091;&#1085;&#1072;-&#1056;&#1077;&#1089;&#1091;&#1088;&#1089;-1/" TargetMode="External"/><Relationship Id="rId19" Type="http://schemas.openxmlformats.org/officeDocument/2006/relationships/hyperlink" Target="../../../../TKP/TKP2021/tkp2021_072_&#1053;&#1055;&#1054;_&#1051;&#1072;&#1074;&#1086;&#1095;&#1082;&#1080;&#1085;&#1072;_&#1094;&#1077;&#1085;&#1090;&#1088;&#1080;&#1092;&#1091;&#1075;&#1072;_&#1057;&#1087;&#1080;&#1088;&#1080;&#1076;&#1086;&#1085;&#1089;&#1082;&#1080;&#1081;_&#1052;&#1077;&#1093;&#1072;&#1090;&#1088;&#1086;&#1085;&#1080;&#1082;&#1072;" TargetMode="External"/><Relationship Id="rId224" Type="http://schemas.openxmlformats.org/officeDocument/2006/relationships/hyperlink" Target="../../../../TKP/TKP2021/tkp2021_211_&#1050;&#1061;&#1047;_&#1052;IC-236%20_&#1057;&#1085;&#1099;&#1075;&#1080;&#1085;&#1072;" TargetMode="External"/><Relationship Id="rId245" Type="http://schemas.openxmlformats.org/officeDocument/2006/relationships/hyperlink" Target="..\..\..\..\TKP\TKP2022\tkp2022_483_&#1058;&#1077;&#1085;&#1079;&#1086;-&#1048;&#1085;&#1078;&#1080;&#1085;&#1080;&#1088;&#1080;&#1085;&#1075;_&#1058;&#1077;&#1085;&#1079;&#1086;-&#1090;&#1077;&#1083;&#1077;&#1084;&#1077;&#1090;&#1088;&#1080;&#1103;_&#1052;&#1077;&#1083;&#1080;&#1093;&#1086;&#1074;\" TargetMode="External"/><Relationship Id="rId266" Type="http://schemas.openxmlformats.org/officeDocument/2006/relationships/hyperlink" Target="..\..\..\..\TKP\TKP2022\tkp2022_596_&#1059;&#1052;&#1055;&#1054;_&#1057;&#1090;&#1077;&#1085;&#1076;_&#1080;&#1089;&#1087;&#1099;&#1090;&#1072;&#1085;&#1080;&#1103;_&#1040;&#1055;&#1044;_&#1052;&#1077;&#1083;&#1080;&#1093;&#1086;&#1074;_&#1047;&#1077;&#1084;&#1089;&#1082;&#1080;&#1093;\" TargetMode="External"/><Relationship Id="rId287" Type="http://schemas.openxmlformats.org/officeDocument/2006/relationships/hyperlink" Target="../../../../TKP/TKP2023/tkp2023_008_&#1042;&#1086;&#1090;&#1080;&#1085;&#1089;&#1082;&#1080;&#1081;%20&#1079;&#1072;&#1074;&#1086;&#1076;_MIC-236_&#1045;&#1078;&#1086;&#1074;&#1072;" TargetMode="External"/><Relationship Id="rId30" Type="http://schemas.openxmlformats.org/officeDocument/2006/relationships/hyperlink" Target="../../../../TKP/TKP2021/tkp2021_401_&#1043;&#1083;&#1072;&#1076;&#1095;&#1077;&#1085;&#1082;&#1086;_&#1040;&#1055;_&#1058;&#1077;&#1085;&#1079;&#1086;&#1084;&#1077;&#1090;&#1088;&#1080;&#1103;_&#1052;&#1072;&#1088;&#1090;&#1099;&#1085;&#1086;&#1074;" TargetMode="External"/><Relationship Id="rId105" Type="http://schemas.openxmlformats.org/officeDocument/2006/relationships/hyperlink" Target="../../../../TKP/TKP2021/tkp2021_585_&#1054;&#1055;%20&#1042;&#1080;&#1085;&#1090;&#1072;&#1081;%20&#1055;&#1040;&#1054;%20&#1050;&#1091;&#1079;&#1085;&#1077;&#1094;&#1086;&#1074;_&#1055;&#1088;&#1086;&#1083;&#1080;&#1074;&#1086;&#1095;&#1085;&#1099;&#1081;%20&#1089;&#1090;&#1077;&#1085;&#1076;_&#1056;&#1057;&#1057;_&#1045;&#1078;&#1086;&#1074;&#1072;" TargetMode="External"/><Relationship Id="rId126" Type="http://schemas.openxmlformats.org/officeDocument/2006/relationships/hyperlink" Target="..\..\..\..\TKP\TKP2023\tkp2023_182_&#1062;&#1048;&#1040;&#1052;_&#1040;&#1057;&#1059;_&#1058;&#1055;_&#1062;17&#1043;3_&#1045;&#1078;&#1086;&#1074;&#1072;\&#1058;&#1050;&#1055;_182_23_&#1089;&#1090;&#1072;&#1090;&#1091;&#1089;.xlsm" TargetMode="External"/><Relationship Id="rId147" Type="http://schemas.openxmlformats.org/officeDocument/2006/relationships/hyperlink" Target="../../../../TKP/TKP2021/tkp2021_117_&#1055;&#1077;&#1088;&#1084;&#1089;&#1082;&#1080;&#1081;%20_&#1087;&#1086;&#1088;&#1086;&#1093;&#1086;&#1074;&#1086;&#1081;_&#1079;&#1072;&#1074;&#1086;&#1076;_MIC-200_MIC-026%20_&#1057;&#1085;&#1099;&#1075;&#1080;&#1085;&#1072;" TargetMode="External"/><Relationship Id="rId168" Type="http://schemas.openxmlformats.org/officeDocument/2006/relationships/hyperlink" Target="../../../../TKP/TKP2021/tkp2021_537_&#1059;&#1047;&#1043;&#1040;_&#1040;&#1055;&#1044;_&#1074;&#1080;&#1085;&#1090;&#1086;&#1084;&#1086;&#1090;&#1086;&#1088;&#1085;&#1099;&#1081;_&#1089;&#1090;&#1077;&#1085;&#1076;_&#1040;&#1055;&#1044;-500_&#1057;&#1087;&#1080;&#1088;&#1080;&#1076;&#1086;&#1085;&#1089;&#1082;&#1080;&#1081;" TargetMode="External"/><Relationship Id="rId312" Type="http://schemas.openxmlformats.org/officeDocument/2006/relationships/hyperlink" Target="../../../../TKP/TKP2023/tkp2023_231_&#1041;&#1048;&#1057;-&#1056;&#1059;&#1057;_&#1048;&#1079;&#1084;&#1077;&#1088;&#1080;&#1090;&#1077;&#1083;&#1100;_&#1074;&#1080;&#1073;&#1088;&#1072;&#1094;&#1080;&#1080;_&#1076;&#1083;&#1103;_&#1101;&#1083;&#1077;&#1082;&#1090;&#1088;&#1086;&#1082;&#1086;&#1084;&#1087;&#1088;&#1077;&#1089;&#1089;&#1086;&#1088;&#1072;_&#1040;&#1053;&#1061;&#1050;_&#1052;&#1077;&#1083;&#1080;&#1093;&#1086;&#1074;/" TargetMode="External"/><Relationship Id="rId333" Type="http://schemas.openxmlformats.org/officeDocument/2006/relationships/hyperlink" Target="..\..\..\..\TKP\TKP2024\tkp2024_289_&#1062;&#1048;&#1040;&#1052;_&#1054;&#1042;&#1048;&#1057;&#1058;_&#1087;&#1088;&#1086;&#1077;&#1082;&#1090;&#1080;&#1088;&#1086;&#1074;&#1072;&#1085;&#1080;&#1077;_&#1041;&#1091;&#1088;&#1103;&#1082;\" TargetMode="External"/><Relationship Id="rId51" Type="http://schemas.openxmlformats.org/officeDocument/2006/relationships/hyperlink" Target="../../../../TKP/TKP2021/tkp2021_414_&#1053;&#1055;&#1054;_&#1051;&#1072;&#1074;&#1086;&#1095;&#1082;&#1080;&#1085;&#1072;_&#1043;&#1072;&#1079;&#1086;&#1088;&#1072;&#1089;&#1087;&#1088;&#1077;&#1076;&#1077;&#1083;&#1080;&#1090;&#1077;&#1083;&#1100;&#1085;&#1072;&#1103;_&#1091;&#1089;&#1090;&#1072;&#1085;&#1086;&#1074;&#1082;&#1072;_&#1052;&#1072;&#1088;&#1090;&#1099;&#1085;&#1086;&#1074;" TargetMode="External"/><Relationship Id="rId72" Type="http://schemas.openxmlformats.org/officeDocument/2006/relationships/hyperlink" Target="../../../../TKP/TKP2021/tkp2021_299_&#1053;&#1055;&#1054;_&#1062;&#1050;&#1058;&#1048;_MIC-170_&#1057;&#1085;&#1099;&#1075;&#1080;&#1085;&#1072;" TargetMode="External"/><Relationship Id="rId93" Type="http://schemas.openxmlformats.org/officeDocument/2006/relationships/hyperlink" Target="..\..\..\..\TKP\TKP2020\tkp2020_164_&#1050;&#1088;&#1072;&#1089;&#1052;&#1072;&#1096;_&#1057;&#1059;_&#1079;&#1072;&#1087;&#1088;&#1072;&#1074;&#1082;&#1086;&#1081;_&#1057;&#1087;&#1080;&#1088;&#1080;&#1076;&#1086;&#1085;&#1089;&#1082;&#1080;&#1081;\" TargetMode="External"/><Relationship Id="rId189" Type="http://schemas.openxmlformats.org/officeDocument/2006/relationships/hyperlink" Target="../../../../TKP/TKP2022/tkp2022_515_Kingsly_NHDC%20ISPS%20Vibr%20Monit_&#1056;&#1057;&#1057;"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KP/TKP2026/tkp2026_005_&#1051;&#1048;&#1040;&#1047;_&#1053;&#1072;&#1075;&#1088;&#1091;&#1079;&#1086;&#1095;&#1085;&#1099;&#1077;%20&#1080;&#1089;&#1087;&#1099;&#1090;&#1072;&#1085;&#1080;&#1103;_&#1056;&#1057;&#1057;/tkp2026_005_&#1051;&#1048;&#1040;&#1047;__v01.xlsm" TargetMode="External"/><Relationship Id="rId2" Type="http://schemas.openxmlformats.org/officeDocument/2006/relationships/hyperlink" Target="..\3.%20&#1044;&#1086;&#1082;&#1091;&#1084;&#1077;&#1085;&#1090;&#1099;\&#1059;&#1087;&#1088;&#1072;&#1074;&#1083;&#1077;&#1085;&#1080;&#1077;\&#1041;&#1055;\&#1069;&#1082;&#1079;&#1077;&#1084;&#1087;&#1083;&#1103;&#1088;&#1099;\&#1090;&#1082;&#1087;\" TargetMode="External"/><Relationship Id="rId1" Type="http://schemas.openxmlformats.org/officeDocument/2006/relationships/hyperlink" Target="../3.%20&#1044;&#1086;&#1082;&#1091;&#1084;&#1077;&#1085;&#1090;&#1099;/&#1059;&#1087;&#1088;&#1072;&#1074;&#1083;&#1077;&#1085;&#1080;&#1077;/&#1041;&#1055;/&#1069;&#1082;&#1079;&#1077;&#1084;&#1087;&#1083;&#1103;&#1088;&#1099;/&#1090;&#1082;&#1087;/&#1056;&#1057;&#1057;/&#1052;&#1072;&#1090;&#1088;&#1080;&#1094;&#1072;%20&#1087;&#1088;&#1086;&#1074;&#1077;&#1088;&#1086;&#1082;_v01.xlsx" TargetMode="Externa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pageSetUpPr fitToPage="1"/>
  </sheetPr>
  <dimension ref="A1:Z410"/>
  <sheetViews>
    <sheetView tabSelected="1" zoomScale="115" zoomScaleNormal="115" zoomScaleSheetLayoutView="100" workbookViewId="0">
      <pane ySplit="5" topLeftCell="A374" activePane="bottomLeft" state="frozen"/>
      <selection pane="bottomLeft" activeCell="G382" sqref="G382"/>
    </sheetView>
  </sheetViews>
  <sheetFormatPr defaultColWidth="9.140625" defaultRowHeight="12" x14ac:dyDescent="0.25"/>
  <cols>
    <col min="1" max="1" width="1.28515625" style="2" customWidth="1"/>
    <col min="2" max="2" width="5.28515625" style="2" customWidth="1"/>
    <col min="3" max="3" width="9.5703125" style="2" customWidth="1"/>
    <col min="4" max="4" width="14.7109375" style="2" customWidth="1"/>
    <col min="5" max="5" width="11.28515625" style="2" customWidth="1"/>
    <col min="6" max="6" width="21.85546875" style="3" customWidth="1"/>
    <col min="7" max="7" width="12.85546875" style="3" customWidth="1"/>
    <col min="8" max="8" width="15.5703125" style="1" customWidth="1"/>
    <col min="9" max="9" width="14" style="2" customWidth="1"/>
    <col min="10" max="10" width="35.28515625" style="444" customWidth="1"/>
    <col min="11" max="11" width="90.5703125" style="1612" customWidth="1"/>
    <col min="12" max="12" width="7.85546875" style="2" customWidth="1"/>
    <col min="13" max="13" width="7.7109375" style="2" customWidth="1"/>
    <col min="14" max="14" width="14.28515625" style="2" hidden="1" customWidth="1"/>
    <col min="15" max="15" width="12.5703125" style="2" hidden="1" customWidth="1"/>
    <col min="16" max="16" width="7.5703125" style="2" customWidth="1"/>
    <col min="17" max="17" width="8.28515625" style="2" customWidth="1"/>
    <col min="18" max="18" width="11.140625" style="2" customWidth="1"/>
    <col min="19" max="19" width="10" style="2" customWidth="1"/>
    <col min="20" max="20" width="14.85546875" style="1" customWidth="1"/>
    <col min="21" max="22" width="9.140625" style="1"/>
    <col min="23" max="23" width="32.28515625" style="1" customWidth="1"/>
    <col min="24" max="16384" width="9.140625" style="1"/>
  </cols>
  <sheetData>
    <row r="1" spans="1:25" s="4" customFormat="1" ht="25.5" x14ac:dyDescent="0.25">
      <c r="A1" s="4" t="b">
        <v>0</v>
      </c>
      <c r="B1" s="1890" t="s">
        <v>89</v>
      </c>
      <c r="C1" s="1890"/>
      <c r="D1" s="1890"/>
      <c r="E1" s="1890"/>
      <c r="F1" s="1891"/>
      <c r="G1" s="1890"/>
      <c r="H1" s="1892"/>
      <c r="I1" s="1890"/>
      <c r="J1" s="1893"/>
      <c r="K1" s="1894"/>
      <c r="L1" s="1890"/>
      <c r="O1" s="28">
        <v>0</v>
      </c>
      <c r="P1" s="1379" t="s">
        <v>762</v>
      </c>
      <c r="Q1" s="1380">
        <v>1</v>
      </c>
      <c r="R1" s="1897" t="s">
        <v>501</v>
      </c>
      <c r="S1" s="1897"/>
      <c r="T1" s="1381" t="s">
        <v>1025</v>
      </c>
      <c r="U1" s="1382" t="s">
        <v>548</v>
      </c>
      <c r="V1" s="54" t="s">
        <v>552</v>
      </c>
    </row>
    <row r="2" spans="1:25" s="4" customFormat="1" ht="30" x14ac:dyDescent="0.25">
      <c r="B2" s="1895" t="s">
        <v>2001</v>
      </c>
      <c r="C2" s="1895"/>
      <c r="D2" s="1896"/>
      <c r="E2" s="1896"/>
      <c r="F2" s="296" t="s">
        <v>1050</v>
      </c>
      <c r="G2" s="246" t="s">
        <v>636</v>
      </c>
      <c r="H2" s="1289"/>
      <c r="I2" s="661"/>
      <c r="J2" s="541" t="s">
        <v>547</v>
      </c>
      <c r="K2" s="1611"/>
      <c r="L2" s="26"/>
      <c r="O2" s="28">
        <v>-1</v>
      </c>
      <c r="P2" s="1383" t="s">
        <v>697</v>
      </c>
      <c r="Q2" s="1380">
        <v>2</v>
      </c>
      <c r="R2" s="1379" t="s">
        <v>498</v>
      </c>
      <c r="S2" s="1381"/>
      <c r="T2" s="1381">
        <v>20000</v>
      </c>
      <c r="U2" s="1382" t="s">
        <v>549</v>
      </c>
      <c r="V2" s="54" t="s">
        <v>1354</v>
      </c>
      <c r="Y2" s="54" t="s">
        <v>553</v>
      </c>
    </row>
    <row r="3" spans="1:25" s="4" customFormat="1" ht="28.5" x14ac:dyDescent="0.25">
      <c r="B3" s="343"/>
      <c r="C3" s="343"/>
      <c r="D3" s="343"/>
      <c r="E3" s="343"/>
      <c r="F3" s="296"/>
      <c r="G3" s="246"/>
      <c r="H3" s="1290" t="s">
        <v>1106</v>
      </c>
      <c r="I3" s="441" t="s">
        <v>1196</v>
      </c>
      <c r="J3" s="1631" t="s">
        <v>2164</v>
      </c>
      <c r="K3" s="1611"/>
      <c r="L3" s="26"/>
      <c r="M3" s="1124" t="s">
        <v>1840</v>
      </c>
      <c r="P3" s="55">
        <f>COUNTIF(P4:P262,"1")</f>
        <v>4</v>
      </c>
      <c r="Q3" s="28"/>
      <c r="R3" s="27"/>
      <c r="U3" s="56"/>
      <c r="V3" s="54"/>
      <c r="Y3" s="54"/>
    </row>
    <row r="4" spans="1:25" ht="15.75" thickBot="1" x14ac:dyDescent="0.3">
      <c r="B4" s="1898" t="s">
        <v>1644</v>
      </c>
      <c r="C4" s="1898"/>
      <c r="D4" s="1898"/>
      <c r="E4" s="1898"/>
      <c r="F4" s="1899"/>
      <c r="G4" s="247" t="s">
        <v>1375</v>
      </c>
      <c r="H4" s="1291" t="s">
        <v>382</v>
      </c>
      <c r="J4" s="542">
        <v>46245</v>
      </c>
      <c r="P4" s="2" t="s">
        <v>825</v>
      </c>
      <c r="Q4" s="2">
        <v>-2</v>
      </c>
      <c r="U4" s="57" t="s">
        <v>550</v>
      </c>
      <c r="V4" s="54" t="s">
        <v>552</v>
      </c>
    </row>
    <row r="5" spans="1:25" s="5" customFormat="1" ht="30" x14ac:dyDescent="0.25">
      <c r="A5" s="13"/>
      <c r="B5" s="209" t="s">
        <v>0</v>
      </c>
      <c r="C5" s="1723" t="s">
        <v>1274</v>
      </c>
      <c r="D5" s="210" t="s">
        <v>23</v>
      </c>
      <c r="E5" s="211" t="s">
        <v>81</v>
      </c>
      <c r="F5" s="6" t="s">
        <v>24</v>
      </c>
      <c r="G5" s="210" t="s">
        <v>1</v>
      </c>
      <c r="H5" s="1292" t="s">
        <v>2</v>
      </c>
      <c r="I5" s="6" t="s">
        <v>14</v>
      </c>
      <c r="J5" s="540" t="s">
        <v>562</v>
      </c>
      <c r="K5" s="540" t="s">
        <v>30</v>
      </c>
      <c r="L5" s="7" t="s">
        <v>595</v>
      </c>
      <c r="M5" s="7" t="s">
        <v>12</v>
      </c>
      <c r="N5" s="7" t="s">
        <v>600</v>
      </c>
      <c r="O5" s="330" t="s">
        <v>1089</v>
      </c>
      <c r="P5" s="890" t="s">
        <v>596</v>
      </c>
      <c r="Q5" s="7" t="s">
        <v>21</v>
      </c>
      <c r="R5" s="7" t="s">
        <v>22</v>
      </c>
      <c r="S5" s="6" t="s">
        <v>84</v>
      </c>
      <c r="U5" s="58" t="s">
        <v>551</v>
      </c>
      <c r="V5" s="55" t="s">
        <v>2111</v>
      </c>
    </row>
    <row r="6" spans="1:25" s="2" customFormat="1" ht="36" hidden="1" x14ac:dyDescent="0.2">
      <c r="B6" s="9">
        <f t="shared" ref="B6:B15" si="0">ROW()-ROW($B$5)</f>
        <v>1</v>
      </c>
      <c r="C6" s="822"/>
      <c r="D6" s="469" t="s">
        <v>1084</v>
      </c>
      <c r="E6" s="230"/>
      <c r="F6" s="231" t="s">
        <v>1085</v>
      </c>
      <c r="G6" s="232" t="s">
        <v>137</v>
      </c>
      <c r="H6" s="233">
        <v>420000000</v>
      </c>
      <c r="I6" s="230" t="s">
        <v>65</v>
      </c>
      <c r="J6" s="728" t="str">
        <f>[2]!Статус</f>
        <v>20.11.23_x000D_
ТКП Отправлено, пауза</v>
      </c>
      <c r="K6" s="483" t="s">
        <v>1143</v>
      </c>
      <c r="L6" s="344">
        <f>[2]!ТКП_Тематика</f>
        <v>0</v>
      </c>
      <c r="M6" s="344"/>
      <c r="N6" s="230"/>
      <c r="O6" s="344"/>
      <c r="P6" s="51">
        <f>[2]!Результат_число</f>
        <v>0</v>
      </c>
      <c r="Q6" s="344"/>
      <c r="R6" s="344"/>
      <c r="S6" s="344"/>
      <c r="T6" s="98"/>
      <c r="U6" s="98"/>
      <c r="V6" s="98"/>
      <c r="W6" s="98"/>
    </row>
    <row r="7" spans="1:25" s="2" customFormat="1" ht="30" hidden="1" x14ac:dyDescent="0.25">
      <c r="B7" s="9">
        <f t="shared" si="0"/>
        <v>2</v>
      </c>
      <c r="C7" s="822"/>
      <c r="D7" s="30" t="s">
        <v>1049</v>
      </c>
      <c r="E7" s="31"/>
      <c r="F7" s="32" t="s">
        <v>339</v>
      </c>
      <c r="G7" s="33" t="s">
        <v>60</v>
      </c>
      <c r="H7" s="118">
        <v>27916000</v>
      </c>
      <c r="I7" s="287" t="s">
        <v>92</v>
      </c>
      <c r="J7" s="300" t="str">
        <f>[3]!Статус</f>
        <v>21.04.23
отправлено заказчику 10.04.23</v>
      </c>
      <c r="K7" s="42"/>
      <c r="L7" s="34" t="s">
        <v>606</v>
      </c>
      <c r="M7" s="34"/>
      <c r="N7" s="70"/>
      <c r="O7" s="34"/>
      <c r="P7" s="51">
        <f>[3]!Результат_число</f>
        <v>0</v>
      </c>
      <c r="Q7" s="34"/>
      <c r="R7" s="36"/>
      <c r="S7" s="37"/>
      <c r="T7" s="1"/>
      <c r="U7" s="1"/>
      <c r="V7" s="1"/>
    </row>
    <row r="8" spans="1:25" ht="192" hidden="1" x14ac:dyDescent="0.25">
      <c r="B8" s="9">
        <f t="shared" si="0"/>
        <v>3</v>
      </c>
      <c r="C8" s="822"/>
      <c r="D8" s="1044" t="s">
        <v>1739</v>
      </c>
      <c r="E8" s="35"/>
      <c r="F8" s="42" t="s">
        <v>1171</v>
      </c>
      <c r="G8" s="33" t="s">
        <v>1172</v>
      </c>
      <c r="H8" s="37">
        <v>500000000</v>
      </c>
      <c r="I8" s="597" t="s">
        <v>92</v>
      </c>
      <c r="J8" s="781" t="str">
        <f>[4]!Статус</f>
        <v>19.05.25_x000D_
ОП - требуется обновление ТКП до 14.05.25</v>
      </c>
      <c r="K8" s="505" t="s">
        <v>1298</v>
      </c>
      <c r="L8" s="103">
        <f>[4]!ТКП_Тематика</f>
        <v>0</v>
      </c>
      <c r="M8" s="35"/>
      <c r="N8" s="29"/>
      <c r="O8" s="35"/>
      <c r="P8" s="465">
        <f>[4]!Результат_число</f>
        <v>0</v>
      </c>
      <c r="Q8" s="35"/>
      <c r="R8" s="35"/>
      <c r="S8" s="35"/>
      <c r="T8" s="98"/>
      <c r="U8" s="98"/>
      <c r="V8" s="98"/>
    </row>
    <row r="9" spans="1:25" ht="36" hidden="1" x14ac:dyDescent="0.25">
      <c r="A9" s="1"/>
      <c r="B9" s="35">
        <f t="shared" si="0"/>
        <v>4</v>
      </c>
      <c r="C9" s="1714"/>
      <c r="D9" s="1044" t="s">
        <v>1602</v>
      </c>
      <c r="E9" s="34"/>
      <c r="F9" s="784" t="s">
        <v>1603</v>
      </c>
      <c r="G9" s="34" t="s">
        <v>1604</v>
      </c>
      <c r="H9" s="37">
        <v>1500000000</v>
      </c>
      <c r="I9" s="1384" t="s">
        <v>1770</v>
      </c>
      <c r="J9" s="1389" t="str">
        <f>[5]!Статус</f>
        <v>07.10.25_x000D_
АДМ РТ запрашивают официальную версию ТКП по заданной форме</v>
      </c>
      <c r="K9" s="784" t="s">
        <v>2216</v>
      </c>
      <c r="L9" s="103" t="str">
        <f>[5]!ТКП_Тематика</f>
        <v>BFR</v>
      </c>
      <c r="M9" s="35"/>
      <c r="N9" s="35"/>
      <c r="O9" s="37"/>
      <c r="P9" s="51">
        <f>[5]!Результат_число</f>
        <v>-1</v>
      </c>
      <c r="Q9" s="37"/>
      <c r="R9" s="37"/>
      <c r="S9" s="37"/>
    </row>
    <row r="10" spans="1:25" ht="36" hidden="1" x14ac:dyDescent="0.25">
      <c r="B10" s="35">
        <f t="shared" si="0"/>
        <v>5</v>
      </c>
      <c r="C10" s="1714"/>
      <c r="D10" s="30" t="s">
        <v>1243</v>
      </c>
      <c r="E10" s="35"/>
      <c r="F10" s="42" t="s">
        <v>1319</v>
      </c>
      <c r="G10" s="33" t="s">
        <v>1244</v>
      </c>
      <c r="H10" s="37">
        <v>300000000</v>
      </c>
      <c r="I10" s="1393" t="s">
        <v>378</v>
      </c>
      <c r="J10" s="796" t="str">
        <f>[6]!Статус</f>
        <v>19.03.24_x000D_
Второй приоритет. Вернемся после 15.04.24</v>
      </c>
      <c r="K10" s="42"/>
      <c r="L10" s="103">
        <f>[7]!ТКП_Тематика</f>
        <v>0</v>
      </c>
      <c r="M10" s="35"/>
      <c r="N10" s="29"/>
      <c r="O10" s="35"/>
      <c r="P10" s="558">
        <f>[6]!Результат_число</f>
        <v>-1</v>
      </c>
      <c r="Q10" s="35"/>
      <c r="R10" s="35"/>
      <c r="S10" s="35"/>
      <c r="T10" s="98"/>
      <c r="U10" s="98"/>
      <c r="V10" s="98"/>
    </row>
    <row r="11" spans="1:25" ht="60" hidden="1" x14ac:dyDescent="0.25">
      <c r="A11" s="1"/>
      <c r="B11" s="35">
        <f t="shared" si="0"/>
        <v>6</v>
      </c>
      <c r="C11" s="1714"/>
      <c r="D11" s="133" t="s">
        <v>299</v>
      </c>
      <c r="E11" s="31"/>
      <c r="F11" s="32" t="s">
        <v>913</v>
      </c>
      <c r="G11" s="33" t="s">
        <v>268</v>
      </c>
      <c r="H11" s="38">
        <v>45000000</v>
      </c>
      <c r="I11" s="543" t="s">
        <v>380</v>
      </c>
      <c r="J11" s="732" t="str">
        <f>[8]!Статус</f>
        <v>28.09.23_x000D_
Оплачено</v>
      </c>
      <c r="K11" s="645" t="s">
        <v>1202</v>
      </c>
      <c r="L11" s="345" t="str">
        <f>[8]!ТКП_Тематика</f>
        <v>BF</v>
      </c>
      <c r="M11" s="34"/>
      <c r="N11" s="35">
        <v>1</v>
      </c>
      <c r="O11" s="35"/>
      <c r="P11" s="51">
        <f>[8]!Результат_число</f>
        <v>0</v>
      </c>
      <c r="Q11" s="34"/>
      <c r="R11" s="36"/>
      <c r="S11" s="37"/>
    </row>
    <row r="12" spans="1:25" ht="36" hidden="1" x14ac:dyDescent="0.25">
      <c r="A12" s="1"/>
      <c r="B12" s="35">
        <f t="shared" si="0"/>
        <v>7</v>
      </c>
      <c r="C12" s="1714"/>
      <c r="D12" s="30" t="s">
        <v>1528</v>
      </c>
      <c r="E12" s="35"/>
      <c r="F12" s="42" t="s">
        <v>1187</v>
      </c>
      <c r="G12" s="33" t="s">
        <v>4</v>
      </c>
      <c r="H12" s="37">
        <v>90000000</v>
      </c>
      <c r="I12" s="704" t="s">
        <v>54</v>
      </c>
      <c r="J12" s="733" t="str">
        <f>[9]!Статус</f>
        <v>05.10.23_x000D_
от ОМ: требуется отправка до 06.10.23</v>
      </c>
      <c r="K12" s="42" t="s">
        <v>1706</v>
      </c>
      <c r="L12" s="34" t="str">
        <f>[9]!ТКП_Тематика</f>
        <v>FR</v>
      </c>
      <c r="M12" s="35"/>
      <c r="N12" s="29"/>
      <c r="O12" s="35"/>
      <c r="P12" s="51">
        <f>[9]!Результат_число</f>
        <v>-1</v>
      </c>
      <c r="Q12" s="35"/>
      <c r="R12" s="35"/>
      <c r="S12" s="35"/>
      <c r="T12" s="98"/>
      <c r="U12" s="98"/>
      <c r="V12" s="98"/>
    </row>
    <row r="13" spans="1:25" ht="45" hidden="1" x14ac:dyDescent="0.25">
      <c r="B13" s="35">
        <f t="shared" si="0"/>
        <v>8</v>
      </c>
      <c r="C13" s="174"/>
      <c r="D13" s="319" t="s">
        <v>1672</v>
      </c>
      <c r="E13" s="35"/>
      <c r="F13" s="42" t="s">
        <v>1303</v>
      </c>
      <c r="G13" s="42" t="s">
        <v>47</v>
      </c>
      <c r="H13" s="1673">
        <v>600000000</v>
      </c>
      <c r="I13" s="42" t="s">
        <v>423</v>
      </c>
      <c r="J13" s="1481" t="str">
        <f>[10]!Статус</f>
        <v>13.02.25_x000D_
ОМ: Отправлено. Требуется пересчет резерва</v>
      </c>
      <c r="K13" s="682" t="s">
        <v>1501</v>
      </c>
      <c r="L13" s="103" t="str">
        <f>[10]!ТКП_Тематика</f>
        <v>NFB</v>
      </c>
      <c r="M13" s="35"/>
      <c r="N13" s="29"/>
      <c r="O13" s="35"/>
      <c r="P13" s="558">
        <f>[10]!Результат_число</f>
        <v>0</v>
      </c>
      <c r="Q13" s="35"/>
      <c r="R13" s="35"/>
      <c r="S13" s="35"/>
      <c r="T13" s="98"/>
      <c r="U13" s="98"/>
      <c r="V13" s="98"/>
    </row>
    <row r="14" spans="1:25" ht="48" hidden="1" x14ac:dyDescent="0.25">
      <c r="A14" s="1"/>
      <c r="B14" s="9">
        <f t="shared" si="0"/>
        <v>9</v>
      </c>
      <c r="C14" s="822"/>
      <c r="D14" s="30" t="s">
        <v>952</v>
      </c>
      <c r="E14" s="35"/>
      <c r="F14" s="42" t="s">
        <v>953</v>
      </c>
      <c r="G14" s="33" t="s">
        <v>954</v>
      </c>
      <c r="H14" s="37">
        <v>37774455</v>
      </c>
      <c r="I14" s="35" t="s">
        <v>88</v>
      </c>
      <c r="J14" s="295"/>
      <c r="K14" s="42" t="s">
        <v>1705</v>
      </c>
      <c r="L14" s="34" t="s">
        <v>603</v>
      </c>
      <c r="M14" s="35"/>
      <c r="N14" s="29"/>
      <c r="O14" s="35"/>
      <c r="P14" s="35">
        <v>0</v>
      </c>
      <c r="Q14" s="35"/>
      <c r="R14" s="35"/>
      <c r="S14" s="35"/>
      <c r="T14" s="98"/>
      <c r="U14" s="98"/>
      <c r="V14" s="98"/>
    </row>
    <row r="15" spans="1:25" ht="48" hidden="1" x14ac:dyDescent="0.25">
      <c r="A15" s="1"/>
      <c r="B15" s="9">
        <f t="shared" si="0"/>
        <v>10</v>
      </c>
      <c r="C15" s="822"/>
      <c r="D15" s="30" t="s">
        <v>963</v>
      </c>
      <c r="E15" s="35"/>
      <c r="F15" s="42" t="s">
        <v>965</v>
      </c>
      <c r="G15" s="655" t="s">
        <v>4</v>
      </c>
      <c r="H15" s="37">
        <v>35350000</v>
      </c>
      <c r="I15" s="35" t="s">
        <v>423</v>
      </c>
      <c r="J15" s="295"/>
      <c r="K15" s="42" t="s">
        <v>1227</v>
      </c>
      <c r="L15" s="34" t="s">
        <v>602</v>
      </c>
      <c r="M15" s="35"/>
      <c r="N15" s="29"/>
      <c r="O15" s="35"/>
      <c r="P15" s="35">
        <v>0</v>
      </c>
      <c r="Q15" s="35"/>
      <c r="R15" s="35"/>
      <c r="S15" s="35"/>
      <c r="T15" s="98"/>
      <c r="U15" s="98"/>
      <c r="V15" s="98"/>
    </row>
    <row r="16" spans="1:25" ht="48" hidden="1" x14ac:dyDescent="0.25">
      <c r="A16" s="1"/>
      <c r="B16" s="9">
        <v>352</v>
      </c>
      <c r="C16" s="822"/>
      <c r="D16" s="30" t="s">
        <v>930</v>
      </c>
      <c r="E16" s="31"/>
      <c r="F16" s="32" t="s">
        <v>931</v>
      </c>
      <c r="G16" s="33" t="s">
        <v>646</v>
      </c>
      <c r="H16" s="37">
        <v>27982324</v>
      </c>
      <c r="I16" s="35" t="s">
        <v>423</v>
      </c>
      <c r="J16" s="295" t="str">
        <f>[11]!Статус</f>
        <v>29.08.23_x000D_
asdasdasdasdsd</v>
      </c>
      <c r="K16" s="42" t="s">
        <v>932</v>
      </c>
      <c r="L16" s="34">
        <f>[11]!ТКП_Тематика</f>
        <v>0</v>
      </c>
      <c r="M16" s="186"/>
      <c r="N16" s="35"/>
      <c r="O16" s="35"/>
      <c r="P16" s="35">
        <f>[11]!Результат_число</f>
        <v>0</v>
      </c>
      <c r="Q16" s="35"/>
      <c r="R16" s="187"/>
      <c r="S16" s="187"/>
      <c r="T16" s="98"/>
      <c r="U16" s="98"/>
      <c r="V16" s="98"/>
    </row>
    <row r="17" spans="1:23" ht="108" hidden="1" x14ac:dyDescent="0.25">
      <c r="A17" s="1"/>
      <c r="B17" s="9">
        <f>ROW()-ROW($B$5)</f>
        <v>12</v>
      </c>
      <c r="C17" s="174"/>
      <c r="D17" s="319" t="s">
        <v>1462</v>
      </c>
      <c r="E17" s="31"/>
      <c r="F17" s="32" t="s">
        <v>801</v>
      </c>
      <c r="G17" s="42" t="s">
        <v>802</v>
      </c>
      <c r="H17" s="37">
        <v>24000000</v>
      </c>
      <c r="I17" s="35" t="s">
        <v>1318</v>
      </c>
      <c r="J17" s="299" t="str">
        <f>[12]!Статус</f>
        <v>30.05.24_x000D_
РСС: ТКП расчитано_x000D_
ОМ: оформление и отправка до 03.06.24</v>
      </c>
      <c r="K17" s="42" t="s">
        <v>1118</v>
      </c>
      <c r="L17" s="34" t="str">
        <f>[12]!ТКП_Тематика</f>
        <v>BFMR</v>
      </c>
      <c r="M17" s="72"/>
      <c r="N17" s="35"/>
      <c r="O17" s="35"/>
      <c r="P17" s="51">
        <f>[12]!Результат_число</f>
        <v>0</v>
      </c>
      <c r="Q17" s="72"/>
      <c r="R17" s="35"/>
      <c r="S17" s="35"/>
      <c r="T17" s="98"/>
    </row>
    <row r="18" spans="1:23" ht="30" hidden="1" x14ac:dyDescent="0.25">
      <c r="A18" s="1"/>
      <c r="B18" s="9">
        <f>ROW()-ROW($B$5)</f>
        <v>13</v>
      </c>
      <c r="C18" s="822"/>
      <c r="D18" s="133" t="s">
        <v>969</v>
      </c>
      <c r="E18" s="35"/>
      <c r="F18" s="42" t="s">
        <v>968</v>
      </c>
      <c r="G18" s="42" t="s">
        <v>47</v>
      </c>
      <c r="H18" s="1673">
        <v>6000000</v>
      </c>
      <c r="I18" s="35" t="s">
        <v>380</v>
      </c>
      <c r="J18" s="1482" t="str">
        <f>[13]!Статус</f>
        <v>05.04.23
Отправлено</v>
      </c>
      <c r="K18" s="42" t="s">
        <v>1782</v>
      </c>
      <c r="L18" s="34" t="s">
        <v>606</v>
      </c>
      <c r="M18" s="35"/>
      <c r="N18" s="29"/>
      <c r="O18" s="35"/>
      <c r="P18" s="51">
        <f>[13]!Результат_число</f>
        <v>0</v>
      </c>
      <c r="Q18" s="35"/>
      <c r="R18" s="35"/>
      <c r="S18" s="35"/>
      <c r="T18" s="98"/>
      <c r="U18" s="98"/>
      <c r="V18" s="98"/>
    </row>
    <row r="19" spans="1:23" ht="108" hidden="1" x14ac:dyDescent="0.25">
      <c r="A19" s="1"/>
      <c r="B19" s="447">
        <v>244</v>
      </c>
      <c r="C19" s="1714"/>
      <c r="D19" s="488" t="s">
        <v>1212</v>
      </c>
      <c r="E19" s="432"/>
      <c r="F19" s="439" t="s">
        <v>1214</v>
      </c>
      <c r="G19" s="433" t="s">
        <v>1213</v>
      </c>
      <c r="H19" s="434">
        <v>150000000</v>
      </c>
      <c r="I19" s="432" t="s">
        <v>92</v>
      </c>
      <c r="J19" s="735" t="str">
        <f>[14]!Статус</f>
        <v>27.10.23_x000D_
РСС: проработка до 20.11.23</v>
      </c>
      <c r="K19" s="439" t="s">
        <v>1288</v>
      </c>
      <c r="L19" s="435">
        <f>[14]!ТКП_Тематика</f>
        <v>0</v>
      </c>
      <c r="M19" s="432"/>
      <c r="N19" s="436"/>
      <c r="O19" s="432"/>
      <c r="P19" s="432">
        <f>[14]!Результат_число</f>
        <v>0</v>
      </c>
      <c r="Q19" s="432"/>
      <c r="R19" s="437"/>
      <c r="S19" s="437"/>
    </row>
    <row r="20" spans="1:23" ht="60" hidden="1" x14ac:dyDescent="0.25">
      <c r="A20" s="1"/>
      <c r="B20" s="35">
        <v>352</v>
      </c>
      <c r="C20" s="1714"/>
      <c r="D20" s="133" t="s">
        <v>933</v>
      </c>
      <c r="E20" s="31"/>
      <c r="F20" s="32" t="s">
        <v>934</v>
      </c>
      <c r="G20" s="33" t="s">
        <v>935</v>
      </c>
      <c r="H20" s="37">
        <v>3514601</v>
      </c>
      <c r="I20" s="35" t="s">
        <v>92</v>
      </c>
      <c r="J20" s="726"/>
      <c r="K20" s="42" t="s">
        <v>1126</v>
      </c>
      <c r="L20" s="34" t="s">
        <v>605</v>
      </c>
      <c r="M20" s="186"/>
      <c r="N20" s="35"/>
      <c r="O20" s="35"/>
      <c r="P20" s="35">
        <v>0</v>
      </c>
      <c r="Q20" s="35"/>
      <c r="R20" s="187"/>
      <c r="S20" s="187"/>
      <c r="T20" s="98"/>
      <c r="U20" s="98"/>
      <c r="V20" s="98"/>
    </row>
    <row r="21" spans="1:23" ht="36" hidden="1" x14ac:dyDescent="0.25">
      <c r="A21" s="1"/>
      <c r="B21" s="35">
        <f t="shared" ref="B21:B29" si="1">ROW()-ROW($B$5)</f>
        <v>16</v>
      </c>
      <c r="C21" s="1714"/>
      <c r="D21" s="30" t="s">
        <v>480</v>
      </c>
      <c r="E21" s="31"/>
      <c r="F21" s="32" t="s">
        <v>761</v>
      </c>
      <c r="G21" s="33" t="s">
        <v>385</v>
      </c>
      <c r="H21" s="38">
        <v>2798208</v>
      </c>
      <c r="I21" s="33"/>
      <c r="J21" s="726"/>
      <c r="K21" s="42" t="s">
        <v>481</v>
      </c>
      <c r="L21" s="60" t="s">
        <v>605</v>
      </c>
      <c r="M21" s="34"/>
      <c r="N21" s="35"/>
      <c r="O21" s="35"/>
      <c r="P21" s="35">
        <v>0</v>
      </c>
      <c r="Q21" s="34"/>
      <c r="R21" s="36"/>
      <c r="S21" s="37"/>
    </row>
    <row r="22" spans="1:23" ht="36" hidden="1" x14ac:dyDescent="0.25">
      <c r="A22" s="19"/>
      <c r="B22" s="35">
        <f t="shared" si="1"/>
        <v>17</v>
      </c>
      <c r="C22" s="1714"/>
      <c r="D22" s="30" t="s">
        <v>510</v>
      </c>
      <c r="E22" s="31"/>
      <c r="F22" s="32" t="s">
        <v>511</v>
      </c>
      <c r="G22" s="33" t="s">
        <v>512</v>
      </c>
      <c r="H22" s="38">
        <v>2631066</v>
      </c>
      <c r="I22" s="33"/>
      <c r="J22" s="726"/>
      <c r="K22" s="42" t="s">
        <v>513</v>
      </c>
      <c r="L22" s="60" t="s">
        <v>597</v>
      </c>
      <c r="M22" s="34"/>
      <c r="N22" s="35"/>
      <c r="O22" s="35"/>
      <c r="P22" s="35">
        <v>0</v>
      </c>
      <c r="Q22" s="34"/>
      <c r="R22" s="36"/>
      <c r="S22" s="37"/>
    </row>
    <row r="23" spans="1:23" s="19" customFormat="1" ht="24" hidden="1" x14ac:dyDescent="0.25">
      <c r="A23" s="1"/>
      <c r="B23" s="45">
        <f t="shared" si="1"/>
        <v>18</v>
      </c>
      <c r="C23" s="1724"/>
      <c r="D23" s="133" t="s">
        <v>457</v>
      </c>
      <c r="E23" s="127"/>
      <c r="F23" s="128" t="s">
        <v>112</v>
      </c>
      <c r="G23" s="73" t="s">
        <v>52</v>
      </c>
      <c r="H23" s="138">
        <v>2618188</v>
      </c>
      <c r="I23" s="73" t="s">
        <v>745</v>
      </c>
      <c r="J23" s="726"/>
      <c r="K23" s="154" t="s">
        <v>828</v>
      </c>
      <c r="L23" s="67" t="s">
        <v>605</v>
      </c>
      <c r="M23" s="67"/>
      <c r="N23" s="45"/>
      <c r="O23" s="45"/>
      <c r="P23" s="45">
        <v>0</v>
      </c>
      <c r="Q23" s="67"/>
      <c r="R23" s="132"/>
      <c r="S23" s="129"/>
      <c r="T23" s="12"/>
      <c r="U23" s="1"/>
      <c r="V23" s="1"/>
    </row>
    <row r="24" spans="1:23" ht="72" hidden="1" x14ac:dyDescent="0.25">
      <c r="B24" s="230">
        <f t="shared" si="1"/>
        <v>19</v>
      </c>
      <c r="C24" s="1714"/>
      <c r="D24" s="241" t="s">
        <v>970</v>
      </c>
      <c r="E24" s="230"/>
      <c r="F24" s="231" t="s">
        <v>971</v>
      </c>
      <c r="G24" s="232" t="s">
        <v>972</v>
      </c>
      <c r="H24" s="233" t="s">
        <v>49</v>
      </c>
      <c r="I24" s="230" t="s">
        <v>92</v>
      </c>
      <c r="J24" s="740" t="s">
        <v>1002</v>
      </c>
      <c r="K24" s="231" t="s">
        <v>1041</v>
      </c>
      <c r="L24" s="234" t="s">
        <v>606</v>
      </c>
      <c r="M24" s="230"/>
      <c r="N24" s="235"/>
      <c r="O24" s="230"/>
      <c r="P24" s="230">
        <v>-1</v>
      </c>
      <c r="Q24" s="230"/>
      <c r="R24" s="230"/>
      <c r="S24" s="230"/>
      <c r="T24" s="234"/>
      <c r="U24" s="234"/>
      <c r="V24" s="234"/>
      <c r="W24" s="234"/>
    </row>
    <row r="25" spans="1:23" ht="48" hidden="1" x14ac:dyDescent="0.25">
      <c r="B25" s="230">
        <f t="shared" si="1"/>
        <v>20</v>
      </c>
      <c r="C25" s="543"/>
      <c r="D25" s="381" t="s">
        <v>974</v>
      </c>
      <c r="E25" s="237"/>
      <c r="F25" s="238" t="s">
        <v>978</v>
      </c>
      <c r="G25" s="238" t="s">
        <v>205</v>
      </c>
      <c r="H25" s="239">
        <v>25700000</v>
      </c>
      <c r="I25" s="237" t="s">
        <v>378</v>
      </c>
      <c r="J25" s="310" t="str">
        <f>[15]!Статус</f>
        <v>17.04.23_x000D_
от ОМ: требуется согласование и отправка</v>
      </c>
      <c r="K25" s="568" t="s">
        <v>1149</v>
      </c>
      <c r="L25" s="312">
        <f>[15]!ТКП_Тематика</f>
        <v>0</v>
      </c>
      <c r="M25" s="237"/>
      <c r="N25" s="235"/>
      <c r="O25" s="237"/>
      <c r="P25" s="315">
        <f>[15]!Результат_число</f>
        <v>0</v>
      </c>
      <c r="Q25" s="237"/>
      <c r="R25" s="237"/>
      <c r="S25" s="237"/>
      <c r="T25" s="234"/>
      <c r="U25" s="234"/>
      <c r="V25" s="234"/>
      <c r="W25" s="234"/>
    </row>
    <row r="26" spans="1:23" ht="348" hidden="1" x14ac:dyDescent="0.25">
      <c r="B26" s="230">
        <f t="shared" si="1"/>
        <v>21</v>
      </c>
      <c r="C26" s="1714"/>
      <c r="D26" s="245" t="s">
        <v>1783</v>
      </c>
      <c r="E26" s="234"/>
      <c r="F26" s="245" t="s">
        <v>988</v>
      </c>
      <c r="G26" s="232" t="s">
        <v>989</v>
      </c>
      <c r="H26" s="233">
        <v>25000000</v>
      </c>
      <c r="I26" s="230" t="s">
        <v>378</v>
      </c>
      <c r="J26" s="309" t="str">
        <f>[16]!Статус</f>
        <v>21.04.23_x000D_
от РСC: нет ответа по сист. Охл (можно пробовать сделать сами), заказчик не отвечает на вопросы по двигателю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_x000D_
Вероятно откажемся</v>
      </c>
      <c r="K26" s="231" t="s">
        <v>1067</v>
      </c>
      <c r="L26" s="231" t="str">
        <f>[16]!ТКП_Тематика</f>
        <v>B</v>
      </c>
      <c r="M26" s="234"/>
      <c r="N26" s="243"/>
      <c r="O26" s="234"/>
      <c r="P26" s="316">
        <f>[16]!Результат_число</f>
        <v>-1</v>
      </c>
      <c r="Q26" s="234"/>
      <c r="R26" s="234"/>
      <c r="S26" s="234"/>
      <c r="T26" s="234"/>
      <c r="U26" s="234"/>
      <c r="V26" s="234"/>
      <c r="W26" s="234"/>
    </row>
    <row r="27" spans="1:23" ht="36" hidden="1" x14ac:dyDescent="0.25">
      <c r="B27" s="230">
        <f t="shared" si="1"/>
        <v>22</v>
      </c>
      <c r="C27" s="1714"/>
      <c r="D27" s="254" t="s">
        <v>1195</v>
      </c>
      <c r="E27" s="249"/>
      <c r="F27" s="250" t="s">
        <v>996</v>
      </c>
      <c r="G27" s="251" t="s">
        <v>995</v>
      </c>
      <c r="H27" s="252"/>
      <c r="I27" s="248" t="s">
        <v>49</v>
      </c>
      <c r="J27" s="729" t="s">
        <v>997</v>
      </c>
      <c r="K27" s="651"/>
      <c r="L27" s="253" t="s">
        <v>598</v>
      </c>
      <c r="M27" s="249"/>
      <c r="N27" s="219"/>
      <c r="O27" s="249"/>
      <c r="P27" s="230">
        <v>-1</v>
      </c>
      <c r="Q27" s="249"/>
      <c r="R27" s="249"/>
      <c r="S27" s="249"/>
      <c r="T27" s="249"/>
      <c r="U27" s="249"/>
      <c r="V27" s="249"/>
      <c r="W27" s="249"/>
    </row>
    <row r="28" spans="1:23" ht="180" hidden="1" x14ac:dyDescent="0.25">
      <c r="B28" s="240">
        <f t="shared" si="1"/>
        <v>23</v>
      </c>
      <c r="C28" s="366"/>
      <c r="D28" s="276" t="s">
        <v>1008</v>
      </c>
      <c r="E28" s="263"/>
      <c r="F28" s="264" t="s">
        <v>1032</v>
      </c>
      <c r="G28" s="264" t="s">
        <v>1009</v>
      </c>
      <c r="H28" s="265">
        <v>43000000</v>
      </c>
      <c r="I28" s="262" t="s">
        <v>54</v>
      </c>
      <c r="J28" s="307" t="str">
        <f>[17]!Статус</f>
        <v>17.04.23_x000D_
от ОМ: согласование и отправка до 12.04.23</v>
      </c>
      <c r="K28" s="652" t="s">
        <v>1117</v>
      </c>
      <c r="L28" s="266">
        <f>[17]!ТКП_Тематика</f>
        <v>0</v>
      </c>
      <c r="M28" s="263"/>
      <c r="N28" s="263"/>
      <c r="O28" s="263"/>
      <c r="P28" s="306">
        <f>[17]!Результат_число</f>
        <v>0</v>
      </c>
      <c r="Q28" s="263"/>
      <c r="R28" s="263"/>
      <c r="S28" s="185"/>
      <c r="T28" s="98"/>
      <c r="U28" s="98"/>
      <c r="V28" s="98"/>
      <c r="W28" s="98"/>
    </row>
    <row r="29" spans="1:23" ht="72" hidden="1" x14ac:dyDescent="0.25">
      <c r="B29" s="262">
        <f t="shared" si="1"/>
        <v>24</v>
      </c>
      <c r="C29" s="1714"/>
      <c r="D29" s="277" t="s">
        <v>1012</v>
      </c>
      <c r="E29" s="268"/>
      <c r="F29" s="269" t="s">
        <v>1031</v>
      </c>
      <c r="G29" s="269" t="s">
        <v>1013</v>
      </c>
      <c r="H29" s="265">
        <v>24000000</v>
      </c>
      <c r="I29" s="262" t="s">
        <v>54</v>
      </c>
      <c r="J29" s="307" t="str">
        <f>[18]!Статус</f>
        <v>17.04.23_x000D_
РСС: отправлены вопросы (ждем ответ) Проработка до 07.04.23</v>
      </c>
      <c r="K29" s="652" t="s">
        <v>1052</v>
      </c>
      <c r="L29" s="266">
        <f>[18]!ТКП_Тематика</f>
        <v>0</v>
      </c>
      <c r="M29" s="263"/>
      <c r="N29" s="98"/>
      <c r="O29" s="263"/>
      <c r="P29" s="306">
        <f>[18]!Результат_число</f>
        <v>0</v>
      </c>
      <c r="Q29" s="263"/>
      <c r="R29" s="263"/>
      <c r="S29" s="270"/>
      <c r="T29" s="98"/>
      <c r="U29" s="98"/>
      <c r="V29" s="98"/>
      <c r="W29" s="98"/>
    </row>
    <row r="30" spans="1:23" ht="36" hidden="1" x14ac:dyDescent="0.25">
      <c r="B30" s="240">
        <v>390</v>
      </c>
      <c r="C30" s="174"/>
      <c r="D30" s="489" t="s">
        <v>1020</v>
      </c>
      <c r="E30" s="275"/>
      <c r="F30" s="283" t="s">
        <v>1242</v>
      </c>
      <c r="G30" s="273" t="s">
        <v>1014</v>
      </c>
      <c r="H30" s="272">
        <v>100000000</v>
      </c>
      <c r="I30" s="271" t="s">
        <v>39</v>
      </c>
      <c r="J30" s="313">
        <f>[19]!Статус</f>
        <v>0</v>
      </c>
      <c r="K30" s="445" t="s">
        <v>1054</v>
      </c>
      <c r="L30" s="274">
        <f>[19]!ТКП_Тематика</f>
        <v>0</v>
      </c>
      <c r="M30" s="275"/>
      <c r="N30" s="275"/>
      <c r="O30" s="271"/>
      <c r="P30" s="271">
        <f>[19]!Результат_число</f>
        <v>-1</v>
      </c>
      <c r="Q30" s="275"/>
      <c r="R30" s="282"/>
      <c r="S30" s="282" t="b">
        <v>0</v>
      </c>
      <c r="T30" s="98"/>
      <c r="U30" s="98"/>
      <c r="V30" s="98"/>
      <c r="W30" s="98"/>
    </row>
    <row r="31" spans="1:23" ht="96" hidden="1" x14ac:dyDescent="0.25">
      <c r="B31" s="543">
        <f t="shared" ref="B31:B68" si="2">ROW()-ROW($B$5)</f>
        <v>26</v>
      </c>
      <c r="C31" s="174"/>
      <c r="D31" s="319" t="s">
        <v>1203</v>
      </c>
      <c r="E31" s="665">
        <v>3031</v>
      </c>
      <c r="F31" s="273" t="s">
        <v>1015</v>
      </c>
      <c r="G31" s="273" t="s">
        <v>1016</v>
      </c>
      <c r="H31" s="272">
        <v>15809707</v>
      </c>
      <c r="I31" s="280" t="s">
        <v>39</v>
      </c>
      <c r="J31" s="735" t="str">
        <f>[20]!Статус</f>
        <v>28.09.23_x000D_
Оплачен</v>
      </c>
      <c r="K31" s="445" t="s">
        <v>1035</v>
      </c>
      <c r="L31" s="274" t="str">
        <f>[20]!ТКП_Тематика</f>
        <v>DRF</v>
      </c>
      <c r="M31" s="275"/>
      <c r="N31" s="98"/>
      <c r="O31" s="275"/>
      <c r="P31" s="304">
        <f>[20]!Результат_число</f>
        <v>0</v>
      </c>
      <c r="Q31" s="275"/>
      <c r="R31" s="275"/>
      <c r="S31" s="278"/>
      <c r="T31" s="275"/>
      <c r="U31" s="275"/>
      <c r="V31" s="275"/>
      <c r="W31" s="275"/>
    </row>
    <row r="32" spans="1:23" ht="72" hidden="1" x14ac:dyDescent="0.25">
      <c r="A32" s="292"/>
      <c r="B32" s="771">
        <f t="shared" si="2"/>
        <v>27</v>
      </c>
      <c r="C32" s="1714"/>
      <c r="D32" s="776" t="s">
        <v>1550</v>
      </c>
      <c r="E32" s="771"/>
      <c r="F32" s="568" t="s">
        <v>840</v>
      </c>
      <c r="G32" s="783" t="s">
        <v>823</v>
      </c>
      <c r="H32" s="570">
        <v>119000000</v>
      </c>
      <c r="I32" s="312" t="s">
        <v>423</v>
      </c>
      <c r="J32" s="692" t="str">
        <f>[21]!Статус</f>
        <v>06.11.24_x000D_
ОМ: отправлено 01.10.24? Уточнить у заказчика пришло/ требуется что то поменять?</v>
      </c>
      <c r="K32" s="531" t="s">
        <v>1551</v>
      </c>
      <c r="L32" s="568" t="str">
        <f>[21]!ТКП_Тематика</f>
        <v>BJL</v>
      </c>
      <c r="M32" s="237"/>
      <c r="N32" s="174"/>
      <c r="O32" s="237"/>
      <c r="P32" s="315">
        <f>[21]!Результат_число</f>
        <v>-1</v>
      </c>
      <c r="Q32" s="237"/>
      <c r="R32" s="237"/>
      <c r="S32" s="582"/>
    </row>
    <row r="33" spans="2:25" ht="72" hidden="1" x14ac:dyDescent="0.25">
      <c r="B33" s="291">
        <f t="shared" si="2"/>
        <v>28</v>
      </c>
      <c r="C33" s="291"/>
      <c r="D33" s="284" t="s">
        <v>1305</v>
      </c>
      <c r="E33" s="271"/>
      <c r="F33" s="445"/>
      <c r="G33" s="445" t="s">
        <v>1306</v>
      </c>
      <c r="H33" s="272">
        <v>100000000</v>
      </c>
      <c r="I33" s="274" t="s">
        <v>54</v>
      </c>
      <c r="J33" s="743" t="str">
        <f>[22]!Статус</f>
        <v>16.02.24_x000D_
РСС: проведен ВКС, заказчику отправлены вопросы и формы для заполнения исходных данных. от заказчика на следующей неделе отправлю - ожидаем данные от заказчика до 22.02.24</v>
      </c>
      <c r="K33" s="445"/>
      <c r="L33" s="274" t="str">
        <f>[22]!ТКП_Тематика</f>
        <v>BIRF</v>
      </c>
      <c r="M33" s="271"/>
      <c r="N33" s="577"/>
      <c r="O33" s="271"/>
      <c r="P33" s="304">
        <f>[22]!Результат_число</f>
        <v>-1</v>
      </c>
      <c r="Q33" s="271"/>
      <c r="R33" s="271"/>
      <c r="S33" s="271"/>
      <c r="T33" s="98"/>
      <c r="U33" s="98"/>
      <c r="V33" s="98"/>
    </row>
    <row r="34" spans="2:25" ht="60" hidden="1" x14ac:dyDescent="0.25">
      <c r="B34" s="291">
        <f t="shared" si="2"/>
        <v>29</v>
      </c>
      <c r="C34" s="291"/>
      <c r="D34" s="286" t="s">
        <v>1022</v>
      </c>
      <c r="E34" s="279"/>
      <c r="F34" s="280" t="s">
        <v>64</v>
      </c>
      <c r="G34" s="280" t="s">
        <v>1023</v>
      </c>
      <c r="H34" s="279"/>
      <c r="I34" s="279" t="s">
        <v>1024</v>
      </c>
      <c r="J34" s="313" t="str">
        <f>[23]!Статус</f>
        <v>17.04.23_x000D_
РСС: Заказчику сообщили цены по телефону, ответили по технике. Заказчик обещал написать при необходимости. По голосу - цена смутила</v>
      </c>
      <c r="K34" s="351"/>
      <c r="L34" s="281" t="str">
        <f>[23]!ТКП_Тематика</f>
        <v>E</v>
      </c>
      <c r="M34" s="279"/>
      <c r="O34" s="279"/>
      <c r="P34" s="297">
        <v>-1</v>
      </c>
      <c r="Q34" s="279"/>
      <c r="R34" s="279"/>
      <c r="S34" s="279"/>
    </row>
    <row r="35" spans="2:25" ht="48" hidden="1" x14ac:dyDescent="0.25">
      <c r="B35" s="291">
        <f t="shared" si="2"/>
        <v>30</v>
      </c>
      <c r="C35" s="291"/>
      <c r="D35" s="285" t="s">
        <v>1029</v>
      </c>
      <c r="E35" s="279"/>
      <c r="F35" s="280" t="s">
        <v>1030</v>
      </c>
      <c r="G35" s="280" t="s">
        <v>205</v>
      </c>
      <c r="H35" s="272">
        <v>25000000</v>
      </c>
      <c r="I35" s="279" t="s">
        <v>378</v>
      </c>
      <c r="J35" s="298" t="str">
        <f>[24]!Статус</f>
        <v>04.05.2023
ОМ: требуется отправка</v>
      </c>
      <c r="K35" s="351" t="s">
        <v>1151</v>
      </c>
      <c r="L35" s="281">
        <f>[25]!ТКП_Тематика</f>
        <v>0</v>
      </c>
      <c r="M35" s="279"/>
      <c r="O35" s="279"/>
      <c r="P35" s="297">
        <f>[24]!Результат_число</f>
        <v>0</v>
      </c>
      <c r="Q35" s="279"/>
      <c r="R35" s="279"/>
      <c r="S35" s="279"/>
    </row>
    <row r="36" spans="2:25" ht="36" hidden="1" x14ac:dyDescent="0.25">
      <c r="B36" s="291">
        <f t="shared" si="2"/>
        <v>31</v>
      </c>
      <c r="C36" s="291"/>
      <c r="D36" s="284" t="s">
        <v>1037</v>
      </c>
      <c r="E36" s="271"/>
      <c r="F36" s="273" t="s">
        <v>1038</v>
      </c>
      <c r="G36" s="273" t="s">
        <v>1039</v>
      </c>
      <c r="H36" s="272">
        <v>1385397</v>
      </c>
      <c r="I36" s="271" t="s">
        <v>92</v>
      </c>
      <c r="J36" s="313" t="str">
        <f>[26]!Статус</f>
        <v>29.03.23
Отправлено заказчику</v>
      </c>
      <c r="K36" s="445" t="s">
        <v>1040</v>
      </c>
      <c r="L36" s="271" t="str">
        <f>[26]!ТКП_Тематика</f>
        <v>D</v>
      </c>
      <c r="M36" s="271"/>
      <c r="O36" s="271"/>
      <c r="P36" s="304">
        <f>[26]!Результат_число</f>
        <v>0</v>
      </c>
      <c r="Q36" s="271"/>
      <c r="R36" s="271"/>
      <c r="S36" s="271"/>
      <c r="T36" s="275"/>
      <c r="U36" s="275"/>
      <c r="V36" s="275"/>
      <c r="W36" s="275"/>
    </row>
    <row r="37" spans="2:25" ht="108" hidden="1" x14ac:dyDescent="0.25">
      <c r="B37" s="35">
        <f t="shared" si="2"/>
        <v>32</v>
      </c>
      <c r="C37" s="1714"/>
      <c r="D37" s="284" t="s">
        <v>1033</v>
      </c>
      <c r="E37" s="271"/>
      <c r="F37" s="273" t="s">
        <v>194</v>
      </c>
      <c r="G37" s="273" t="s">
        <v>765</v>
      </c>
      <c r="H37" s="272">
        <v>11856000</v>
      </c>
      <c r="I37" s="271" t="s">
        <v>88</v>
      </c>
      <c r="J37" s="318" t="str">
        <f>[27]!Статус</f>
        <v>04.04.23
офиц. запрос. Уточнение цены да рабочую станцию и официальный ответ</v>
      </c>
      <c r="K37" s="445" t="s">
        <v>1059</v>
      </c>
      <c r="L37" s="271"/>
      <c r="M37" s="271"/>
      <c r="O37" s="271"/>
      <c r="P37" s="293">
        <f>[28]!Результат_число</f>
        <v>0</v>
      </c>
      <c r="Q37" s="271"/>
      <c r="R37" s="271"/>
      <c r="S37" s="271"/>
      <c r="T37" s="275"/>
      <c r="U37" s="275"/>
      <c r="V37" s="275"/>
      <c r="W37" s="275"/>
      <c r="X37" s="275"/>
      <c r="Y37" s="275"/>
    </row>
    <row r="38" spans="2:25" ht="24" hidden="1" x14ac:dyDescent="0.25">
      <c r="B38" s="291">
        <f t="shared" si="2"/>
        <v>33</v>
      </c>
      <c r="C38" s="291"/>
      <c r="D38" s="305" t="s">
        <v>1051</v>
      </c>
      <c r="E38" s="271"/>
      <c r="F38" s="273"/>
      <c r="G38" s="273" t="s">
        <v>1061</v>
      </c>
      <c r="H38" s="272">
        <v>5359000</v>
      </c>
      <c r="I38" s="271" t="s">
        <v>39</v>
      </c>
      <c r="J38" s="313" t="str">
        <f>[29]!Статус</f>
        <v>10.04.23
отправлено</v>
      </c>
      <c r="K38" s="445" t="s">
        <v>1299</v>
      </c>
      <c r="L38" s="271"/>
      <c r="M38" s="271"/>
      <c r="N38" s="271"/>
      <c r="O38" s="271"/>
      <c r="P38" s="304">
        <f>[29]Лист2!$D$14</f>
        <v>0</v>
      </c>
      <c r="Q38" s="271"/>
      <c r="R38" s="271"/>
      <c r="S38" s="282"/>
      <c r="T38" s="275"/>
      <c r="U38" s="275"/>
      <c r="V38" s="275"/>
      <c r="W38" s="275"/>
      <c r="X38" s="275"/>
      <c r="Y38" s="275"/>
    </row>
    <row r="39" spans="2:25" ht="48" hidden="1" x14ac:dyDescent="0.25">
      <c r="B39" s="291">
        <f t="shared" si="2"/>
        <v>34</v>
      </c>
      <c r="C39" s="291"/>
      <c r="D39" s="305" t="s">
        <v>1055</v>
      </c>
      <c r="E39" s="271"/>
      <c r="F39" s="273" t="s">
        <v>1056</v>
      </c>
      <c r="G39" s="273" t="s">
        <v>205</v>
      </c>
      <c r="H39" s="271"/>
      <c r="I39" s="271"/>
      <c r="J39" s="299" t="str">
        <f>[30]!Статус</f>
        <v>20.04.23_x000D_
РСС: отказываемся (сложно/ не выгодно/ не наша тема)</v>
      </c>
      <c r="K39" s="670" t="s">
        <v>1132</v>
      </c>
      <c r="L39" s="271">
        <f>[30]!ТКП_Тематика</f>
        <v>0</v>
      </c>
      <c r="M39" s="271"/>
      <c r="O39" s="271"/>
      <c r="P39" s="304">
        <f>[30]!Результат_число</f>
        <v>-1</v>
      </c>
      <c r="Q39" s="271"/>
      <c r="R39" s="271"/>
      <c r="S39" s="271"/>
      <c r="T39" s="275"/>
      <c r="U39" s="275"/>
      <c r="V39" s="275"/>
      <c r="W39" s="275"/>
      <c r="X39" s="275"/>
      <c r="Y39" s="275"/>
    </row>
    <row r="40" spans="2:25" ht="30" hidden="1" x14ac:dyDescent="0.2">
      <c r="B40" s="291">
        <f t="shared" si="2"/>
        <v>35</v>
      </c>
      <c r="C40" s="291"/>
      <c r="D40" s="320" t="s">
        <v>1068</v>
      </c>
      <c r="E40" s="271"/>
      <c r="F40" s="273" t="s">
        <v>1072</v>
      </c>
      <c r="G40" s="273" t="s">
        <v>1069</v>
      </c>
      <c r="H40" s="271"/>
      <c r="I40" s="271" t="s">
        <v>92</v>
      </c>
      <c r="J40" s="299" t="str">
        <f>[31]!Статус</f>
        <v>04.05.23_x000D_
РСС: Проработка до 18.05.23</v>
      </c>
      <c r="K40" s="325"/>
      <c r="L40" s="274">
        <f>[31]!ТКП_Тематика</f>
        <v>0</v>
      </c>
      <c r="M40" s="274"/>
      <c r="N40" s="271"/>
      <c r="O40" s="274"/>
      <c r="P40" s="271">
        <v>0</v>
      </c>
      <c r="Q40" s="274"/>
      <c r="R40" s="274"/>
      <c r="S40" s="274"/>
      <c r="T40" s="275"/>
      <c r="U40" s="275"/>
      <c r="V40" s="275"/>
      <c r="W40" s="275"/>
      <c r="X40" s="275"/>
      <c r="Y40" s="275"/>
    </row>
    <row r="41" spans="2:25" ht="267.75" hidden="1" x14ac:dyDescent="0.2">
      <c r="B41" s="291">
        <f t="shared" si="2"/>
        <v>36</v>
      </c>
      <c r="C41" s="291"/>
      <c r="D41" s="284" t="s">
        <v>1075</v>
      </c>
      <c r="E41" s="271"/>
      <c r="F41" s="273" t="s">
        <v>1077</v>
      </c>
      <c r="G41" s="273" t="s">
        <v>1076</v>
      </c>
      <c r="H41" s="272">
        <v>1000000</v>
      </c>
      <c r="I41" s="271" t="s">
        <v>608</v>
      </c>
      <c r="J41" s="318" t="str">
        <f>[32]!Статус</f>
        <v>04.05.23_x000D_
РСС: в теч. 2-3 недели пробуем сделать LV пример с PXI модулем_x000D_
ОМ: требуется отправка ТКП без учета LabView (считаем что ПО существует, но в сопроводиловке предупреждаем, что делаем пример, который надо протестировать в системе заказчика)</v>
      </c>
      <c r="K41" s="326" t="s">
        <v>1228</v>
      </c>
      <c r="L41" s="274" t="str">
        <f>[32]!ТКП_Тематика</f>
        <v>ПО</v>
      </c>
      <c r="M41" s="274"/>
      <c r="N41" s="174"/>
      <c r="O41" s="274"/>
      <c r="P41" s="271">
        <v>0</v>
      </c>
      <c r="Q41" s="274"/>
      <c r="R41" s="274"/>
      <c r="S41" s="274"/>
      <c r="T41" s="275"/>
      <c r="U41" s="275"/>
      <c r="V41" s="275"/>
      <c r="W41" s="275"/>
      <c r="X41" s="275"/>
      <c r="Y41" s="275"/>
    </row>
    <row r="42" spans="2:25" ht="36" hidden="1" x14ac:dyDescent="0.2">
      <c r="B42" s="35">
        <f t="shared" si="2"/>
        <v>37</v>
      </c>
      <c r="C42" s="1714"/>
      <c r="D42" s="320" t="s">
        <v>1082</v>
      </c>
      <c r="E42" s="271"/>
      <c r="F42" s="273" t="s">
        <v>1083</v>
      </c>
      <c r="G42" s="273" t="s">
        <v>1090</v>
      </c>
      <c r="H42" s="272"/>
      <c r="I42" s="271" t="s">
        <v>92</v>
      </c>
      <c r="J42" s="318" t="s">
        <v>1091</v>
      </c>
      <c r="K42" s="326"/>
      <c r="L42" s="274">
        <v>0</v>
      </c>
      <c r="M42" s="274"/>
      <c r="N42" s="274"/>
      <c r="O42" s="271"/>
      <c r="P42" s="271">
        <v>-1</v>
      </c>
      <c r="Q42" s="331" t="s">
        <v>21</v>
      </c>
      <c r="R42" s="274"/>
      <c r="S42" s="282"/>
      <c r="T42" s="275"/>
      <c r="U42" s="275"/>
      <c r="V42" s="275"/>
      <c r="W42" s="275"/>
      <c r="X42" s="275"/>
      <c r="Y42" s="275"/>
    </row>
    <row r="43" spans="2:25" ht="60" hidden="1" x14ac:dyDescent="0.25">
      <c r="B43" s="291">
        <f t="shared" si="2"/>
        <v>38</v>
      </c>
      <c r="C43" s="291"/>
      <c r="D43" s="305" t="s">
        <v>1199</v>
      </c>
      <c r="E43" s="271"/>
      <c r="F43" s="445" t="s">
        <v>1200</v>
      </c>
      <c r="G43" s="445" t="s">
        <v>78</v>
      </c>
      <c r="H43" s="272">
        <v>25000000</v>
      </c>
      <c r="I43" s="445" t="s">
        <v>1241</v>
      </c>
      <c r="J43" s="925" t="str">
        <f>[33]!Статус</f>
        <v>20.11.23_x000D_
РСС: Все материалы переданы для оформления в УМП</v>
      </c>
      <c r="K43" s="445" t="s">
        <v>1286</v>
      </c>
      <c r="L43" s="274" t="str">
        <f>[33]!ТКП_Тематика</f>
        <v>JB</v>
      </c>
      <c r="M43" s="271"/>
      <c r="N43" s="271"/>
      <c r="O43" s="323"/>
      <c r="P43" s="480">
        <f>[33]!Результат_число</f>
        <v>0</v>
      </c>
      <c r="Q43" s="271"/>
      <c r="R43" s="271"/>
      <c r="S43" s="278"/>
      <c r="T43" s="275"/>
      <c r="U43" s="275"/>
      <c r="V43" s="275"/>
      <c r="W43" s="275"/>
      <c r="X43" s="275"/>
      <c r="Y43" s="275"/>
    </row>
    <row r="44" spans="2:25" ht="120" hidden="1" x14ac:dyDescent="0.25">
      <c r="B44" s="504">
        <f t="shared" si="2"/>
        <v>39</v>
      </c>
      <c r="C44" s="1714"/>
      <c r="D44" s="503" t="s">
        <v>1073</v>
      </c>
      <c r="E44" s="271"/>
      <c r="F44" s="273"/>
      <c r="G44" s="273" t="s">
        <v>1074</v>
      </c>
      <c r="H44" s="272"/>
      <c r="I44" s="271" t="s">
        <v>92</v>
      </c>
      <c r="J44" s="299" t="str">
        <f>[34]!Статус</f>
        <v>20.11.23_x000D_
РСС: Проработка до 18.05.23_x000D_
РСС: отказ из-за отсутствия сертификата на сейсмостойкость</v>
      </c>
      <c r="K44" s="445" t="s">
        <v>1135</v>
      </c>
      <c r="L44" s="274" t="str">
        <f>[34]!ТКП_Тематика</f>
        <v>Виброконтроль</v>
      </c>
      <c r="M44" s="274"/>
      <c r="N44" s="274"/>
      <c r="O44" s="271"/>
      <c r="P44" s="274">
        <f>[34]!Результат_число</f>
        <v>-1</v>
      </c>
      <c r="Q44" s="274"/>
      <c r="R44" s="274"/>
      <c r="S44" s="282" t="b">
        <v>0</v>
      </c>
      <c r="T44" s="275"/>
      <c r="U44" s="275"/>
      <c r="V44" s="275"/>
      <c r="W44" s="275"/>
      <c r="X44" s="275"/>
      <c r="Y44" s="275"/>
    </row>
    <row r="45" spans="2:25" ht="60" hidden="1" x14ac:dyDescent="0.25">
      <c r="B45" s="291">
        <f t="shared" si="2"/>
        <v>40</v>
      </c>
      <c r="C45" s="291"/>
      <c r="D45" s="284" t="s">
        <v>1185</v>
      </c>
      <c r="E45" s="271"/>
      <c r="F45" s="445" t="s">
        <v>599</v>
      </c>
      <c r="G45" s="273" t="s">
        <v>27</v>
      </c>
      <c r="H45" s="272">
        <v>20000000</v>
      </c>
      <c r="I45" s="279" t="s">
        <v>423</v>
      </c>
      <c r="J45" s="744" t="str">
        <f>[35]!Статус</f>
        <v>07.09.23_x000D_
РСС: подготовлена схема, спецификация с ПО, сделана таблица оборудования_x000D_
ОМ: Требуется согласование и отправка ТКП</v>
      </c>
      <c r="K45" s="439" t="s">
        <v>1201</v>
      </c>
      <c r="L45" s="274" t="str">
        <f>[35]!ТКП_Тематика</f>
        <v>FK</v>
      </c>
      <c r="M45" s="271"/>
      <c r="N45" s="174"/>
      <c r="O45" s="323"/>
      <c r="P45" s="480">
        <f>[35]!Результат_число</f>
        <v>0</v>
      </c>
      <c r="Q45" s="271"/>
      <c r="R45" s="271"/>
      <c r="S45" s="278"/>
      <c r="T45" s="292"/>
      <c r="U45" s="292"/>
      <c r="V45" s="292"/>
      <c r="W45" s="275"/>
      <c r="X45" s="275"/>
      <c r="Y45" s="275"/>
    </row>
    <row r="46" spans="2:25" ht="30" hidden="1" x14ac:dyDescent="0.2">
      <c r="B46" s="271">
        <f t="shared" si="2"/>
        <v>41</v>
      </c>
      <c r="C46" s="1714"/>
      <c r="D46" s="305" t="s">
        <v>1057</v>
      </c>
      <c r="E46" s="271"/>
      <c r="F46" s="273" t="s">
        <v>1058</v>
      </c>
      <c r="G46" s="273" t="s">
        <v>8</v>
      </c>
      <c r="H46" s="272">
        <v>3313000</v>
      </c>
      <c r="I46" s="271" t="s">
        <v>92</v>
      </c>
      <c r="J46" s="318" t="str">
        <f>[36]!Статус</f>
        <v>20.04.23_x000D_
отправлено заказчику</v>
      </c>
      <c r="K46" s="325" t="s">
        <v>1141</v>
      </c>
      <c r="L46" s="274">
        <f>[36]!ТКП_Тематика</f>
        <v>0</v>
      </c>
      <c r="M46" s="271"/>
      <c r="O46" s="271"/>
      <c r="P46" s="304">
        <v>0</v>
      </c>
      <c r="Q46" s="271"/>
      <c r="R46" s="271"/>
      <c r="S46" s="271"/>
      <c r="T46" s="275"/>
      <c r="U46" s="275"/>
      <c r="V46" s="275"/>
      <c r="W46" s="275"/>
      <c r="X46" s="275"/>
      <c r="Y46" s="275"/>
    </row>
    <row r="47" spans="2:25" ht="72" hidden="1" x14ac:dyDescent="0.25">
      <c r="B47" s="271">
        <f t="shared" si="2"/>
        <v>42</v>
      </c>
      <c r="C47" s="1714"/>
      <c r="D47" s="285" t="s">
        <v>1086</v>
      </c>
      <c r="E47" s="279"/>
      <c r="F47" s="280" t="s">
        <v>1088</v>
      </c>
      <c r="G47" s="280" t="s">
        <v>1087</v>
      </c>
      <c r="H47" s="279"/>
      <c r="I47" s="279" t="s">
        <v>92</v>
      </c>
      <c r="J47" s="313" t="str">
        <f>[37]!Статус</f>
        <v>09.06.23_x000D_
от ОМ: требуется ответ на письмо 722_ооо_23. Отвечаем, что готовы провести встречу обсудить возм. Сотрудничества</v>
      </c>
      <c r="K47" s="351" t="s">
        <v>1114</v>
      </c>
      <c r="L47" s="281">
        <f>[37]!ТКП_Тематика</f>
        <v>0</v>
      </c>
      <c r="M47" s="279"/>
      <c r="O47" s="279"/>
      <c r="P47" s="279">
        <f>[37]!Результат_число</f>
        <v>0</v>
      </c>
      <c r="Q47" s="279"/>
      <c r="R47" s="279"/>
      <c r="S47" s="279"/>
    </row>
    <row r="48" spans="2:25" ht="132" hidden="1" x14ac:dyDescent="0.25">
      <c r="B48" s="332">
        <f t="shared" si="2"/>
        <v>43</v>
      </c>
      <c r="C48" s="1714"/>
      <c r="D48" s="590" t="s">
        <v>1343</v>
      </c>
      <c r="E48" s="332"/>
      <c r="F48" s="352" t="s">
        <v>1317</v>
      </c>
      <c r="G48" s="333" t="s">
        <v>1317</v>
      </c>
      <c r="H48" s="233">
        <v>250000000</v>
      </c>
      <c r="I48" s="445" t="s">
        <v>1318</v>
      </c>
      <c r="J48" s="745" t="str">
        <f>[38]!Статус</f>
        <v>19.02.24_x000D_
РСС: отправка ориентировочных сроков и укрупненного ТКП дляопределения настроя заказчика до 16.02.24. Все сроки ориентировоные ТКП на 2 сстенда +климатика+на всё остальное: гидравлика +СИ+видео выданы Сныгиной 9.02.24. потом ещё давали разъяснения про то что это рабочий вариант для обсуждения и их предварительной оценки. После требуется обсуждение-ВКС</v>
      </c>
      <c r="K48" s="605" t="s">
        <v>1356</v>
      </c>
      <c r="L48" s="346" t="str">
        <f>[38]!ТКП_Тематика</f>
        <v>BRMJF</v>
      </c>
      <c r="M48" s="332"/>
      <c r="N48" s="199"/>
      <c r="O48" s="332"/>
      <c r="P48" s="626">
        <f>[38]!Результат_число</f>
        <v>-1</v>
      </c>
      <c r="Q48" s="332"/>
      <c r="R48" s="332"/>
      <c r="S48" s="332"/>
      <c r="T48" s="334"/>
      <c r="U48" s="334"/>
      <c r="V48" s="334"/>
      <c r="W48" s="334"/>
      <c r="X48" s="334"/>
      <c r="Y48" s="334"/>
    </row>
    <row r="49" spans="2:25" ht="24" hidden="1" x14ac:dyDescent="0.25">
      <c r="B49" s="271">
        <f t="shared" si="2"/>
        <v>44</v>
      </c>
      <c r="C49" s="1714"/>
      <c r="D49" s="285" t="s">
        <v>1097</v>
      </c>
      <c r="E49" s="271"/>
      <c r="F49" s="273" t="s">
        <v>1098</v>
      </c>
      <c r="G49" s="273" t="s">
        <v>8</v>
      </c>
      <c r="H49" s="233">
        <v>180912266</v>
      </c>
      <c r="I49" s="271"/>
      <c r="J49" s="746"/>
      <c r="K49" s="445" t="s">
        <v>1099</v>
      </c>
      <c r="L49" s="275"/>
      <c r="M49" s="271"/>
      <c r="O49" s="271"/>
      <c r="P49" s="271">
        <v>-1</v>
      </c>
      <c r="Q49" s="271"/>
      <c r="R49" s="271"/>
      <c r="S49" s="271"/>
      <c r="T49" s="275"/>
      <c r="U49" s="275"/>
      <c r="V49" s="275"/>
      <c r="W49" s="275"/>
      <c r="X49" s="275"/>
      <c r="Y49" s="275"/>
    </row>
    <row r="50" spans="2:25" ht="84" hidden="1" x14ac:dyDescent="0.25">
      <c r="B50" s="332">
        <f t="shared" si="2"/>
        <v>45</v>
      </c>
      <c r="C50" s="1714"/>
      <c r="D50" s="342" t="s">
        <v>1103</v>
      </c>
      <c r="E50" s="332"/>
      <c r="F50" s="333" t="s">
        <v>1104</v>
      </c>
      <c r="G50" s="333" t="s">
        <v>239</v>
      </c>
      <c r="H50" s="233"/>
      <c r="I50" s="332" t="s">
        <v>92</v>
      </c>
      <c r="J50" s="747" t="str">
        <f>[39]!Статус</f>
        <v xml:space="preserve">08.06.23_x000D_
РСС: проработка до 30.05.23_x000D_
отправлено  </v>
      </c>
      <c r="K50" s="352" t="s">
        <v>1129</v>
      </c>
      <c r="L50" s="346">
        <f>[39]!ТКП_Тематика</f>
        <v>0</v>
      </c>
      <c r="M50" s="332"/>
      <c r="O50" s="332"/>
      <c r="P50" s="332">
        <f>[39]!Результат_число</f>
        <v>0</v>
      </c>
      <c r="Q50" s="332"/>
      <c r="R50" s="332"/>
      <c r="S50" s="332"/>
      <c r="T50" s="334"/>
      <c r="U50" s="334"/>
      <c r="V50" s="334"/>
      <c r="W50" s="334"/>
      <c r="X50" s="334"/>
      <c r="Y50" s="334"/>
    </row>
    <row r="51" spans="2:25" ht="60" hidden="1" x14ac:dyDescent="0.25">
      <c r="B51" s="332">
        <f t="shared" si="2"/>
        <v>46</v>
      </c>
      <c r="C51" s="335"/>
      <c r="D51" s="350" t="s">
        <v>1111</v>
      </c>
      <c r="E51" s="335"/>
      <c r="F51" s="336" t="s">
        <v>71</v>
      </c>
      <c r="G51" s="336" t="s">
        <v>1112</v>
      </c>
      <c r="H51" s="340">
        <v>2000000</v>
      </c>
      <c r="I51" s="335" t="s">
        <v>88</v>
      </c>
      <c r="J51" s="355" t="str">
        <f>[40]!Статус</f>
        <v>09.06.23_x000D_
РСС: подготовл6ена схема_x000D_
ОМ: подготовить ТКП до 14.06.23, отправка</v>
      </c>
      <c r="K51" s="353" t="s">
        <v>1131</v>
      </c>
      <c r="L51" s="347" t="str">
        <f>[40]!ТКП_Тематика</f>
        <v>FL</v>
      </c>
      <c r="M51" s="335"/>
      <c r="O51" s="335"/>
      <c r="P51" s="332">
        <v>0</v>
      </c>
      <c r="Q51" s="335"/>
      <c r="R51" s="335"/>
      <c r="S51" s="335"/>
      <c r="T51" s="337"/>
      <c r="U51" s="337"/>
      <c r="V51" s="337"/>
      <c r="W51" s="337"/>
      <c r="X51" s="337"/>
      <c r="Y51" s="337"/>
    </row>
    <row r="52" spans="2:25" ht="36" hidden="1" x14ac:dyDescent="0.25">
      <c r="B52" s="332">
        <f t="shared" si="2"/>
        <v>47</v>
      </c>
      <c r="C52" s="1714"/>
      <c r="D52" s="364" t="s">
        <v>1110</v>
      </c>
      <c r="E52" s="332"/>
      <c r="F52" s="333" t="s">
        <v>1108</v>
      </c>
      <c r="G52" s="333" t="s">
        <v>1109</v>
      </c>
      <c r="H52" s="37">
        <v>10000000</v>
      </c>
      <c r="I52" s="332"/>
      <c r="J52" s="747"/>
      <c r="K52" s="352"/>
      <c r="L52" s="346"/>
      <c r="M52" s="332"/>
      <c r="N52" s="1"/>
      <c r="O52" s="332"/>
      <c r="P52" s="332">
        <v>-1</v>
      </c>
      <c r="Q52" s="332"/>
      <c r="R52" s="332"/>
      <c r="S52" s="332"/>
      <c r="T52" s="334"/>
      <c r="U52" s="334"/>
      <c r="V52" s="334"/>
      <c r="W52" s="334"/>
      <c r="X52" s="334"/>
      <c r="Y52" s="334"/>
    </row>
    <row r="53" spans="2:25" ht="108" hidden="1" x14ac:dyDescent="0.25">
      <c r="B53" s="338">
        <f t="shared" si="2"/>
        <v>48</v>
      </c>
      <c r="C53" s="1714"/>
      <c r="D53" s="671" t="s">
        <v>1204</v>
      </c>
      <c r="E53" s="338"/>
      <c r="F53" s="339"/>
      <c r="G53" s="653" t="s">
        <v>1205</v>
      </c>
      <c r="H53" s="340">
        <v>95000000</v>
      </c>
      <c r="I53" s="348" t="s">
        <v>92</v>
      </c>
      <c r="J53" s="618" t="str">
        <f>[41]!Статус</f>
        <v>16.07.24_x000D_
РСС: на паузе/ 25й год</v>
      </c>
      <c r="K53" s="653" t="s">
        <v>1454</v>
      </c>
      <c r="L53" s="348" t="str">
        <f>[41]!ТКП_Тематика</f>
        <v>FBM</v>
      </c>
      <c r="M53" s="338"/>
      <c r="N53" s="174"/>
      <c r="O53" s="578"/>
      <c r="P53" s="421">
        <f>[41]!Результат_число</f>
        <v>-1</v>
      </c>
      <c r="Q53" s="338"/>
      <c r="R53" s="338"/>
      <c r="S53" s="365"/>
      <c r="T53" s="337"/>
      <c r="U53" s="337"/>
      <c r="V53" s="98"/>
      <c r="W53" s="98"/>
      <c r="X53" s="98"/>
      <c r="Y53" s="98"/>
    </row>
    <row r="54" spans="2:25" ht="60" hidden="1" x14ac:dyDescent="0.25">
      <c r="B54" s="338">
        <f t="shared" si="2"/>
        <v>49</v>
      </c>
      <c r="C54" s="1714"/>
      <c r="D54" s="349" t="s">
        <v>1105</v>
      </c>
      <c r="E54" s="338"/>
      <c r="F54" s="339" t="s">
        <v>71</v>
      </c>
      <c r="G54" s="339" t="s">
        <v>353</v>
      </c>
      <c r="H54" s="340">
        <v>4920587</v>
      </c>
      <c r="I54" s="338"/>
      <c r="J54" s="748"/>
      <c r="K54" s="653" t="s">
        <v>1130</v>
      </c>
      <c r="L54" s="348"/>
      <c r="M54" s="338"/>
      <c r="O54" s="338"/>
      <c r="P54" s="338">
        <v>0</v>
      </c>
      <c r="Q54" s="338"/>
      <c r="R54" s="338"/>
      <c r="S54" s="338"/>
      <c r="T54" s="341"/>
      <c r="U54" s="341"/>
      <c r="V54" s="98"/>
      <c r="W54" s="98"/>
      <c r="X54" s="98"/>
    </row>
    <row r="55" spans="2:25" ht="60" hidden="1" x14ac:dyDescent="0.25">
      <c r="B55" s="356">
        <f t="shared" si="2"/>
        <v>50</v>
      </c>
      <c r="C55" s="1714"/>
      <c r="D55" s="357" t="s">
        <v>1115</v>
      </c>
      <c r="E55" s="356"/>
      <c r="F55" s="358" t="s">
        <v>1133</v>
      </c>
      <c r="G55" s="42" t="s">
        <v>47</v>
      </c>
      <c r="H55" s="1674" t="s">
        <v>49</v>
      </c>
      <c r="I55" s="366"/>
      <c r="J55" s="1483" t="str">
        <f>[42]!Статус</f>
        <v>13.06.23_x000D_
0</v>
      </c>
      <c r="K55" s="654" t="s">
        <v>1116</v>
      </c>
      <c r="L55" s="360">
        <f>[42]!ТКП_Тематика</f>
        <v>0</v>
      </c>
      <c r="M55" s="356"/>
      <c r="O55" s="356"/>
      <c r="P55" s="356">
        <v>-1</v>
      </c>
      <c r="Q55" s="356"/>
      <c r="R55" s="356"/>
      <c r="S55" s="356"/>
      <c r="T55" s="361"/>
      <c r="U55" s="361"/>
      <c r="V55" s="98"/>
      <c r="W55" s="98"/>
      <c r="X55" s="98"/>
      <c r="Y55" s="361"/>
    </row>
    <row r="56" spans="2:25" ht="45" hidden="1" x14ac:dyDescent="0.25">
      <c r="B56" s="338">
        <f t="shared" si="2"/>
        <v>51</v>
      </c>
      <c r="C56" s="1714"/>
      <c r="D56" s="349" t="s">
        <v>1119</v>
      </c>
      <c r="E56" s="338"/>
      <c r="F56" s="653" t="s">
        <v>1120</v>
      </c>
      <c r="G56" s="653" t="s">
        <v>1121</v>
      </c>
      <c r="H56" s="340">
        <v>24602593</v>
      </c>
      <c r="I56" s="240"/>
      <c r="J56" s="692" t="str">
        <f>[43]!Статус</f>
        <v>03.09.24_x000D_
ОМ: конкурс конец сентября,</v>
      </c>
      <c r="K56" s="683" t="s">
        <v>1122</v>
      </c>
      <c r="L56" s="348">
        <f>[42]!ТКП_Тематика</f>
        <v>0</v>
      </c>
      <c r="M56" s="338"/>
      <c r="O56" s="338"/>
      <c r="P56" s="690">
        <f>[43]!Результат_число</f>
        <v>0</v>
      </c>
      <c r="Q56" s="338"/>
      <c r="R56" s="338"/>
      <c r="S56" s="338"/>
      <c r="T56" s="341"/>
      <c r="U56" s="341"/>
      <c r="V56" s="341"/>
      <c r="W56" s="341"/>
      <c r="X56" s="341"/>
      <c r="Y56" s="341"/>
    </row>
    <row r="57" spans="2:25" ht="48" hidden="1" x14ac:dyDescent="0.25">
      <c r="B57" s="356">
        <f t="shared" si="2"/>
        <v>52</v>
      </c>
      <c r="C57" s="1714"/>
      <c r="D57" s="357" t="s">
        <v>1123</v>
      </c>
      <c r="E57" s="356"/>
      <c r="F57" s="358" t="s">
        <v>1124</v>
      </c>
      <c r="G57" s="358" t="s">
        <v>692</v>
      </c>
      <c r="H57" s="359">
        <v>4419085</v>
      </c>
      <c r="I57" s="366"/>
      <c r="J57" s="749" t="str">
        <f>[42]!Статус</f>
        <v>13.06.23_x000D_
0</v>
      </c>
      <c r="K57" s="654" t="s">
        <v>1125</v>
      </c>
      <c r="L57" s="360">
        <f>[42]!ТКП_Тематика</f>
        <v>0</v>
      </c>
      <c r="M57" s="356"/>
      <c r="O57" s="356"/>
      <c r="P57" s="356">
        <v>0</v>
      </c>
      <c r="Q57" s="356"/>
      <c r="R57" s="356"/>
      <c r="S57" s="356"/>
      <c r="T57" s="361"/>
      <c r="U57" s="361"/>
      <c r="V57" s="361"/>
      <c r="W57" s="361"/>
      <c r="X57" s="361"/>
      <c r="Y57" s="361"/>
    </row>
    <row r="58" spans="2:25" ht="108" hidden="1" x14ac:dyDescent="0.25">
      <c r="B58" s="338">
        <f t="shared" si="2"/>
        <v>53</v>
      </c>
      <c r="C58" s="1714"/>
      <c r="D58" s="349" t="s">
        <v>1127</v>
      </c>
      <c r="E58" s="338"/>
      <c r="F58" s="339" t="s">
        <v>51</v>
      </c>
      <c r="G58" s="653" t="s">
        <v>1102</v>
      </c>
      <c r="H58" s="1675">
        <f>1943312+2062414+1507630+1653632</f>
        <v>7166988</v>
      </c>
      <c r="I58" s="240"/>
      <c r="J58" s="1483" t="str">
        <f>[44]!Статус</f>
        <v>22.05.23_x000D_
от ОМ: отправить каталог, письмо описание, брошюры, ответить на текущий запрос (серийное оборудование), написать сопроводиловку с предложением о встрече (презентация)</v>
      </c>
      <c r="K58" s="653" t="s">
        <v>1128</v>
      </c>
      <c r="L58" s="348">
        <f>[44]!ТКП_Тематика</f>
        <v>0</v>
      </c>
      <c r="M58" s="338"/>
      <c r="O58" s="338"/>
      <c r="P58" s="338">
        <f>[44]!Результат_число</f>
        <v>0</v>
      </c>
      <c r="Q58" s="338"/>
      <c r="R58" s="338"/>
      <c r="S58" s="338"/>
      <c r="T58" s="341"/>
      <c r="U58" s="341"/>
      <c r="V58" s="341"/>
      <c r="W58" s="341"/>
      <c r="X58" s="341"/>
      <c r="Y58" s="341"/>
    </row>
    <row r="59" spans="2:25" ht="96" hidden="1" x14ac:dyDescent="0.25">
      <c r="B59" s="367">
        <f t="shared" si="2"/>
        <v>54</v>
      </c>
      <c r="C59" s="1714"/>
      <c r="D59" s="382" t="s">
        <v>1138</v>
      </c>
      <c r="E59" s="367"/>
      <c r="F59" s="2" t="s">
        <v>1163</v>
      </c>
      <c r="G59" s="368" t="s">
        <v>545</v>
      </c>
      <c r="H59" s="369">
        <v>101519100</v>
      </c>
      <c r="I59" s="367" t="s">
        <v>92</v>
      </c>
      <c r="J59" s="406" t="str">
        <f>[45]!Статус</f>
        <v>02.08.23_x000D_
ОМ: отказное письмо с указанием что готовы сделать кусочек ТЗ в части измерения БМП</v>
      </c>
      <c r="K59" s="405" t="s">
        <v>1159</v>
      </c>
      <c r="L59" s="370" t="str">
        <f>[46]!ТКП_Тематика</f>
        <v>J</v>
      </c>
      <c r="M59" s="367"/>
      <c r="O59" s="367"/>
      <c r="P59" s="367">
        <f>[46]!Результат_число</f>
        <v>0</v>
      </c>
      <c r="Q59" s="367"/>
      <c r="R59" s="367"/>
      <c r="S59" s="367"/>
      <c r="T59" s="371"/>
      <c r="U59" s="371"/>
      <c r="V59" s="371"/>
      <c r="W59" s="371"/>
      <c r="X59" s="371"/>
      <c r="Y59" s="371"/>
    </row>
    <row r="60" spans="2:25" ht="36" hidden="1" x14ac:dyDescent="0.25">
      <c r="B60" s="367">
        <f t="shared" si="2"/>
        <v>55</v>
      </c>
      <c r="C60" s="1714"/>
      <c r="D60" s="382" t="s">
        <v>1136</v>
      </c>
      <c r="E60" s="367"/>
      <c r="F60" s="368" t="s">
        <v>384</v>
      </c>
      <c r="G60" s="33" t="s">
        <v>79</v>
      </c>
      <c r="H60" s="369">
        <v>1415192</v>
      </c>
      <c r="I60" s="367" t="s">
        <v>92</v>
      </c>
      <c r="J60" s="406">
        <f>[46]!Статус</f>
        <v>0</v>
      </c>
      <c r="K60" s="405" t="s">
        <v>1137</v>
      </c>
      <c r="L60" s="370" t="str">
        <f>[46]!ТКП_Тематика</f>
        <v>J</v>
      </c>
      <c r="M60" s="367"/>
      <c r="O60" s="367"/>
      <c r="P60" s="367">
        <f>[46]!Результат_число</f>
        <v>0</v>
      </c>
      <c r="Q60" s="367"/>
      <c r="R60" s="367"/>
      <c r="S60" s="367"/>
      <c r="T60" s="371"/>
      <c r="U60" s="371"/>
      <c r="V60" s="371"/>
      <c r="W60" s="371"/>
      <c r="X60" s="371"/>
      <c r="Y60" s="371"/>
    </row>
    <row r="61" spans="2:25" ht="24" hidden="1" x14ac:dyDescent="0.25">
      <c r="B61" s="374">
        <f t="shared" si="2"/>
        <v>56</v>
      </c>
      <c r="C61" s="1714"/>
      <c r="D61" s="389" t="s">
        <v>1139</v>
      </c>
      <c r="E61" s="374"/>
      <c r="F61" s="655" t="s">
        <v>1155</v>
      </c>
      <c r="G61" s="655" t="s">
        <v>4</v>
      </c>
      <c r="H61" s="376">
        <v>110000</v>
      </c>
      <c r="I61" s="374"/>
      <c r="J61" s="750">
        <f>[46]!Статус</f>
        <v>0</v>
      </c>
      <c r="K61" s="655" t="s">
        <v>1308</v>
      </c>
      <c r="L61" s="377" t="str">
        <f>[46]!ТКП_Тематика</f>
        <v>J</v>
      </c>
      <c r="M61" s="374"/>
      <c r="N61" s="379"/>
      <c r="O61" s="374"/>
      <c r="P61" s="374">
        <f>[46]!Результат_число</f>
        <v>0</v>
      </c>
      <c r="Q61" s="374"/>
      <c r="R61" s="374"/>
      <c r="S61" s="374"/>
      <c r="T61" s="378"/>
      <c r="U61" s="378"/>
      <c r="V61" s="378"/>
      <c r="W61" s="378"/>
      <c r="X61" s="378"/>
      <c r="Y61" s="378"/>
    </row>
    <row r="62" spans="2:25" ht="48" hidden="1" x14ac:dyDescent="0.25">
      <c r="B62" s="383">
        <f t="shared" si="2"/>
        <v>57</v>
      </c>
      <c r="C62" s="1714"/>
      <c r="D62" s="1155" t="s">
        <v>1140</v>
      </c>
      <c r="E62" s="383"/>
      <c r="F62" s="538" t="s">
        <v>525</v>
      </c>
      <c r="G62" s="384" t="s">
        <v>239</v>
      </c>
      <c r="H62" s="385">
        <v>81855894</v>
      </c>
      <c r="I62" s="383" t="s">
        <v>92</v>
      </c>
      <c r="J62" s="745" t="str">
        <f>[47]!Статус</f>
        <v>16.01.24_x000D_
РСС: Красмаш СИУ выигран конкурс, запустила строку формуляра, дог. ждём 18.01 на площадке</v>
      </c>
      <c r="K62" s="538" t="s">
        <v>1781</v>
      </c>
      <c r="L62" s="386" t="str">
        <f>[47]!ТКП_Тематика</f>
        <v>BFR</v>
      </c>
      <c r="M62" s="383"/>
      <c r="N62" s="380"/>
      <c r="O62" s="383"/>
      <c r="P62" s="383">
        <f>[47]!Результат_число</f>
        <v>0</v>
      </c>
      <c r="Q62" s="383"/>
      <c r="R62" s="383"/>
      <c r="S62" s="383"/>
      <c r="T62" s="387"/>
      <c r="U62" s="387"/>
      <c r="V62" s="387"/>
      <c r="W62" s="387"/>
      <c r="X62" s="387"/>
      <c r="Y62" s="387"/>
    </row>
    <row r="63" spans="2:25" ht="72" hidden="1" x14ac:dyDescent="0.25">
      <c r="B63" s="374">
        <f t="shared" si="2"/>
        <v>58</v>
      </c>
      <c r="C63" s="1714"/>
      <c r="D63" s="388" t="s">
        <v>1144</v>
      </c>
      <c r="E63" s="374"/>
      <c r="F63" s="375" t="s">
        <v>1145</v>
      </c>
      <c r="G63" s="375" t="s">
        <v>1146</v>
      </c>
      <c r="H63" s="376">
        <v>1500000</v>
      </c>
      <c r="I63" s="374"/>
      <c r="J63" s="327">
        <f>[46]!Статус</f>
        <v>0</v>
      </c>
      <c r="K63" s="655" t="s">
        <v>1147</v>
      </c>
      <c r="L63" s="377" t="str">
        <f>[46]!ТКП_Тематика</f>
        <v>J</v>
      </c>
      <c r="M63" s="374"/>
      <c r="N63" s="379"/>
      <c r="O63" s="374"/>
      <c r="P63" s="374">
        <f>[46]!Результат_число</f>
        <v>0</v>
      </c>
      <c r="Q63" s="374"/>
      <c r="R63" s="374"/>
      <c r="S63" s="374"/>
      <c r="T63" s="378"/>
      <c r="U63" s="378"/>
      <c r="V63" s="378"/>
      <c r="W63" s="378"/>
      <c r="X63" s="378"/>
      <c r="Y63" s="378"/>
    </row>
    <row r="64" spans="2:25" ht="84" hidden="1" x14ac:dyDescent="0.25">
      <c r="B64" s="374">
        <f t="shared" si="2"/>
        <v>59</v>
      </c>
      <c r="C64" s="1714"/>
      <c r="D64" s="388" t="s">
        <v>1152</v>
      </c>
      <c r="E64" s="374"/>
      <c r="F64" s="375" t="s">
        <v>1153</v>
      </c>
      <c r="G64" s="375" t="s">
        <v>1154</v>
      </c>
      <c r="H64" s="376" t="s">
        <v>49</v>
      </c>
      <c r="I64" s="374" t="s">
        <v>378</v>
      </c>
      <c r="J64" s="327" t="str">
        <f>[48]!Статус</f>
        <v>02.08.23_x000D_
РСС: заказчику отправлен протокол встречи. Согласно протоколу ждем исх. Данные</v>
      </c>
      <c r="K64" s="655" t="s">
        <v>1188</v>
      </c>
      <c r="L64" s="377">
        <f>[48]!ТКП_Тематика</f>
        <v>0</v>
      </c>
      <c r="M64" s="374"/>
      <c r="N64" s="379"/>
      <c r="O64" s="374"/>
      <c r="P64" s="374">
        <f>[48]!Результат_число</f>
        <v>0</v>
      </c>
      <c r="Q64" s="374"/>
      <c r="R64" s="374"/>
      <c r="S64" s="374"/>
      <c r="T64" s="378"/>
      <c r="U64" s="378"/>
      <c r="V64" s="378"/>
      <c r="W64" s="378"/>
      <c r="X64" s="378"/>
      <c r="Y64" s="378"/>
    </row>
    <row r="65" spans="1:26" ht="60" hidden="1" x14ac:dyDescent="0.25">
      <c r="A65" s="20"/>
      <c r="B65" s="394">
        <f t="shared" si="2"/>
        <v>60</v>
      </c>
      <c r="C65" s="1714"/>
      <c r="D65" s="470" t="s">
        <v>914</v>
      </c>
      <c r="E65" s="471"/>
      <c r="F65" s="473" t="s">
        <v>901</v>
      </c>
      <c r="G65" s="395" t="s">
        <v>78</v>
      </c>
      <c r="H65" s="396">
        <v>3500000</v>
      </c>
      <c r="I65" s="394" t="s">
        <v>92</v>
      </c>
      <c r="J65" s="327" t="str">
        <f>[49]!Статус</f>
        <v>24.04.23_x000D_
от ОМ отправка ТКП</v>
      </c>
      <c r="K65" s="443" t="s">
        <v>1148</v>
      </c>
      <c r="L65" s="403" t="str">
        <f>[49]!ТКП_Тематика</f>
        <v>F</v>
      </c>
      <c r="M65" s="476"/>
      <c r="N65" s="174"/>
      <c r="O65" s="394"/>
      <c r="P65" s="421">
        <f>[49]!Результат_число</f>
        <v>-1</v>
      </c>
      <c r="Q65" s="394"/>
      <c r="R65" s="402"/>
      <c r="S65" s="482"/>
      <c r="T65" s="482"/>
      <c r="U65" s="482"/>
      <c r="V65" s="482"/>
      <c r="W65" s="403"/>
      <c r="X65" s="403"/>
      <c r="Y65" s="403"/>
    </row>
    <row r="66" spans="1:26" ht="24" hidden="1" x14ac:dyDescent="0.25">
      <c r="B66" s="394">
        <f t="shared" si="2"/>
        <v>61</v>
      </c>
      <c r="C66" s="1714"/>
      <c r="D66" s="413" t="s">
        <v>1165</v>
      </c>
      <c r="E66" s="397"/>
      <c r="F66" s="398" t="s">
        <v>1166</v>
      </c>
      <c r="G66" s="398" t="s">
        <v>1013</v>
      </c>
      <c r="H66" s="399"/>
      <c r="I66" s="397"/>
      <c r="J66" s="327"/>
      <c r="K66" s="446" t="s">
        <v>1178</v>
      </c>
      <c r="L66" s="400"/>
      <c r="M66" s="397"/>
      <c r="N66" s="199"/>
      <c r="O66" s="397"/>
      <c r="P66" s="397">
        <v>-1</v>
      </c>
      <c r="Q66" s="397"/>
      <c r="R66" s="397"/>
      <c r="S66" s="397"/>
      <c r="T66" s="404"/>
      <c r="U66" s="404"/>
      <c r="V66" s="404"/>
      <c r="W66" s="404"/>
      <c r="X66" s="404"/>
      <c r="Y66" s="404"/>
    </row>
    <row r="67" spans="1:26" ht="84" hidden="1" x14ac:dyDescent="0.25">
      <c r="B67" s="397">
        <f t="shared" si="2"/>
        <v>62</v>
      </c>
      <c r="C67" s="1714"/>
      <c r="D67" s="413" t="s">
        <v>1162</v>
      </c>
      <c r="E67" s="397"/>
      <c r="F67" s="398" t="s">
        <v>1015</v>
      </c>
      <c r="G67" s="398" t="s">
        <v>115</v>
      </c>
      <c r="H67" s="399">
        <v>18755000</v>
      </c>
      <c r="I67" s="397" t="s">
        <v>39</v>
      </c>
      <c r="J67" s="751">
        <f>[46]!Статус</f>
        <v>0</v>
      </c>
      <c r="K67" s="446" t="s">
        <v>1169</v>
      </c>
      <c r="L67" s="400" t="str">
        <f>[46]!ТКП_Тематика</f>
        <v>J</v>
      </c>
      <c r="M67" s="397"/>
      <c r="N67" s="199"/>
      <c r="O67" s="397"/>
      <c r="P67" s="397">
        <f>[46]!Результат_число</f>
        <v>0</v>
      </c>
      <c r="Q67" s="397"/>
      <c r="R67" s="397"/>
      <c r="S67" s="397"/>
      <c r="T67" s="404"/>
      <c r="U67" s="404"/>
      <c r="V67" s="404"/>
      <c r="W67" s="404"/>
      <c r="X67" s="404"/>
      <c r="Y67" s="404"/>
    </row>
    <row r="68" spans="1:26" ht="60" hidden="1" x14ac:dyDescent="0.25">
      <c r="B68" s="432">
        <f t="shared" si="2"/>
        <v>63</v>
      </c>
      <c r="C68" s="1714"/>
      <c r="D68" s="488" t="s">
        <v>1221</v>
      </c>
      <c r="E68" s="432"/>
      <c r="F68" s="426" t="s">
        <v>55</v>
      </c>
      <c r="G68" s="415" t="s">
        <v>1222</v>
      </c>
      <c r="H68" s="416">
        <v>2000000</v>
      </c>
      <c r="I68" s="414" t="s">
        <v>92</v>
      </c>
      <c r="J68" s="751" t="str">
        <f>[50]!Статус</f>
        <v>17.10.23_x000D_
ОМ: Требуется отправка заказчику</v>
      </c>
      <c r="K68" s="426" t="s">
        <v>1250</v>
      </c>
      <c r="L68" s="417">
        <f>[50]!ТКП_Тематика</f>
        <v>0</v>
      </c>
      <c r="M68" s="414"/>
      <c r="N68" s="199"/>
      <c r="O68" s="414"/>
      <c r="P68" s="414">
        <v>0</v>
      </c>
      <c r="Q68" s="414"/>
      <c r="R68" s="414"/>
      <c r="S68" s="414"/>
      <c r="T68" s="98"/>
      <c r="U68" s="98"/>
      <c r="V68" s="98"/>
    </row>
    <row r="69" spans="1:26" ht="84" hidden="1" x14ac:dyDescent="0.25">
      <c r="B69" s="373">
        <v>232</v>
      </c>
      <c r="C69" s="174"/>
      <c r="D69" s="319" t="s">
        <v>1186</v>
      </c>
      <c r="E69" s="373"/>
      <c r="F69" s="415" t="s">
        <v>1171</v>
      </c>
      <c r="G69" s="415" t="s">
        <v>1184</v>
      </c>
      <c r="H69" s="416">
        <v>23600000</v>
      </c>
      <c r="I69" s="414" t="s">
        <v>92</v>
      </c>
      <c r="J69" s="327" t="str">
        <f>[51]!Статус</f>
        <v>07.09.23_x000D_
Подготовка ТКП до 12.09.23</v>
      </c>
      <c r="K69" s="426" t="s">
        <v>1215</v>
      </c>
      <c r="L69" s="417" t="str">
        <f>[51]!ТКП_Тематика</f>
        <v>IR</v>
      </c>
      <c r="M69" s="414"/>
      <c r="N69" s="414"/>
      <c r="O69" s="418"/>
      <c r="P69" s="414">
        <f>[51]!Результат_число</f>
        <v>0</v>
      </c>
      <c r="Q69" s="414"/>
      <c r="R69" s="414"/>
      <c r="S69" s="354"/>
    </row>
    <row r="70" spans="1:26" ht="36" hidden="1" x14ac:dyDescent="0.25">
      <c r="B70" s="408">
        <f>ROW()-ROW($B$5)</f>
        <v>65</v>
      </c>
      <c r="C70" s="1714"/>
      <c r="D70" s="1215" t="s">
        <v>1175</v>
      </c>
      <c r="E70" s="408"/>
      <c r="F70" s="409" t="s">
        <v>1157</v>
      </c>
      <c r="G70" s="409" t="s">
        <v>1176</v>
      </c>
      <c r="H70" s="410">
        <v>15927150</v>
      </c>
      <c r="I70" s="408" t="s">
        <v>92</v>
      </c>
      <c r="J70" s="752">
        <f>[52]!Статус</f>
        <v>0</v>
      </c>
      <c r="K70" s="657" t="s">
        <v>1708</v>
      </c>
      <c r="L70" s="411">
        <f>[52]!ТКП_Тематика</f>
        <v>0</v>
      </c>
      <c r="M70" s="408"/>
      <c r="N70" s="199"/>
      <c r="O70" s="408"/>
      <c r="P70" s="408">
        <f>[52]!Результат_число</f>
        <v>0</v>
      </c>
      <c r="Q70" s="408"/>
      <c r="R70" s="408"/>
      <c r="S70" s="408"/>
      <c r="T70" s="412"/>
      <c r="U70" s="412"/>
      <c r="V70" s="412"/>
      <c r="W70" s="412"/>
      <c r="X70" s="412"/>
      <c r="Y70" s="412"/>
    </row>
    <row r="71" spans="1:26" ht="72" hidden="1" x14ac:dyDescent="0.25">
      <c r="B71" s="366">
        <f>ROW()-ROW($B$5)</f>
        <v>66</v>
      </c>
      <c r="C71" s="174"/>
      <c r="D71" s="319" t="s">
        <v>1183</v>
      </c>
      <c r="E71" s="423"/>
      <c r="F71" s="423"/>
      <c r="G71" s="415" t="s">
        <v>1184</v>
      </c>
      <c r="H71" s="416">
        <v>60000000</v>
      </c>
      <c r="I71" s="425" t="s">
        <v>65</v>
      </c>
      <c r="J71" s="752" t="str">
        <f>[53]!Статус</f>
        <v>25.08.23_x000D_
Запрос по телефону от Данилова Д.Б. 24.08.23_x000D_
РСС: проработано 24.08.23_x000D_
ОМ: требуется отправка в укрупненном виде</v>
      </c>
      <c r="K71" s="658" t="s">
        <v>1229</v>
      </c>
      <c r="L71" s="423" t="str">
        <f>[53]!ТКП_Тематика</f>
        <v>K</v>
      </c>
      <c r="M71" s="423"/>
      <c r="N71" s="1"/>
      <c r="O71" s="423"/>
      <c r="P71" s="425">
        <f>[53]!Результат_число</f>
        <v>0</v>
      </c>
      <c r="Q71" s="423"/>
      <c r="R71" s="423"/>
      <c r="S71" s="423"/>
      <c r="T71" s="419"/>
      <c r="U71" s="419"/>
      <c r="V71" s="419"/>
      <c r="W71" s="419"/>
      <c r="X71" s="419"/>
      <c r="Y71" s="419"/>
    </row>
    <row r="72" spans="1:26" ht="36" hidden="1" x14ac:dyDescent="0.25">
      <c r="B72" s="414">
        <f>ROW()-ROW($B$5)</f>
        <v>67</v>
      </c>
      <c r="C72" s="1714"/>
      <c r="D72" s="420" t="s">
        <v>1179</v>
      </c>
      <c r="E72" s="414"/>
      <c r="F72" s="415" t="s">
        <v>273</v>
      </c>
      <c r="G72" s="415" t="s">
        <v>1180</v>
      </c>
      <c r="H72" s="416"/>
      <c r="I72" s="414" t="s">
        <v>381</v>
      </c>
      <c r="J72" s="752" t="str">
        <f>[54]!Статус</f>
        <v>22.08.23_x000D_
Заказчик сориентировался на датчики Овен</v>
      </c>
      <c r="K72" s="426" t="s">
        <v>1181</v>
      </c>
      <c r="L72" s="417">
        <f>[54]!ТКП_Тематика</f>
        <v>0</v>
      </c>
      <c r="M72" s="414"/>
      <c r="N72" s="199"/>
      <c r="O72" s="414"/>
      <c r="P72" s="414">
        <f>[54]!Результат_число</f>
        <v>-1</v>
      </c>
      <c r="Q72" s="414"/>
      <c r="R72" s="414"/>
      <c r="S72" s="414"/>
      <c r="T72" s="419"/>
      <c r="U72" s="419"/>
      <c r="V72" s="419"/>
      <c r="W72" s="419"/>
      <c r="X72" s="419"/>
      <c r="Y72" s="419"/>
    </row>
    <row r="73" spans="1:26" ht="48" hidden="1" x14ac:dyDescent="0.25">
      <c r="B73" s="432">
        <f>ROW()-ROW($B$5)</f>
        <v>68</v>
      </c>
      <c r="C73" s="1714"/>
      <c r="D73" s="440" t="s">
        <v>1189</v>
      </c>
      <c r="E73" s="432"/>
      <c r="F73" s="439" t="s">
        <v>1190</v>
      </c>
      <c r="G73" s="433" t="s">
        <v>239</v>
      </c>
      <c r="H73" s="434">
        <v>12000000</v>
      </c>
      <c r="I73" s="432"/>
      <c r="J73" s="753">
        <f>[55]!Статус</f>
        <v>0</v>
      </c>
      <c r="K73" s="439" t="s">
        <v>1223</v>
      </c>
      <c r="L73" s="435" t="str">
        <f>[55]!ТКП_Тематика</f>
        <v>D</v>
      </c>
      <c r="M73" s="432"/>
      <c r="N73" s="199"/>
      <c r="O73" s="432"/>
      <c r="P73" s="432">
        <f>[55]!Результат_число</f>
        <v>0</v>
      </c>
      <c r="Q73" s="432"/>
      <c r="R73" s="432"/>
      <c r="S73" s="432"/>
      <c r="T73" s="438"/>
      <c r="U73" s="438"/>
      <c r="V73" s="438"/>
      <c r="W73" s="438"/>
      <c r="X73" s="438"/>
      <c r="Y73" s="438"/>
    </row>
    <row r="74" spans="1:26" ht="36" hidden="1" x14ac:dyDescent="0.25">
      <c r="A74" s="1"/>
      <c r="B74" s="432">
        <f>ROW()-ROW($B$5)</f>
        <v>69</v>
      </c>
      <c r="C74" s="1714"/>
      <c r="D74" s="456" t="s">
        <v>650</v>
      </c>
      <c r="E74" s="462">
        <v>2962</v>
      </c>
      <c r="F74" s="463" t="s">
        <v>647</v>
      </c>
      <c r="G74" s="439" t="s">
        <v>78</v>
      </c>
      <c r="H74" s="458">
        <v>7000000</v>
      </c>
      <c r="I74" s="459" t="s">
        <v>88</v>
      </c>
      <c r="J74" s="927" t="s">
        <v>1011</v>
      </c>
      <c r="K74" s="486" t="s">
        <v>1491</v>
      </c>
      <c r="L74" s="461" t="s">
        <v>601</v>
      </c>
      <c r="M74" s="461"/>
      <c r="N74" s="98"/>
      <c r="O74" s="461"/>
      <c r="P74" s="457">
        <v>0</v>
      </c>
      <c r="Q74" s="466"/>
      <c r="R74" s="467"/>
      <c r="S74" s="458"/>
      <c r="T74" s="468"/>
      <c r="U74" s="468"/>
      <c r="V74" s="468"/>
      <c r="W74" s="461"/>
      <c r="X74" s="461"/>
      <c r="Y74" s="461"/>
    </row>
    <row r="75" spans="1:26" ht="24" hidden="1" x14ac:dyDescent="0.25">
      <c r="B75" s="432">
        <v>242</v>
      </c>
      <c r="C75" s="1714"/>
      <c r="D75" s="456" t="s">
        <v>1208</v>
      </c>
      <c r="E75" s="432"/>
      <c r="F75" s="433" t="s">
        <v>1207</v>
      </c>
      <c r="G75" s="433" t="s">
        <v>1206</v>
      </c>
      <c r="H75" s="434"/>
      <c r="I75" s="432" t="s">
        <v>92</v>
      </c>
      <c r="J75" s="753">
        <f>[56]!Статус</f>
        <v>0</v>
      </c>
      <c r="K75" s="439"/>
      <c r="L75" s="435">
        <f>[56]!ТКП_Тематика</f>
        <v>0</v>
      </c>
      <c r="M75" s="432"/>
      <c r="N75" s="432"/>
      <c r="O75" s="436"/>
      <c r="P75" s="432">
        <f>[56]!Результат_число</f>
        <v>-1</v>
      </c>
      <c r="Q75" s="432"/>
      <c r="R75" s="432"/>
      <c r="S75" s="437"/>
      <c r="T75" s="438"/>
      <c r="U75" s="438"/>
      <c r="V75" s="438"/>
      <c r="W75" s="438"/>
      <c r="X75" s="438"/>
      <c r="Y75" s="438"/>
    </row>
    <row r="76" spans="1:26" ht="36" hidden="1" x14ac:dyDescent="0.25">
      <c r="B76" s="432">
        <f t="shared" ref="B76:B94" si="3">ROW()-ROW($B$5)</f>
        <v>71</v>
      </c>
      <c r="C76" s="1714"/>
      <c r="D76" s="456" t="s">
        <v>1209</v>
      </c>
      <c r="E76" s="432"/>
      <c r="F76" s="433" t="s">
        <v>1211</v>
      </c>
      <c r="G76" s="433" t="s">
        <v>1210</v>
      </c>
      <c r="H76" s="434">
        <v>30000000</v>
      </c>
      <c r="I76" s="432" t="s">
        <v>92</v>
      </c>
      <c r="J76" s="753">
        <f>[56]!Статус</f>
        <v>0</v>
      </c>
      <c r="K76" s="439"/>
      <c r="L76" s="435">
        <f>[56]!ТКП_Тематика</f>
        <v>0</v>
      </c>
      <c r="M76" s="432"/>
      <c r="N76" s="174"/>
      <c r="O76" s="436"/>
      <c r="P76" s="432">
        <f>[56]!Результат_число</f>
        <v>-1</v>
      </c>
      <c r="Q76" s="432"/>
      <c r="R76" s="432"/>
      <c r="S76" s="437"/>
      <c r="T76" s="438"/>
      <c r="U76" s="438"/>
      <c r="V76" s="438"/>
      <c r="W76" s="438"/>
      <c r="X76" s="438"/>
      <c r="Y76" s="438"/>
    </row>
    <row r="77" spans="1:26" ht="36" hidden="1" x14ac:dyDescent="0.25">
      <c r="B77" s="432">
        <f t="shared" si="3"/>
        <v>72</v>
      </c>
      <c r="C77" s="1714"/>
      <c r="D77" s="488" t="s">
        <v>1191</v>
      </c>
      <c r="E77" s="432"/>
      <c r="F77" s="439" t="s">
        <v>1236</v>
      </c>
      <c r="G77" s="433" t="s">
        <v>1192</v>
      </c>
      <c r="H77" s="434">
        <v>50000000</v>
      </c>
      <c r="I77" s="433" t="s">
        <v>1240</v>
      </c>
      <c r="J77" s="753" t="str">
        <f>[57]!Статус</f>
        <v>17.11.23_x000D_
РСС: проработано_x000D_
ОМ: отправка ТКП</v>
      </c>
      <c r="K77" s="439" t="s">
        <v>1302</v>
      </c>
      <c r="L77" s="474" t="str">
        <f>[57]!ТКП_Тематика</f>
        <v>RREF</v>
      </c>
      <c r="M77" s="432"/>
      <c r="N77" s="477"/>
      <c r="O77" s="432"/>
      <c r="P77" s="442">
        <f>[57]!Результат_число</f>
        <v>0</v>
      </c>
      <c r="Q77" s="432"/>
      <c r="R77" s="432"/>
      <c r="S77" s="432"/>
      <c r="T77" s="438"/>
      <c r="U77" s="438"/>
      <c r="V77" s="438"/>
      <c r="W77" s="438"/>
      <c r="X77" s="438"/>
      <c r="Y77" s="438"/>
    </row>
    <row r="78" spans="1:26" ht="96" hidden="1" x14ac:dyDescent="0.25">
      <c r="B78" s="432">
        <f t="shared" si="3"/>
        <v>73</v>
      </c>
      <c r="C78" s="1714"/>
      <c r="D78" s="440" t="s">
        <v>1193</v>
      </c>
      <c r="E78" s="432"/>
      <c r="F78" s="439" t="s">
        <v>51</v>
      </c>
      <c r="G78" s="433" t="s">
        <v>239</v>
      </c>
      <c r="H78" s="434">
        <v>2284813</v>
      </c>
      <c r="I78" s="432"/>
      <c r="J78" s="753">
        <f>[58]!Статус</f>
        <v>0</v>
      </c>
      <c r="K78" s="439" t="s">
        <v>1194</v>
      </c>
      <c r="L78" s="435" t="str">
        <f>[58]!ТКП_Тематика</f>
        <v>D</v>
      </c>
      <c r="M78" s="432"/>
      <c r="N78" s="199"/>
      <c r="O78" s="432"/>
      <c r="P78" s="432">
        <f>[58]!Результат_число</f>
        <v>0</v>
      </c>
      <c r="Q78" s="432"/>
      <c r="R78" s="432"/>
      <c r="S78" s="432"/>
      <c r="T78" s="438"/>
      <c r="U78" s="438"/>
      <c r="V78" s="438"/>
      <c r="W78" s="438"/>
      <c r="X78" s="438"/>
      <c r="Y78" s="438"/>
    </row>
    <row r="79" spans="1:26" ht="24" hidden="1" x14ac:dyDescent="0.25">
      <c r="B79" s="1525">
        <f t="shared" si="3"/>
        <v>74</v>
      </c>
      <c r="C79" s="1724"/>
      <c r="D79" s="456" t="s">
        <v>1232</v>
      </c>
      <c r="E79" s="1525"/>
      <c r="F79" s="1526" t="s">
        <v>1237</v>
      </c>
      <c r="G79" s="1526" t="s">
        <v>78</v>
      </c>
      <c r="H79" s="1527">
        <v>4500000</v>
      </c>
      <c r="I79" s="1528" t="s">
        <v>65</v>
      </c>
      <c r="J79" s="1529" t="str">
        <f>[59]!Статус</f>
        <v>04.03.25_x000D_
26.02.25 - направлен ответ на ЭТП</v>
      </c>
      <c r="K79" s="1526" t="s">
        <v>2136</v>
      </c>
      <c r="L79" s="1528" t="str">
        <f>[59]!ТКП_Тематика</f>
        <v>F</v>
      </c>
      <c r="M79" s="1525"/>
      <c r="N79" s="1530"/>
      <c r="O79" s="1525"/>
      <c r="P79" s="1525">
        <f>[59]!Результат_число</f>
        <v>0</v>
      </c>
      <c r="Q79" s="1525"/>
      <c r="R79" s="1531"/>
      <c r="S79" s="1532"/>
      <c r="T79" s="1533"/>
      <c r="U79" s="1533"/>
      <c r="V79" s="1533"/>
      <c r="W79" s="1533"/>
      <c r="X79" s="1533"/>
      <c r="Y79" s="1533"/>
      <c r="Z79" s="12"/>
    </row>
    <row r="80" spans="1:26" ht="36" hidden="1" x14ac:dyDescent="0.25">
      <c r="B80" s="432">
        <f t="shared" si="3"/>
        <v>75</v>
      </c>
      <c r="C80" s="1714"/>
      <c r="D80" s="456" t="s">
        <v>1233</v>
      </c>
      <c r="E80" s="457"/>
      <c r="F80" s="486" t="s">
        <v>754</v>
      </c>
      <c r="G80" s="464" t="s">
        <v>1235</v>
      </c>
      <c r="H80" s="458">
        <v>2500000</v>
      </c>
      <c r="I80" s="457" t="s">
        <v>1234</v>
      </c>
      <c r="J80" s="755" t="str">
        <f>[60]!Статус</f>
        <v>03.11.23_x000D_
ОМ: серийное КП на MIC-185, добавить WinПОС</v>
      </c>
      <c r="K80" s="486"/>
      <c r="L80" s="459" t="str">
        <f>[60]!ТКП_Тематика</f>
        <v>ED</v>
      </c>
      <c r="M80" s="457"/>
      <c r="N80" s="372"/>
      <c r="O80" s="457"/>
      <c r="P80" s="457">
        <f>[60]!Результат_число</f>
        <v>0</v>
      </c>
      <c r="Q80" s="457"/>
      <c r="R80" s="485"/>
      <c r="S80" s="485"/>
      <c r="T80" s="461"/>
      <c r="U80" s="461"/>
      <c r="V80" s="461"/>
      <c r="W80" s="461"/>
      <c r="X80" s="461"/>
      <c r="Y80" s="461"/>
    </row>
    <row r="81" spans="1:25" ht="72" hidden="1" x14ac:dyDescent="0.25">
      <c r="B81" s="432">
        <f t="shared" si="3"/>
        <v>76</v>
      </c>
      <c r="C81" s="174"/>
      <c r="D81" s="489" t="s">
        <v>1238</v>
      </c>
      <c r="E81" s="457"/>
      <c r="F81" s="486" t="s">
        <v>1239</v>
      </c>
      <c r="G81" s="464" t="s">
        <v>646</v>
      </c>
      <c r="H81" s="497">
        <v>6000000</v>
      </c>
      <c r="I81" s="454" t="s">
        <v>92</v>
      </c>
      <c r="J81" s="327">
        <f>[61]!Статус</f>
        <v>0</v>
      </c>
      <c r="K81" s="486" t="s">
        <v>1287</v>
      </c>
      <c r="L81" s="459" t="str">
        <f>[61]!ТКП_Тематика</f>
        <v>NF</v>
      </c>
      <c r="M81" s="457"/>
      <c r="N81" s="372"/>
      <c r="O81" s="457"/>
      <c r="P81" s="487">
        <f>[61]!Результат_число</f>
        <v>0</v>
      </c>
      <c r="Q81" s="457"/>
      <c r="R81" s="485"/>
      <c r="S81" s="485"/>
      <c r="T81" s="461"/>
      <c r="U81" s="461"/>
      <c r="V81" s="461"/>
      <c r="W81" s="461"/>
      <c r="X81" s="461"/>
      <c r="Y81" s="461"/>
    </row>
    <row r="82" spans="1:25" ht="36" hidden="1" x14ac:dyDescent="0.25">
      <c r="B82" s="447">
        <f t="shared" si="3"/>
        <v>77</v>
      </c>
      <c r="C82" s="1714"/>
      <c r="D82" s="455" t="s">
        <v>1216</v>
      </c>
      <c r="E82" s="447"/>
      <c r="F82" s="448" t="s">
        <v>1217</v>
      </c>
      <c r="G82" s="449" t="s">
        <v>1218</v>
      </c>
      <c r="H82" s="450">
        <v>1694673</v>
      </c>
      <c r="I82" s="447"/>
      <c r="J82" s="327">
        <f>[62]!Статус</f>
        <v>0</v>
      </c>
      <c r="K82" s="448" t="s">
        <v>1219</v>
      </c>
      <c r="L82" s="451" t="str">
        <f>[62]!ТКП_Тематика</f>
        <v>I</v>
      </c>
      <c r="M82" s="447"/>
      <c r="N82" s="199"/>
      <c r="O82" s="447"/>
      <c r="P82" s="453">
        <f>[62]!Результат_число</f>
        <v>0</v>
      </c>
      <c r="Q82" s="447"/>
      <c r="R82" s="447"/>
      <c r="S82" s="447"/>
      <c r="T82" s="452"/>
      <c r="U82" s="452"/>
      <c r="V82" s="452"/>
      <c r="W82" s="452"/>
      <c r="X82" s="452"/>
      <c r="Y82" s="452"/>
    </row>
    <row r="83" spans="1:25" ht="24" hidden="1" x14ac:dyDescent="0.25">
      <c r="B83" s="432">
        <f t="shared" si="3"/>
        <v>78</v>
      </c>
      <c r="C83" s="1714"/>
      <c r="D83" s="456" t="s">
        <v>1243</v>
      </c>
      <c r="E83" s="457"/>
      <c r="F83" s="486" t="s">
        <v>1245</v>
      </c>
      <c r="G83" s="464" t="s">
        <v>1244</v>
      </c>
      <c r="H83" s="458">
        <v>100000000</v>
      </c>
      <c r="I83" s="457" t="s">
        <v>65</v>
      </c>
      <c r="J83" s="755"/>
      <c r="K83" s="486"/>
      <c r="L83" s="459"/>
      <c r="M83" s="457"/>
      <c r="N83" s="457"/>
      <c r="O83" s="460"/>
      <c r="P83" s="487">
        <v>-1</v>
      </c>
      <c r="Q83" s="457"/>
      <c r="R83" s="457"/>
      <c r="S83" s="485"/>
      <c r="T83" s="461"/>
      <c r="U83" s="461"/>
      <c r="V83" s="461"/>
      <c r="W83" s="461"/>
      <c r="X83" s="461"/>
      <c r="Y83" s="461"/>
    </row>
    <row r="84" spans="1:25" ht="36" hidden="1" x14ac:dyDescent="0.25">
      <c r="B84" s="432">
        <f t="shared" si="3"/>
        <v>79</v>
      </c>
      <c r="C84" s="1714"/>
      <c r="D84" s="498" t="s">
        <v>1258</v>
      </c>
      <c r="E84" s="457"/>
      <c r="F84" s="486" t="s">
        <v>1257</v>
      </c>
      <c r="G84" s="464" t="s">
        <v>1014</v>
      </c>
      <c r="H84" s="500">
        <v>2000000</v>
      </c>
      <c r="I84" s="491" t="s">
        <v>608</v>
      </c>
      <c r="J84" s="756">
        <f>[63]!Статус</f>
        <v>0</v>
      </c>
      <c r="K84" s="492"/>
      <c r="L84" s="459" t="str">
        <f>[63]!ТКП_Тематика</f>
        <v>AFI</v>
      </c>
      <c r="M84" s="457"/>
      <c r="N84" s="174"/>
      <c r="O84" s="460"/>
      <c r="P84" s="487">
        <f>[63]!Результат_число</f>
        <v>0</v>
      </c>
      <c r="Q84" s="457"/>
      <c r="R84" s="457"/>
      <c r="S84" s="485"/>
      <c r="T84" s="461"/>
      <c r="U84" s="461"/>
      <c r="V84" s="461"/>
      <c r="W84" s="461"/>
      <c r="X84" s="461"/>
      <c r="Y84" s="461"/>
    </row>
    <row r="85" spans="1:25" ht="36" hidden="1" x14ac:dyDescent="0.25">
      <c r="B85" s="432">
        <f t="shared" si="3"/>
        <v>80</v>
      </c>
      <c r="C85" s="174"/>
      <c r="D85" s="319" t="s">
        <v>1247</v>
      </c>
      <c r="E85" s="457"/>
      <c r="F85" s="486" t="s">
        <v>1248</v>
      </c>
      <c r="G85" s="464" t="s">
        <v>1246</v>
      </c>
      <c r="H85" s="458"/>
      <c r="I85" s="457" t="s">
        <v>65</v>
      </c>
      <c r="J85" s="755"/>
      <c r="K85" s="486"/>
      <c r="L85" s="459"/>
      <c r="M85" s="457"/>
      <c r="N85" s="174"/>
      <c r="O85" s="460"/>
      <c r="P85" s="487">
        <v>-1</v>
      </c>
      <c r="Q85" s="457"/>
      <c r="R85" s="457"/>
      <c r="S85" s="485"/>
      <c r="T85" s="461"/>
      <c r="U85" s="461"/>
      <c r="V85" s="461"/>
      <c r="W85" s="461"/>
      <c r="X85" s="461"/>
      <c r="Y85" s="461"/>
    </row>
    <row r="86" spans="1:25" ht="108" hidden="1" x14ac:dyDescent="0.25">
      <c r="B86" s="457">
        <f t="shared" si="3"/>
        <v>81</v>
      </c>
      <c r="C86" s="373"/>
      <c r="D86" s="662" t="s">
        <v>1224</v>
      </c>
      <c r="E86" s="457"/>
      <c r="F86" s="486" t="s">
        <v>1225</v>
      </c>
      <c r="G86" s="33" t="s">
        <v>79</v>
      </c>
      <c r="H86" s="434">
        <v>11000000</v>
      </c>
      <c r="I86" s="432" t="s">
        <v>378</v>
      </c>
      <c r="J86" s="755" t="str">
        <f>[64]!Статус</f>
        <v>21.11.23_x000D_
отправлено 09.11.23</v>
      </c>
      <c r="K86" s="486" t="s">
        <v>1380</v>
      </c>
      <c r="L86" s="459">
        <f>[64]!ТКП_Тематика</f>
        <v>0</v>
      </c>
      <c r="M86" s="457"/>
      <c r="N86" s="199"/>
      <c r="O86" s="457"/>
      <c r="P86" s="457">
        <f>[64]!Результат_число</f>
        <v>0</v>
      </c>
      <c r="Q86" s="457"/>
      <c r="R86" s="457"/>
      <c r="S86" s="457"/>
      <c r="T86" s="461"/>
      <c r="U86" s="461"/>
      <c r="V86" s="461"/>
      <c r="W86" s="461"/>
      <c r="X86" s="461"/>
      <c r="Y86" s="461"/>
    </row>
    <row r="87" spans="1:25" ht="36" hidden="1" x14ac:dyDescent="0.25">
      <c r="A87" s="23"/>
      <c r="B87" s="432">
        <f t="shared" si="3"/>
        <v>82</v>
      </c>
      <c r="C87" s="373"/>
      <c r="D87" s="499" t="s">
        <v>748</v>
      </c>
      <c r="E87" s="563"/>
      <c r="F87" s="566" t="s">
        <v>749</v>
      </c>
      <c r="G87" s="493" t="s">
        <v>75</v>
      </c>
      <c r="H87" s="494">
        <v>40000000</v>
      </c>
      <c r="I87" s="635" t="s">
        <v>92</v>
      </c>
      <c r="J87" s="757" t="str">
        <f>[65]!Статус</f>
        <v>20.11.23_x000D_
РСС: Разработка ТЗ на ПО совместно с заказчиком до 31.12.23</v>
      </c>
      <c r="K87" s="492" t="s">
        <v>1220</v>
      </c>
      <c r="L87" s="496" t="str">
        <f>[65]!ТКП_Тематика</f>
        <v>EF</v>
      </c>
      <c r="M87" s="576" t="s">
        <v>10</v>
      </c>
      <c r="N87" s="174"/>
      <c r="O87" s="491"/>
      <c r="P87" s="629">
        <f>[65]!Результат_число</f>
        <v>-1</v>
      </c>
      <c r="Q87" s="581"/>
      <c r="R87" s="491"/>
      <c r="S87" s="491"/>
      <c r="T87" s="585"/>
      <c r="U87" s="585"/>
      <c r="V87" s="585"/>
      <c r="W87" s="496"/>
      <c r="X87" s="496"/>
      <c r="Y87" s="496"/>
    </row>
    <row r="88" spans="1:25" ht="36" hidden="1" x14ac:dyDescent="0.25">
      <c r="B88" s="432">
        <f t="shared" si="3"/>
        <v>83</v>
      </c>
      <c r="C88" s="1714"/>
      <c r="D88" s="516" t="s">
        <v>1294</v>
      </c>
      <c r="E88" s="504"/>
      <c r="F88" s="505" t="s">
        <v>1295</v>
      </c>
      <c r="G88" s="506" t="s">
        <v>1304</v>
      </c>
      <c r="H88" s="507">
        <v>12000000</v>
      </c>
      <c r="I88" s="504" t="s">
        <v>1296</v>
      </c>
      <c r="J88" s="572" t="str">
        <f>[66]!Статус</f>
        <v>26.01.24_x000D_
заказчик не отвечает</v>
      </c>
      <c r="K88" s="505" t="s">
        <v>1310</v>
      </c>
      <c r="L88" s="508" t="str">
        <f>[66]!ТКП_Тематика</f>
        <v>FRB</v>
      </c>
      <c r="M88" s="504"/>
      <c r="N88" s="199"/>
      <c r="O88" s="504"/>
      <c r="P88" s="554">
        <f>[66]!Результат_число</f>
        <v>-1</v>
      </c>
      <c r="Q88" s="504"/>
      <c r="R88" s="504"/>
      <c r="S88" s="504"/>
      <c r="T88" s="509"/>
      <c r="U88" s="509"/>
      <c r="V88" s="509"/>
      <c r="W88" s="509"/>
      <c r="X88" s="509"/>
      <c r="Y88" s="509"/>
    </row>
    <row r="89" spans="1:25" ht="24" hidden="1" x14ac:dyDescent="0.25">
      <c r="B89" s="457">
        <f t="shared" si="3"/>
        <v>84</v>
      </c>
      <c r="C89" s="1714"/>
      <c r="D89" s="875" t="s">
        <v>1018</v>
      </c>
      <c r="E89" s="564"/>
      <c r="F89" s="567" t="s">
        <v>71</v>
      </c>
      <c r="G89" s="569" t="s">
        <v>1019</v>
      </c>
      <c r="H89" s="494">
        <v>24000000</v>
      </c>
      <c r="I89" s="534" t="s">
        <v>1329</v>
      </c>
      <c r="J89" s="572" t="str">
        <f>[67]!Статус</f>
        <v>09.07.24_x000D_
ОМ: Уточнить - пошло в работу?</v>
      </c>
      <c r="K89" s="567" t="s">
        <v>2133</v>
      </c>
      <c r="L89" s="501" t="str">
        <f>[67]!ТКП_Тематика</f>
        <v>IC</v>
      </c>
      <c r="M89" s="564"/>
      <c r="O89" s="564"/>
      <c r="P89" s="630">
        <f>[67]!Результат_число</f>
        <v>0</v>
      </c>
      <c r="Q89" s="564"/>
      <c r="R89" s="564"/>
      <c r="S89" s="564"/>
      <c r="T89" s="585"/>
      <c r="U89" s="585"/>
      <c r="V89" s="585"/>
      <c r="W89" s="496"/>
      <c r="X89" s="496"/>
      <c r="Y89" s="496"/>
    </row>
    <row r="90" spans="1:25" ht="36" hidden="1" x14ac:dyDescent="0.25">
      <c r="B90" s="457">
        <f t="shared" si="3"/>
        <v>85</v>
      </c>
      <c r="C90" s="174"/>
      <c r="D90" s="561" t="s">
        <v>1093</v>
      </c>
      <c r="E90" s="491"/>
      <c r="F90" s="492" t="s">
        <v>1094</v>
      </c>
      <c r="G90" s="493" t="s">
        <v>1095</v>
      </c>
      <c r="H90" s="494">
        <v>16498000</v>
      </c>
      <c r="I90" s="564" t="s">
        <v>92</v>
      </c>
      <c r="J90" s="572" t="str">
        <f>[68]!Статус</f>
        <v>22.05.23_x000D_
РСС: вероятно отказ, возможно удасться предложить сделать в КТМ Ритм</v>
      </c>
      <c r="K90" s="492" t="s">
        <v>1313</v>
      </c>
      <c r="L90" s="495">
        <f>[68]!ТКП_Тематика</f>
        <v>0</v>
      </c>
      <c r="M90" s="491"/>
      <c r="O90" s="491"/>
      <c r="P90" s="555">
        <f>[68]!Результат_число</f>
        <v>-1</v>
      </c>
      <c r="Q90" s="491"/>
      <c r="R90" s="491"/>
      <c r="S90" s="491"/>
      <c r="T90" s="496"/>
      <c r="U90" s="496"/>
      <c r="V90" s="496"/>
      <c r="W90" s="496"/>
      <c r="X90" s="496"/>
      <c r="Y90" s="496"/>
    </row>
    <row r="91" spans="1:25" ht="84" hidden="1" x14ac:dyDescent="0.25">
      <c r="B91" s="491">
        <f t="shared" si="3"/>
        <v>86</v>
      </c>
      <c r="C91" s="1714"/>
      <c r="D91" s="498" t="s">
        <v>1251</v>
      </c>
      <c r="E91" s="491"/>
      <c r="F91" s="492" t="s">
        <v>1252</v>
      </c>
      <c r="G91" s="493" t="s">
        <v>1253</v>
      </c>
      <c r="H91" s="494">
        <v>15000000</v>
      </c>
      <c r="I91" s="491"/>
      <c r="J91" s="753">
        <f>[69]!Статус</f>
        <v>0</v>
      </c>
      <c r="K91" s="492" t="s">
        <v>1309</v>
      </c>
      <c r="L91" s="495" t="str">
        <f>[69]!ТКП_Тематика</f>
        <v>D</v>
      </c>
      <c r="M91" s="491"/>
      <c r="N91" s="199"/>
      <c r="O91" s="491"/>
      <c r="P91" s="491">
        <f>[69]!Результат_число</f>
        <v>0</v>
      </c>
      <c r="Q91" s="491"/>
      <c r="R91" s="491"/>
      <c r="S91" s="491"/>
      <c r="T91" s="496"/>
      <c r="U91" s="496"/>
      <c r="V91" s="496"/>
      <c r="W91" s="496"/>
      <c r="X91" s="496"/>
      <c r="Y91" s="496"/>
    </row>
    <row r="92" spans="1:25" ht="132" hidden="1" x14ac:dyDescent="0.25">
      <c r="B92" s="457">
        <f t="shared" si="3"/>
        <v>87</v>
      </c>
      <c r="C92" s="174"/>
      <c r="D92" s="489" t="s">
        <v>1260</v>
      </c>
      <c r="E92" s="511"/>
      <c r="F92" s="513" t="s">
        <v>1262</v>
      </c>
      <c r="G92" s="1148" t="s">
        <v>1261</v>
      </c>
      <c r="H92" s="1300">
        <v>20000000</v>
      </c>
      <c r="I92" s="514" t="s">
        <v>88</v>
      </c>
      <c r="J92" s="1244" t="str">
        <f>[70]!Статус</f>
        <v>15.09.25_x000D_
MIC-356 отправлен._x000D_
ОМ: отправка ТКП на MIC-1150 (Мелихов) до 24.09.25</v>
      </c>
      <c r="K92" s="513" t="s">
        <v>1883</v>
      </c>
      <c r="L92" s="514" t="str">
        <f>[70]!ТКП_Тематика</f>
        <v>C</v>
      </c>
      <c r="M92" s="511"/>
      <c r="N92" s="199"/>
      <c r="O92" s="511"/>
      <c r="P92" s="629">
        <f>[70]!Результат_число</f>
        <v>0</v>
      </c>
      <c r="Q92" s="511"/>
      <c r="R92" s="511"/>
      <c r="S92" s="511"/>
      <c r="T92" s="515"/>
      <c r="U92" s="515"/>
      <c r="V92" s="515"/>
      <c r="W92" s="515"/>
      <c r="X92" s="515"/>
      <c r="Y92" s="515"/>
    </row>
    <row r="93" spans="1:25" ht="84" hidden="1" x14ac:dyDescent="0.25">
      <c r="B93" s="636">
        <f t="shared" si="3"/>
        <v>88</v>
      </c>
      <c r="C93" s="1725"/>
      <c r="D93" s="659" t="s">
        <v>1280</v>
      </c>
      <c r="E93" s="624"/>
      <c r="F93" s="637" t="s">
        <v>59</v>
      </c>
      <c r="G93" s="638" t="s">
        <v>1281</v>
      </c>
      <c r="H93" s="639">
        <v>9500000</v>
      </c>
      <c r="I93" s="640" t="s">
        <v>92</v>
      </c>
      <c r="J93" s="758" t="str">
        <f>[71]!Статус</f>
        <v>20.03.24_x000D_
РСС: отправлены доп. вопросы заказчику 28.02.24_x000D_. Проиграли заказ dewesoft. В качестве причины называется сдвоенный АЦП и якобы эта тема важна. Стоимость отказались назвать. Имеет смысл съездить к заказчику через некоторое время_x000D_</v>
      </c>
      <c r="K93" s="637" t="s">
        <v>1371</v>
      </c>
      <c r="L93" s="514" t="str">
        <f>[71]!ТКП_Тематика</f>
        <v>DN</v>
      </c>
      <c r="M93" s="511"/>
      <c r="N93" s="199"/>
      <c r="O93" s="511"/>
      <c r="P93" s="629">
        <f>[71]!Результат_число</f>
        <v>-1</v>
      </c>
      <c r="Q93" s="511"/>
      <c r="R93" s="511"/>
      <c r="S93" s="511"/>
      <c r="T93" s="515"/>
      <c r="U93" s="515"/>
      <c r="V93" s="515"/>
      <c r="W93" s="515"/>
      <c r="X93" s="515"/>
      <c r="Y93" s="515"/>
    </row>
    <row r="94" spans="1:25" ht="96" hidden="1" x14ac:dyDescent="0.25">
      <c r="B94" s="518">
        <f t="shared" si="3"/>
        <v>89</v>
      </c>
      <c r="C94" s="174"/>
      <c r="D94" s="319" t="s">
        <v>1311</v>
      </c>
      <c r="E94" s="518"/>
      <c r="F94" s="519" t="s">
        <v>399</v>
      </c>
      <c r="G94" s="520" t="s">
        <v>1312</v>
      </c>
      <c r="H94" s="521">
        <v>60000000</v>
      </c>
      <c r="I94" s="520" t="s">
        <v>92</v>
      </c>
      <c r="J94" s="572" t="str">
        <f>[72]!Статус</f>
        <v>16.02.24_x000D_
ОМ: отправлено.Отправлена заказчику уточненная справка 12.02.24. Ждем реакцию</v>
      </c>
      <c r="K94" s="519" t="s">
        <v>1358</v>
      </c>
      <c r="L94" s="522" t="str">
        <f>[72]!ТКП_Тематика</f>
        <v>IFC</v>
      </c>
      <c r="M94" s="518"/>
      <c r="N94" s="199"/>
      <c r="O94" s="518"/>
      <c r="P94" s="555">
        <f>[72]!Результат_число</f>
        <v>0</v>
      </c>
      <c r="Q94" s="518"/>
      <c r="R94" s="518"/>
      <c r="S94" s="518"/>
      <c r="T94" s="523"/>
      <c r="U94" s="523"/>
      <c r="V94" s="523"/>
      <c r="W94" s="523"/>
      <c r="X94" s="523"/>
      <c r="Y94" s="523"/>
    </row>
    <row r="95" spans="1:25" ht="60" hidden="1" x14ac:dyDescent="0.25">
      <c r="B95" s="530">
        <v>255</v>
      </c>
      <c r="C95" s="1714"/>
      <c r="D95" s="546" t="s">
        <v>1914</v>
      </c>
      <c r="E95" s="530"/>
      <c r="F95" s="531" t="s">
        <v>112</v>
      </c>
      <c r="G95" s="531" t="s">
        <v>729</v>
      </c>
      <c r="H95" s="1293">
        <v>7300000</v>
      </c>
      <c r="I95" s="534" t="s">
        <v>54</v>
      </c>
      <c r="J95" s="1244" t="str">
        <f>[73]!Статус</f>
        <v>15.09.25_x000D_
ОМ: Запрос обновить цену старого ТКП (450_23). Требуется актуализация и отправка ТКП (до 19.09.25)</v>
      </c>
      <c r="K95" s="531" t="s">
        <v>1748</v>
      </c>
      <c r="L95" s="534" t="str">
        <f>[73]!ТКП_Тематика</f>
        <v>I</v>
      </c>
      <c r="M95" s="530"/>
      <c r="N95" s="372"/>
      <c r="O95" s="535"/>
      <c r="P95" s="631">
        <f>[73]!Результат_число</f>
        <v>0</v>
      </c>
      <c r="Q95" s="530"/>
      <c r="R95" s="536"/>
      <c r="S95" s="530"/>
      <c r="T95" s="537"/>
      <c r="U95" s="537"/>
      <c r="V95" s="537"/>
      <c r="W95" s="537"/>
      <c r="X95" s="537"/>
      <c r="Y95" s="537"/>
    </row>
    <row r="96" spans="1:25" ht="24" hidden="1" x14ac:dyDescent="0.25">
      <c r="B96" s="530">
        <f>ROW()-ROW($B$5)</f>
        <v>91</v>
      </c>
      <c r="C96" s="1714"/>
      <c r="D96" s="546" t="s">
        <v>1259</v>
      </c>
      <c r="E96" s="530"/>
      <c r="F96" s="531" t="s">
        <v>71</v>
      </c>
      <c r="G96" s="532" t="s">
        <v>1261</v>
      </c>
      <c r="H96" s="533">
        <v>4000000</v>
      </c>
      <c r="I96" s="530" t="s">
        <v>92</v>
      </c>
      <c r="J96" s="572" t="str">
        <f>[74]!Статус</f>
        <v>09.01.24_x000D_
ОМ: Требуется отправка ТКП</v>
      </c>
      <c r="K96" s="531"/>
      <c r="L96" s="534" t="str">
        <f>[74]!ТКП_Тематика</f>
        <v>N</v>
      </c>
      <c r="M96" s="530"/>
      <c r="N96" s="199"/>
      <c r="O96" s="530"/>
      <c r="P96" s="555">
        <f>[74]!Результат_число</f>
        <v>0</v>
      </c>
      <c r="Q96" s="530"/>
      <c r="R96" s="530"/>
      <c r="S96" s="530"/>
      <c r="T96" s="537"/>
      <c r="U96" s="537"/>
      <c r="V96" s="537"/>
      <c r="W96" s="537"/>
      <c r="X96" s="537"/>
      <c r="Y96" s="537"/>
    </row>
    <row r="97" spans="1:26" ht="15" hidden="1" x14ac:dyDescent="0.25">
      <c r="A97" s="2" t="s">
        <v>1113</v>
      </c>
      <c r="B97" s="559">
        <f>ROW()-ROW($B$5)</f>
        <v>92</v>
      </c>
      <c r="C97" s="1726"/>
      <c r="D97" s="560" t="s">
        <v>1254</v>
      </c>
      <c r="E97" s="539"/>
      <c r="F97" s="531" t="s">
        <v>981</v>
      </c>
      <c r="G97" s="532" t="s">
        <v>980</v>
      </c>
      <c r="H97" s="533"/>
      <c r="I97" s="571" t="s">
        <v>92</v>
      </c>
      <c r="J97" s="618">
        <f>[75]!Статус</f>
        <v>0</v>
      </c>
      <c r="K97" s="531"/>
      <c r="L97" s="534">
        <f>[75]!ТКП_Тематика</f>
        <v>0</v>
      </c>
      <c r="M97" s="530"/>
      <c r="N97" s="199"/>
      <c r="O97" s="530"/>
      <c r="P97" s="607">
        <f>[75]!Результат_число</f>
        <v>-1</v>
      </c>
      <c r="Q97" s="530"/>
      <c r="R97" s="530"/>
      <c r="S97" s="530"/>
      <c r="T97" s="537"/>
      <c r="U97" s="537"/>
      <c r="V97" s="537"/>
      <c r="W97" s="537"/>
      <c r="X97" s="537"/>
      <c r="Y97" s="537"/>
    </row>
    <row r="98" spans="1:26" ht="48" hidden="1" x14ac:dyDescent="0.25">
      <c r="B98" s="547">
        <f>ROW()-ROW($B$5)</f>
        <v>93</v>
      </c>
      <c r="C98" s="1714"/>
      <c r="D98" s="556" t="s">
        <v>1323</v>
      </c>
      <c r="E98" s="547"/>
      <c r="F98" s="548" t="s">
        <v>1324</v>
      </c>
      <c r="G98" s="532"/>
      <c r="H98" s="549">
        <v>1000000</v>
      </c>
      <c r="I98" s="532" t="s">
        <v>1318</v>
      </c>
      <c r="J98" s="618" t="str">
        <f>[76]!Статус</f>
        <v>31.01.24_x000D_
РСС: ТКП проработано_x000D_
ОМ:Требуется отправка ТКП до 05.02.24</v>
      </c>
      <c r="K98" s="557" t="s">
        <v>1334</v>
      </c>
      <c r="L98" s="550" t="str">
        <f>[76]!ТКП_Тематика</f>
        <v>D</v>
      </c>
      <c r="M98" s="547"/>
      <c r="O98" s="547"/>
      <c r="P98" s="552">
        <f>[76]!Результат_число</f>
        <v>0</v>
      </c>
      <c r="Q98" s="547"/>
      <c r="R98" s="547"/>
      <c r="S98" s="547"/>
      <c r="T98" s="551"/>
      <c r="U98" s="551"/>
      <c r="V98" s="551"/>
      <c r="W98" s="551"/>
      <c r="X98" s="551"/>
      <c r="Y98" s="551"/>
    </row>
    <row r="99" spans="1:26" ht="36" hidden="1" x14ac:dyDescent="0.25">
      <c r="B99" s="547">
        <f>ROW()-ROW($B$5)</f>
        <v>94</v>
      </c>
      <c r="C99" s="174"/>
      <c r="D99" s="489" t="s">
        <v>1508</v>
      </c>
      <c r="E99" s="547"/>
      <c r="F99" s="548" t="s">
        <v>1325</v>
      </c>
      <c r="G99" s="548" t="s">
        <v>1326</v>
      </c>
      <c r="H99" s="549">
        <v>6965978</v>
      </c>
      <c r="I99" s="532" t="s">
        <v>1318</v>
      </c>
      <c r="J99" s="299" t="str">
        <f>[77]!Статус</f>
        <v>05.08.24_x000D_
0</v>
      </c>
      <c r="K99" s="557" t="s">
        <v>1851</v>
      </c>
      <c r="L99" s="550" t="str">
        <f>[77]!ТКП_Тематика</f>
        <v>D</v>
      </c>
      <c r="M99" s="547"/>
      <c r="O99" s="547"/>
      <c r="P99" s="552">
        <f>[77]!Результат_число</f>
        <v>0</v>
      </c>
      <c r="Q99" s="547"/>
      <c r="R99" s="547"/>
      <c r="S99" s="547"/>
      <c r="T99" s="551"/>
      <c r="U99" s="551"/>
      <c r="V99" s="551"/>
      <c r="W99" s="551"/>
      <c r="X99" s="551"/>
      <c r="Y99" s="551"/>
    </row>
    <row r="100" spans="1:26" ht="48" hidden="1" x14ac:dyDescent="0.25">
      <c r="B100" s="1534">
        <v>278</v>
      </c>
      <c r="C100" s="1727"/>
      <c r="D100" s="489" t="s">
        <v>1331</v>
      </c>
      <c r="E100" s="1534"/>
      <c r="F100" s="1535" t="s">
        <v>1332</v>
      </c>
      <c r="G100" s="1536" t="s">
        <v>27</v>
      </c>
      <c r="H100" s="1537">
        <v>4300000</v>
      </c>
      <c r="I100" s="1534" t="s">
        <v>1329</v>
      </c>
      <c r="J100" s="1538" t="str">
        <f>[78]!Статус</f>
        <v>09.02.24_x000D_
РСС: проработано_x000D_
ОМ: требуется согласование и отправка</v>
      </c>
      <c r="K100" s="1536" t="s">
        <v>2132</v>
      </c>
      <c r="L100" s="1539" t="str">
        <f>[78]!ТКП_Тематика</f>
        <v>ND</v>
      </c>
      <c r="M100" s="1534"/>
      <c r="N100" s="1534"/>
      <c r="O100" s="1540"/>
      <c r="P100" s="1534">
        <f>[78]!Результат_число</f>
        <v>0</v>
      </c>
      <c r="Q100" s="1534"/>
      <c r="R100" s="1534"/>
      <c r="S100" s="1541"/>
      <c r="T100" s="1542"/>
      <c r="U100" s="1542"/>
      <c r="V100" s="1542"/>
      <c r="W100" s="1542"/>
      <c r="X100" s="1542"/>
      <c r="Y100" s="1542"/>
      <c r="Z100" s="12"/>
    </row>
    <row r="101" spans="1:26" ht="48" hidden="1" x14ac:dyDescent="0.25">
      <c r="B101" s="1534">
        <f t="shared" ref="B101:B123" si="4">ROW()-ROW($B$5)</f>
        <v>96</v>
      </c>
      <c r="C101" s="1724"/>
      <c r="D101" s="1610" t="s">
        <v>1328</v>
      </c>
      <c r="E101" s="1534"/>
      <c r="F101" s="1536" t="s">
        <v>1330</v>
      </c>
      <c r="G101" s="1543" t="s">
        <v>27</v>
      </c>
      <c r="H101" s="1537">
        <v>7000000</v>
      </c>
      <c r="I101" s="1544" t="s">
        <v>1296</v>
      </c>
      <c r="J101" s="1545" t="str">
        <f>[79]!Статус</f>
        <v>06.11.24_x000D_
ОМ: решение о запуске формуляра?</v>
      </c>
      <c r="K101" s="1536" t="s">
        <v>2131</v>
      </c>
      <c r="L101" s="1539">
        <f>[79]!ТКП_Тематика</f>
        <v>0</v>
      </c>
      <c r="M101" s="1534"/>
      <c r="N101" s="11"/>
      <c r="O101" s="1534"/>
      <c r="P101" s="1534">
        <f>[79]!Результат_число</f>
        <v>0</v>
      </c>
      <c r="Q101" s="1534"/>
      <c r="R101" s="1534"/>
      <c r="S101" s="1534"/>
      <c r="T101" s="1546"/>
      <c r="U101" s="1546"/>
      <c r="V101" s="1546"/>
      <c r="W101" s="1546"/>
      <c r="X101" s="1546"/>
      <c r="Y101" s="1546"/>
      <c r="Z101" s="12"/>
    </row>
    <row r="102" spans="1:26" ht="67.5" hidden="1" x14ac:dyDescent="0.25">
      <c r="B102" s="366">
        <f t="shared" si="4"/>
        <v>97</v>
      </c>
      <c r="C102" s="366"/>
      <c r="D102" s="556" t="s">
        <v>1423</v>
      </c>
      <c r="E102" s="547"/>
      <c r="F102" s="641" t="s">
        <v>1366</v>
      </c>
      <c r="G102" s="668" t="s">
        <v>883</v>
      </c>
      <c r="H102" s="549">
        <v>50000000</v>
      </c>
      <c r="I102" s="550" t="s">
        <v>378</v>
      </c>
      <c r="J102" s="759" t="str">
        <f>[80]!Статус</f>
        <v>02.10.24_x000D_
РСС: неактуально. Заказчик не реагирует на запросы исходных данных (не знает как ответить). Планируем вернуться к вопросу после проработки заказа с тормозным устройством АПД-500 (УЗГА)</v>
      </c>
      <c r="K102" s="684" t="s">
        <v>1386</v>
      </c>
      <c r="L102" s="550" t="str">
        <f>[80]!ТКП_Тематика</f>
        <v>IBFJ</v>
      </c>
      <c r="M102" s="591"/>
      <c r="O102" s="591"/>
      <c r="P102" s="617">
        <f>[80]!Результат_число</f>
        <v>-1</v>
      </c>
      <c r="Q102" s="591"/>
      <c r="R102" s="591"/>
      <c r="S102" s="591"/>
      <c r="T102" s="98"/>
      <c r="U102" s="98"/>
      <c r="V102" s="98"/>
      <c r="W102" s="98"/>
      <c r="X102" s="98"/>
      <c r="Y102" s="98"/>
    </row>
    <row r="103" spans="1:26" ht="60" hidden="1" x14ac:dyDescent="0.25">
      <c r="B103" s="591">
        <f t="shared" si="4"/>
        <v>98</v>
      </c>
      <c r="C103" s="1714"/>
      <c r="D103" s="602" t="s">
        <v>1337</v>
      </c>
      <c r="E103" s="591"/>
      <c r="F103" s="594" t="s">
        <v>59</v>
      </c>
      <c r="G103" s="655" t="s">
        <v>4</v>
      </c>
      <c r="H103" s="593">
        <v>34133000</v>
      </c>
      <c r="I103" s="534" t="s">
        <v>1329</v>
      </c>
      <c r="J103" s="618" t="str">
        <f>[81]!Статус</f>
        <v>01.03.24_x000D_
ОМ: отправка ТКП до 08.03.24</v>
      </c>
      <c r="K103" s="604" t="s">
        <v>1363</v>
      </c>
      <c r="L103" s="594" t="str">
        <f>[82]!ТКП_Тематика</f>
        <v>JB</v>
      </c>
      <c r="M103" s="591"/>
      <c r="O103" s="591"/>
      <c r="P103" s="617">
        <f>[81]!Результат_число</f>
        <v>0</v>
      </c>
      <c r="Q103" s="591"/>
      <c r="R103" s="591"/>
      <c r="S103" s="591"/>
      <c r="T103" s="595"/>
      <c r="U103" s="595"/>
      <c r="V103" s="595"/>
      <c r="W103" s="595"/>
      <c r="X103" s="595"/>
      <c r="Y103" s="595"/>
    </row>
    <row r="104" spans="1:26" ht="48" hidden="1" x14ac:dyDescent="0.25">
      <c r="B104" s="586">
        <f t="shared" si="4"/>
        <v>99</v>
      </c>
      <c r="C104" s="1714"/>
      <c r="D104" s="603" t="s">
        <v>1338</v>
      </c>
      <c r="E104" s="586"/>
      <c r="F104" s="588" t="s">
        <v>1339</v>
      </c>
      <c r="G104" s="655" t="s">
        <v>4</v>
      </c>
      <c r="H104" s="587">
        <v>5000000</v>
      </c>
      <c r="I104" s="534" t="s">
        <v>1329</v>
      </c>
      <c r="J104" s="619" t="str">
        <f>[83]!Статус</f>
        <v>01.03.24_x000D_
ОМ: отправка ТКП до 08.03.24</v>
      </c>
      <c r="K104" s="605" t="s">
        <v>1364</v>
      </c>
      <c r="L104" s="588" t="str">
        <f>[82]!ТКП_Тематика</f>
        <v>JB</v>
      </c>
      <c r="M104" s="586"/>
      <c r="O104" s="586"/>
      <c r="P104" s="632">
        <f>[83]!Результат_число</f>
        <v>0</v>
      </c>
      <c r="Q104" s="586"/>
      <c r="R104" s="586"/>
      <c r="S104" s="586"/>
      <c r="T104" s="589"/>
      <c r="U104" s="589"/>
      <c r="V104" s="589"/>
      <c r="W104" s="589"/>
      <c r="X104" s="589"/>
      <c r="Y104" s="589"/>
    </row>
    <row r="105" spans="1:26" ht="56.25" hidden="1" x14ac:dyDescent="0.25">
      <c r="B105" s="591">
        <f t="shared" si="4"/>
        <v>100</v>
      </c>
      <c r="C105" s="1714"/>
      <c r="D105" s="776" t="s">
        <v>1340</v>
      </c>
      <c r="E105" s="543"/>
      <c r="F105" s="597" t="s">
        <v>1341</v>
      </c>
      <c r="G105" s="598" t="s">
        <v>4</v>
      </c>
      <c r="H105" s="596">
        <v>15000000</v>
      </c>
      <c r="I105" s="594" t="s">
        <v>1296</v>
      </c>
      <c r="J105" s="797" t="str">
        <f>[82]!Статус</f>
        <v>21.02.24_x000D_
Проработка РСС до 29.02.24 (требуются доп созвон с заказчиками по исх. данным)</v>
      </c>
      <c r="K105" s="685" t="s">
        <v>1376</v>
      </c>
      <c r="L105" s="597" t="str">
        <f>[82]!ТКП_Тематика</f>
        <v>JB</v>
      </c>
      <c r="M105" s="543"/>
      <c r="O105" s="543"/>
      <c r="P105" s="633">
        <f>[82]!Результат_число</f>
        <v>-1</v>
      </c>
      <c r="Q105" s="665"/>
      <c r="R105" s="543"/>
      <c r="S105" s="543"/>
      <c r="T105" s="598"/>
      <c r="U105" s="98"/>
      <c r="V105" s="98"/>
      <c r="W105" s="98"/>
      <c r="X105" s="98"/>
      <c r="Y105" s="98"/>
    </row>
    <row r="106" spans="1:26" ht="48" hidden="1" x14ac:dyDescent="0.25">
      <c r="B106" s="1708">
        <f t="shared" si="4"/>
        <v>101</v>
      </c>
      <c r="C106" s="1708"/>
      <c r="D106" s="663" t="s">
        <v>1321</v>
      </c>
      <c r="E106" s="1547"/>
      <c r="F106" s="1709" t="s">
        <v>1346</v>
      </c>
      <c r="G106" s="1710" t="s">
        <v>1344</v>
      </c>
      <c r="H106" s="1551">
        <v>80000000</v>
      </c>
      <c r="I106" s="1549" t="s">
        <v>621</v>
      </c>
      <c r="J106" s="1711" t="str">
        <f>[84]!Статус</f>
        <v>10.04.24_x000D_
УМП: подготовка договора с ТРВ до 20.04.24</v>
      </c>
      <c r="K106" s="1709" t="s">
        <v>2175</v>
      </c>
      <c r="L106" s="1544" t="str">
        <f>[84]!ТКП_Тематика</f>
        <v>BFR</v>
      </c>
      <c r="M106" s="1547"/>
      <c r="N106" s="11"/>
      <c r="O106" s="1547"/>
      <c r="P106" s="1547">
        <f>[84]!Результат_число</f>
        <v>0</v>
      </c>
      <c r="Q106" s="1547"/>
      <c r="R106" s="1547"/>
      <c r="S106" s="1547"/>
      <c r="T106" s="1555"/>
      <c r="U106" s="227"/>
      <c r="V106" s="227"/>
      <c r="W106" s="227"/>
      <c r="X106" s="227"/>
      <c r="Y106" s="227"/>
      <c r="Z106" s="12"/>
    </row>
    <row r="107" spans="1:26" ht="60" hidden="1" x14ac:dyDescent="0.25">
      <c r="B107" s="591">
        <f t="shared" si="4"/>
        <v>102</v>
      </c>
      <c r="C107" s="1714"/>
      <c r="D107" s="599" t="s">
        <v>1345</v>
      </c>
      <c r="E107" s="600"/>
      <c r="F107" s="620" t="s">
        <v>1367</v>
      </c>
      <c r="G107" s="601" t="s">
        <v>8</v>
      </c>
      <c r="H107" s="593">
        <v>19000000000</v>
      </c>
      <c r="I107" s="620" t="s">
        <v>1347</v>
      </c>
      <c r="J107" s="618" t="str">
        <f>[85]!Статус</f>
        <v>19.03.24_x000D_
РСС: сделана черновая проработка и отправлена заказчику 19 млрд.</v>
      </c>
      <c r="K107" s="620" t="s">
        <v>1399</v>
      </c>
      <c r="L107" s="606">
        <f>[85]!ТКП_Тематика</f>
        <v>0</v>
      </c>
      <c r="M107" s="601"/>
      <c r="O107" s="601"/>
      <c r="P107" s="616">
        <f>[85]!Результат_число</f>
        <v>0</v>
      </c>
      <c r="Q107" s="600"/>
      <c r="R107" s="600"/>
      <c r="S107" s="600"/>
      <c r="T107" s="600"/>
      <c r="U107" s="600"/>
      <c r="V107" s="600"/>
      <c r="W107" s="600"/>
      <c r="X107" s="600"/>
      <c r="Y107" s="600"/>
    </row>
    <row r="108" spans="1:26" ht="144" hidden="1" x14ac:dyDescent="0.25">
      <c r="B108" s="366">
        <f t="shared" si="4"/>
        <v>103</v>
      </c>
      <c r="C108" s="366"/>
      <c r="D108" s="599" t="s">
        <v>1348</v>
      </c>
      <c r="E108" s="623"/>
      <c r="F108" s="606" t="s">
        <v>1704</v>
      </c>
      <c r="G108" s="42" t="s">
        <v>47</v>
      </c>
      <c r="H108" s="1032">
        <v>90000000</v>
      </c>
      <c r="I108" s="606" t="s">
        <v>423</v>
      </c>
      <c r="J108" s="667" t="str">
        <f>[86]!Статус</f>
        <v>05.05.25_x000D_
Ждем от Сатурна результатов проверки нашей версии договора и РКМ?</v>
      </c>
      <c r="K108" s="620" t="s">
        <v>2135</v>
      </c>
      <c r="L108" s="606" t="str">
        <f>[86]!ТКП_Тематика</f>
        <v>IN</v>
      </c>
      <c r="M108" s="601"/>
      <c r="O108" s="601"/>
      <c r="P108" s="616">
        <f>[86]!Результат_число</f>
        <v>0</v>
      </c>
      <c r="Q108" s="600"/>
      <c r="R108" s="600"/>
      <c r="S108" s="600"/>
    </row>
    <row r="109" spans="1:26" s="615" customFormat="1" ht="48" hidden="1" x14ac:dyDescent="0.25">
      <c r="A109" s="609"/>
      <c r="B109" s="610">
        <f t="shared" si="4"/>
        <v>104</v>
      </c>
      <c r="C109" s="1728"/>
      <c r="D109" s="611" t="s">
        <v>1352</v>
      </c>
      <c r="E109" s="610"/>
      <c r="F109" s="621" t="s">
        <v>1350</v>
      </c>
      <c r="G109" s="621" t="s">
        <v>78</v>
      </c>
      <c r="H109" s="613">
        <v>50545000</v>
      </c>
      <c r="I109" s="614" t="s">
        <v>826</v>
      </c>
      <c r="J109" s="667">
        <f>[87]!Статус</f>
        <v>0</v>
      </c>
      <c r="K109" s="621" t="s">
        <v>1351</v>
      </c>
      <c r="L109" s="614">
        <f>[87]!ТКП_Тематика</f>
        <v>0</v>
      </c>
      <c r="M109" s="610"/>
      <c r="N109" s="2"/>
      <c r="O109" s="610"/>
      <c r="P109" s="617">
        <f>[87]!Результат_число</f>
        <v>0</v>
      </c>
      <c r="Q109" s="612"/>
      <c r="R109" s="612"/>
      <c r="S109" s="612"/>
      <c r="T109" s="612"/>
      <c r="U109" s="98"/>
      <c r="V109" s="98"/>
      <c r="W109" s="98"/>
      <c r="X109" s="98"/>
      <c r="Y109" s="98"/>
      <c r="Z109" s="98"/>
    </row>
    <row r="110" spans="1:26" ht="36" hidden="1" x14ac:dyDescent="0.25">
      <c r="B110" s="1547">
        <f t="shared" si="4"/>
        <v>105</v>
      </c>
      <c r="C110" s="1724"/>
      <c r="D110" s="663" t="s">
        <v>1353</v>
      </c>
      <c r="E110" s="1548"/>
      <c r="F110" s="1549" t="s">
        <v>1365</v>
      </c>
      <c r="G110" s="1550" t="s">
        <v>202</v>
      </c>
      <c r="H110" s="1551">
        <v>20000000</v>
      </c>
      <c r="I110" s="1550" t="s">
        <v>1329</v>
      </c>
      <c r="J110" s="1552" t="str">
        <f>[88]!Статус</f>
        <v>26.05.25_x000D_
проведение конкурса до 05.06.25_x000D_?_x000D_
- ОП процелура предзапуска?</v>
      </c>
      <c r="K110" s="1549" t="s">
        <v>2134</v>
      </c>
      <c r="L110" s="1553" t="str">
        <f>[88]!ТКП_Тематика</f>
        <v>I</v>
      </c>
      <c r="M110" s="1550"/>
      <c r="N110" s="11"/>
      <c r="O110" s="1550"/>
      <c r="P110" s="1550">
        <f>[88]!Результат_число</f>
        <v>0</v>
      </c>
      <c r="Q110" s="1554"/>
      <c r="R110" s="1554"/>
      <c r="S110" s="1554"/>
      <c r="T110" s="12"/>
      <c r="U110" s="227"/>
      <c r="V110" s="227"/>
      <c r="W110" s="227"/>
      <c r="X110" s="227"/>
      <c r="Y110" s="227"/>
      <c r="Z110" s="12"/>
    </row>
    <row r="111" spans="1:26" ht="48" hidden="1" x14ac:dyDescent="0.25">
      <c r="B111" s="610">
        <f t="shared" si="4"/>
        <v>106</v>
      </c>
      <c r="C111" s="1152"/>
      <c r="D111" s="489" t="s">
        <v>1360</v>
      </c>
      <c r="E111" s="602"/>
      <c r="F111" s="606" t="s">
        <v>1362</v>
      </c>
      <c r="G111" s="601" t="s">
        <v>1361</v>
      </c>
      <c r="H111" s="643">
        <v>9300000</v>
      </c>
      <c r="I111" s="594" t="s">
        <v>1296</v>
      </c>
      <c r="J111" s="618" t="str">
        <f>[89]!Статус</f>
        <v>11.11.24_x000D_
ОМ: требуется отправка ТКП</v>
      </c>
      <c r="K111" s="620" t="s">
        <v>1583</v>
      </c>
      <c r="L111" s="606" t="str">
        <f>[89]!ТКП_Тематика</f>
        <v>RBF</v>
      </c>
      <c r="M111" s="601"/>
      <c r="O111" s="601"/>
      <c r="P111" s="616">
        <f>[89]!Результат_число</f>
        <v>0</v>
      </c>
      <c r="Q111" s="600"/>
      <c r="R111" s="600"/>
      <c r="S111" s="600"/>
    </row>
    <row r="112" spans="1:26" ht="84" hidden="1" x14ac:dyDescent="0.25">
      <c r="B112" s="610">
        <f t="shared" si="4"/>
        <v>107</v>
      </c>
      <c r="C112" s="1728"/>
      <c r="D112" s="625" t="s">
        <v>1355</v>
      </c>
      <c r="E112" s="601"/>
      <c r="F112" s="606"/>
      <c r="G112" s="601" t="s">
        <v>137</v>
      </c>
      <c r="H112" s="613">
        <v>55000000</v>
      </c>
      <c r="I112" s="608" t="s">
        <v>1359</v>
      </c>
      <c r="J112" s="618" t="str">
        <f>[90]!Статус</f>
        <v>19.03.24_x000D_
ОМ: согласование и отправка до 22.03.24</v>
      </c>
      <c r="K112" s="620" t="s">
        <v>1378</v>
      </c>
      <c r="L112" s="606" t="str">
        <f>[90]!ТКП_Тематика</f>
        <v>BFJR</v>
      </c>
      <c r="M112" s="601"/>
      <c r="N112" s="622"/>
      <c r="O112" s="601"/>
      <c r="P112" s="616">
        <f>[90]!Результат_число</f>
        <v>0</v>
      </c>
      <c r="Q112" s="600"/>
      <c r="R112" s="600"/>
      <c r="S112" s="600"/>
    </row>
    <row r="113" spans="2:25" ht="60" hidden="1" x14ac:dyDescent="0.25">
      <c r="B113" s="591">
        <f t="shared" si="4"/>
        <v>108</v>
      </c>
      <c r="C113" s="174"/>
      <c r="D113" s="319" t="s">
        <v>1575</v>
      </c>
      <c r="E113" s="591"/>
      <c r="F113" s="604" t="s">
        <v>1552</v>
      </c>
      <c r="G113" s="600" t="s">
        <v>202</v>
      </c>
      <c r="H113" s="1341">
        <v>50000000</v>
      </c>
      <c r="I113" s="642" t="s">
        <v>1318</v>
      </c>
      <c r="J113" s="1245" t="str">
        <f>[91]!Статус</f>
        <v>20.01.25_x000D_
РСС: обновление до 24.01.25 (правки ТЗ и обновление ТКП)</v>
      </c>
      <c r="K113" s="686" t="s">
        <v>1395</v>
      </c>
      <c r="L113" s="594" t="str">
        <f>[91]!ТКП_Тематика</f>
        <v>BFI</v>
      </c>
      <c r="M113" s="591"/>
      <c r="O113" s="591"/>
      <c r="P113" s="617">
        <f>[91]!Результат_число</f>
        <v>-1</v>
      </c>
      <c r="Q113" s="595"/>
      <c r="R113" s="595"/>
      <c r="S113" s="595"/>
      <c r="T113" s="595"/>
      <c r="U113" s="98"/>
      <c r="V113" s="98"/>
      <c r="W113" s="98"/>
      <c r="X113" s="98"/>
      <c r="Y113" s="98"/>
    </row>
    <row r="114" spans="2:25" ht="33.75" hidden="1" x14ac:dyDescent="0.25">
      <c r="B114" s="591">
        <f t="shared" si="4"/>
        <v>109</v>
      </c>
      <c r="C114" s="1714"/>
      <c r="D114" s="602" t="s">
        <v>514</v>
      </c>
      <c r="E114" s="591"/>
      <c r="F114" s="604" t="s">
        <v>1368</v>
      </c>
      <c r="G114" s="784" t="s">
        <v>79</v>
      </c>
      <c r="H114" s="593">
        <v>2509240</v>
      </c>
      <c r="I114" s="642" t="s">
        <v>39</v>
      </c>
      <c r="J114" s="798">
        <f>[92]!Статус</f>
        <v>0</v>
      </c>
      <c r="K114" s="686" t="s">
        <v>1357</v>
      </c>
      <c r="L114" s="594">
        <f>[92]!ТКП_Тематика</f>
        <v>0</v>
      </c>
      <c r="M114" s="591"/>
      <c r="O114" s="591"/>
      <c r="P114" s="617">
        <f>[92]!Результат_число</f>
        <v>0</v>
      </c>
      <c r="Q114" s="595"/>
      <c r="R114" s="595"/>
      <c r="S114" s="595"/>
      <c r="T114" s="595"/>
      <c r="U114" s="98"/>
      <c r="V114" s="98"/>
      <c r="W114" s="98"/>
      <c r="X114" s="98"/>
      <c r="Y114" s="98"/>
    </row>
    <row r="115" spans="2:25" ht="30" hidden="1" x14ac:dyDescent="0.25">
      <c r="B115" s="591">
        <f t="shared" si="4"/>
        <v>110</v>
      </c>
      <c r="C115" s="174"/>
      <c r="D115" s="319" t="s">
        <v>1374</v>
      </c>
      <c r="E115" s="660"/>
      <c r="F115" s="604" t="s">
        <v>384</v>
      </c>
      <c r="G115" s="592" t="s">
        <v>1369</v>
      </c>
      <c r="H115" s="593">
        <v>2376077</v>
      </c>
      <c r="I115" s="642" t="s">
        <v>1318</v>
      </c>
      <c r="J115" s="299" t="str">
        <f>[93]!Статус</f>
        <v>11.04.24_x000D_
Отправлено</v>
      </c>
      <c r="K115" s="604" t="s">
        <v>1370</v>
      </c>
      <c r="L115" s="594" t="str">
        <f>[93]!ТКП_Тематика</f>
        <v>DI</v>
      </c>
      <c r="M115" s="591"/>
      <c r="O115" s="591"/>
      <c r="P115" s="617">
        <f>[93]!Результат_число</f>
        <v>0</v>
      </c>
      <c r="Q115" s="595"/>
      <c r="R115" s="595"/>
      <c r="S115" s="595"/>
      <c r="T115" s="595"/>
      <c r="U115" s="595"/>
      <c r="V115" s="595"/>
      <c r="W115" s="595"/>
      <c r="X115" s="595"/>
      <c r="Y115" s="595"/>
    </row>
    <row r="116" spans="2:25" ht="72" hidden="1" x14ac:dyDescent="0.25">
      <c r="B116" s="591">
        <f t="shared" si="4"/>
        <v>111</v>
      </c>
      <c r="C116" s="1714"/>
      <c r="D116" s="602" t="s">
        <v>1372</v>
      </c>
      <c r="E116" s="591"/>
      <c r="F116" s="604" t="s">
        <v>1373</v>
      </c>
      <c r="G116" s="591" t="s">
        <v>8</v>
      </c>
      <c r="H116" s="593">
        <v>2400000</v>
      </c>
      <c r="I116" s="642" t="s">
        <v>39</v>
      </c>
      <c r="J116" s="751" t="str">
        <f>[94]!Статус</f>
        <v>07.02.24-подготовка КП</v>
      </c>
      <c r="K116" s="604" t="s">
        <v>1377</v>
      </c>
      <c r="L116" s="594" t="str">
        <f>[94]!ТКП_Тематика</f>
        <v>F</v>
      </c>
      <c r="M116" s="591"/>
      <c r="O116" s="591"/>
      <c r="P116" s="617">
        <f>[94]!Результат_число</f>
        <v>0</v>
      </c>
      <c r="Q116" s="595"/>
      <c r="R116" s="595"/>
      <c r="S116" s="595"/>
      <c r="T116" s="595"/>
      <c r="U116" s="595"/>
      <c r="V116" s="595"/>
      <c r="W116" s="595"/>
      <c r="X116" s="595"/>
      <c r="Y116" s="595"/>
    </row>
    <row r="117" spans="2:25" ht="48" hidden="1" x14ac:dyDescent="0.25">
      <c r="B117" s="591">
        <f t="shared" si="4"/>
        <v>112</v>
      </c>
      <c r="C117" s="1714"/>
      <c r="D117" s="602" t="s">
        <v>1381</v>
      </c>
      <c r="E117" s="591"/>
      <c r="F117" s="604" t="s">
        <v>410</v>
      </c>
      <c r="G117" s="591" t="s">
        <v>8</v>
      </c>
      <c r="H117" s="593">
        <v>1645513</v>
      </c>
      <c r="I117" s="642"/>
      <c r="J117" s="751" t="str">
        <f>[95]!Статус</f>
        <v>08.04.24_x000D_
РСС: выданы замечания_x000D_ 05.04.24_x000D_
ОМ: требуется отправка</v>
      </c>
      <c r="K117" s="604" t="s">
        <v>1394</v>
      </c>
      <c r="L117" s="594">
        <f>[96]!ТКП_Тематика</f>
        <v>0</v>
      </c>
      <c r="M117" s="591"/>
      <c r="O117" s="591"/>
      <c r="P117" s="617">
        <v>0</v>
      </c>
      <c r="Q117" s="595"/>
      <c r="R117" s="595"/>
      <c r="S117" s="595"/>
      <c r="T117" s="595"/>
      <c r="U117" s="595"/>
      <c r="V117" s="595"/>
      <c r="W117" s="595"/>
      <c r="X117" s="595"/>
      <c r="Y117" s="595"/>
    </row>
    <row r="118" spans="2:25" ht="84" hidden="1" x14ac:dyDescent="0.25">
      <c r="B118" s="591">
        <f t="shared" si="4"/>
        <v>113</v>
      </c>
      <c r="C118" s="1714"/>
      <c r="D118" s="602" t="s">
        <v>1382</v>
      </c>
      <c r="E118" s="591"/>
      <c r="F118" s="604" t="s">
        <v>1383</v>
      </c>
      <c r="G118" s="591" t="s">
        <v>1384</v>
      </c>
      <c r="H118" s="593">
        <v>3740868</v>
      </c>
      <c r="I118" s="642" t="s">
        <v>88</v>
      </c>
      <c r="J118" s="751">
        <f>[97]!Статус</f>
        <v>0</v>
      </c>
      <c r="K118" s="604" t="s">
        <v>1385</v>
      </c>
      <c r="L118" s="594">
        <f>[96]!ТКП_Тематика</f>
        <v>0</v>
      </c>
      <c r="M118" s="591"/>
      <c r="O118" s="591"/>
      <c r="P118" s="617">
        <v>0</v>
      </c>
      <c r="Q118" s="595"/>
      <c r="R118" s="595"/>
      <c r="S118" s="595"/>
      <c r="T118" s="595"/>
      <c r="U118" s="595"/>
      <c r="V118" s="595"/>
      <c r="W118" s="595"/>
      <c r="X118" s="595"/>
      <c r="Y118" s="595"/>
    </row>
    <row r="119" spans="2:25" ht="48" hidden="1" x14ac:dyDescent="0.25">
      <c r="B119" s="591">
        <f t="shared" si="4"/>
        <v>114</v>
      </c>
      <c r="C119" s="1714"/>
      <c r="D119" s="602" t="s">
        <v>1387</v>
      </c>
      <c r="E119" s="591"/>
      <c r="F119" s="604" t="s">
        <v>1388</v>
      </c>
      <c r="G119" s="592" t="s">
        <v>1389</v>
      </c>
      <c r="H119" s="593">
        <v>20128273</v>
      </c>
      <c r="I119" s="642" t="s">
        <v>1296</v>
      </c>
      <c r="J119" s="751" t="str">
        <f>[98]!Статус</f>
        <v>11.04.24_x000D_
Отправлено</v>
      </c>
      <c r="K119" s="604" t="s">
        <v>1390</v>
      </c>
      <c r="L119" s="594">
        <f>[96]!ТКП_Тематика</f>
        <v>0</v>
      </c>
      <c r="M119" s="591"/>
      <c r="O119" s="591"/>
      <c r="P119" s="617">
        <v>0</v>
      </c>
      <c r="Q119" s="595"/>
      <c r="R119" s="595"/>
      <c r="S119" s="595"/>
      <c r="T119" s="595"/>
      <c r="U119" s="595"/>
      <c r="V119" s="595"/>
      <c r="W119" s="595"/>
      <c r="X119" s="595"/>
      <c r="Y119" s="595"/>
    </row>
    <row r="120" spans="2:25" ht="48" hidden="1" x14ac:dyDescent="0.25">
      <c r="B120" s="591">
        <f t="shared" si="4"/>
        <v>115</v>
      </c>
      <c r="C120" s="1714"/>
      <c r="D120" s="602" t="s">
        <v>1391</v>
      </c>
      <c r="E120" s="591"/>
      <c r="F120" s="604" t="s">
        <v>1404</v>
      </c>
      <c r="G120" s="591" t="s">
        <v>8</v>
      </c>
      <c r="H120" s="593">
        <v>120000000</v>
      </c>
      <c r="I120" s="642" t="s">
        <v>1318</v>
      </c>
      <c r="J120" s="751" t="str">
        <f>[96]!Статус</f>
        <v>10.04.24_x000D_
Заказчик: доформирование требований._x000D_
РСС: сделана черновая проработка и отправлена заказчику 19 млрд.</v>
      </c>
      <c r="K120" s="604" t="s">
        <v>1415</v>
      </c>
      <c r="L120" s="594">
        <f>[96]!ТКП_Тематика</f>
        <v>0</v>
      </c>
      <c r="M120" s="591"/>
      <c r="O120" s="591"/>
      <c r="P120" s="617">
        <f>[96]!Результат_число</f>
        <v>0</v>
      </c>
      <c r="Q120" s="595"/>
      <c r="R120" s="595"/>
      <c r="S120" s="595"/>
      <c r="T120" s="595"/>
      <c r="U120" s="595"/>
      <c r="V120" s="595"/>
      <c r="W120" s="595"/>
      <c r="X120" s="595"/>
      <c r="Y120" s="595"/>
    </row>
    <row r="121" spans="2:25" ht="78.75" hidden="1" x14ac:dyDescent="0.25">
      <c r="B121" s="591">
        <f t="shared" si="4"/>
        <v>116</v>
      </c>
      <c r="C121" s="1714"/>
      <c r="D121" s="663" t="s">
        <v>1393</v>
      </c>
      <c r="E121" s="591"/>
      <c r="F121" s="604" t="s">
        <v>1492</v>
      </c>
      <c r="G121" s="594" t="s">
        <v>1392</v>
      </c>
      <c r="H121" s="593">
        <v>80000000</v>
      </c>
      <c r="I121" s="642" t="s">
        <v>1507</v>
      </c>
      <c r="J121" s="692" t="str">
        <f>[99]!Статус</f>
        <v>02.10.24_x000D_
Отправлено заказчику 2315/1 от 02.10.24</v>
      </c>
      <c r="K121" s="686" t="s">
        <v>1548</v>
      </c>
      <c r="L121" s="594" t="str">
        <f>[99]!ТКП_Тематика</f>
        <v>BFI</v>
      </c>
      <c r="M121" s="591"/>
      <c r="O121" s="591"/>
      <c r="P121" s="617">
        <f>[99]!Результат_число</f>
        <v>0</v>
      </c>
      <c r="Q121" s="595"/>
      <c r="R121" s="595"/>
      <c r="S121" s="595"/>
      <c r="T121" s="595"/>
      <c r="U121" s="98"/>
      <c r="V121" s="98"/>
      <c r="W121" s="98"/>
      <c r="X121" s="98"/>
      <c r="Y121" s="98"/>
    </row>
    <row r="122" spans="2:25" ht="36" hidden="1" x14ac:dyDescent="0.25">
      <c r="B122" s="708">
        <f t="shared" si="4"/>
        <v>117</v>
      </c>
      <c r="C122" s="1714"/>
      <c r="D122" s="697" t="s">
        <v>1408</v>
      </c>
      <c r="E122" s="708"/>
      <c r="F122" s="709" t="s">
        <v>1402</v>
      </c>
      <c r="G122" s="708" t="s">
        <v>27</v>
      </c>
      <c r="H122" s="700">
        <v>15000000</v>
      </c>
      <c r="I122" s="702" t="s">
        <v>1329</v>
      </c>
      <c r="J122" s="760" t="str">
        <f>[100]!Статус</f>
        <v>15.04.24_x000D_
352 канала динамики. Принципиально наличие LabView RT (linux)</v>
      </c>
      <c r="K122" s="709" t="s">
        <v>1411</v>
      </c>
      <c r="L122" s="594" t="str">
        <f>[100]!ТКП_Тематика</f>
        <v>NDF</v>
      </c>
      <c r="M122" s="591"/>
      <c r="O122" s="591"/>
      <c r="P122" s="591">
        <f>[100]!Результат_число</f>
        <v>0</v>
      </c>
      <c r="Q122" s="595"/>
      <c r="R122" s="595"/>
      <c r="S122" s="595"/>
      <c r="T122" s="595"/>
      <c r="U122" s="595"/>
      <c r="V122" s="595"/>
      <c r="W122" s="595"/>
      <c r="X122" s="595"/>
      <c r="Y122" s="595"/>
    </row>
    <row r="123" spans="2:25" ht="24" hidden="1" x14ac:dyDescent="0.25">
      <c r="B123" s="591">
        <f t="shared" si="4"/>
        <v>118</v>
      </c>
      <c r="C123" s="1714"/>
      <c r="D123" s="664" t="s">
        <v>1406</v>
      </c>
      <c r="E123" s="591"/>
      <c r="F123" s="604" t="s">
        <v>1407</v>
      </c>
      <c r="G123" s="591" t="s">
        <v>1403</v>
      </c>
      <c r="H123" s="593">
        <v>5000000</v>
      </c>
      <c r="I123" s="642" t="s">
        <v>1234</v>
      </c>
      <c r="J123" s="618" t="str">
        <f>[101]!Статус</f>
        <v>11.04.24_x000D_
ОМ: отправка до 15.04.24</v>
      </c>
      <c r="K123" s="604"/>
      <c r="L123" s="594" t="str">
        <f>[101]!ТКП_Тематика</f>
        <v>DN</v>
      </c>
      <c r="M123" s="591"/>
      <c r="O123" s="591"/>
      <c r="P123" s="617">
        <f>[101]!Результат_число</f>
        <v>0</v>
      </c>
      <c r="Q123" s="595"/>
      <c r="R123" s="595"/>
      <c r="S123" s="595"/>
      <c r="T123" s="595"/>
      <c r="U123" s="98"/>
      <c r="V123" s="98"/>
      <c r="W123" s="98"/>
      <c r="X123" s="98"/>
      <c r="Y123" s="98"/>
    </row>
    <row r="124" spans="2:25" ht="45" hidden="1" x14ac:dyDescent="0.25">
      <c r="B124" s="591">
        <v>274</v>
      </c>
      <c r="C124" s="174"/>
      <c r="D124" s="319" t="s">
        <v>1494</v>
      </c>
      <c r="E124" s="591"/>
      <c r="F124" s="604" t="s">
        <v>1493</v>
      </c>
      <c r="G124" s="604" t="s">
        <v>1392</v>
      </c>
      <c r="H124" s="593">
        <v>50000000</v>
      </c>
      <c r="I124" s="642" t="s">
        <v>1507</v>
      </c>
      <c r="J124" s="299" t="str">
        <f>[102]!Статус</f>
        <v>17.09.24_x000D_
отправлено заказчику 04.09.24</v>
      </c>
      <c r="K124" s="686" t="s">
        <v>1532</v>
      </c>
      <c r="L124" s="594" t="str">
        <f>[102]!ТКП_Тематика</f>
        <v>B</v>
      </c>
      <c r="M124" s="591"/>
      <c r="N124" s="591"/>
      <c r="O124" s="591"/>
      <c r="P124" s="691">
        <f>[102]!Результат_число</f>
        <v>0</v>
      </c>
      <c r="Q124" s="595"/>
      <c r="R124" s="595"/>
      <c r="S124" s="595"/>
      <c r="T124" s="595"/>
      <c r="U124" s="98"/>
      <c r="V124" s="98"/>
      <c r="W124" s="98"/>
      <c r="X124" s="98"/>
      <c r="Y124" s="98"/>
    </row>
    <row r="125" spans="2:25" ht="45" hidden="1" x14ac:dyDescent="0.25">
      <c r="B125" s="543">
        <f t="shared" ref="B125:B138" si="5">ROW()-ROW($B$5)</f>
        <v>120</v>
      </c>
      <c r="C125" s="543"/>
      <c r="D125" s="854" t="s">
        <v>1398</v>
      </c>
      <c r="E125" s="543"/>
      <c r="F125" s="604" t="s">
        <v>1405</v>
      </c>
      <c r="G125" s="604" t="s">
        <v>1427</v>
      </c>
      <c r="H125" s="593">
        <v>80000000</v>
      </c>
      <c r="I125" s="642" t="s">
        <v>378</v>
      </c>
      <c r="J125" s="693" t="str">
        <f>[103]!Статус</f>
        <v>24.07.24_x000D_
РСС: Проработка ТЗ до 30.07.24 (Скрипник Ар)</v>
      </c>
      <c r="K125" s="686" t="s">
        <v>1435</v>
      </c>
      <c r="L125" s="594" t="str">
        <f>[103]!ТКП_Тематика</f>
        <v>BFI</v>
      </c>
      <c r="M125" s="591"/>
      <c r="O125" s="591"/>
      <c r="P125" s="617">
        <f>[103]!Результат_число</f>
        <v>-1</v>
      </c>
      <c r="Q125" s="595"/>
      <c r="R125" s="595"/>
      <c r="S125" s="595"/>
      <c r="T125" s="595"/>
      <c r="U125" s="98"/>
      <c r="V125" s="98"/>
      <c r="W125" s="98"/>
      <c r="X125" s="98"/>
      <c r="Y125" s="98"/>
    </row>
    <row r="126" spans="2:25" ht="33.75" hidden="1" x14ac:dyDescent="0.25">
      <c r="B126" s="591">
        <f t="shared" si="5"/>
        <v>121</v>
      </c>
      <c r="C126" s="1714"/>
      <c r="D126" s="602" t="s">
        <v>1400</v>
      </c>
      <c r="E126" s="591"/>
      <c r="F126" s="604" t="s">
        <v>1401</v>
      </c>
      <c r="G126" s="604" t="s">
        <v>8</v>
      </c>
      <c r="H126" s="593">
        <v>100000000</v>
      </c>
      <c r="I126" s="642" t="s">
        <v>1318</v>
      </c>
      <c r="J126" s="693" t="str">
        <f>[104]!Статус</f>
        <v>03.06.24_x000D_
Проработана и отправлена измерительная часть</v>
      </c>
      <c r="K126" s="686" t="s">
        <v>1519</v>
      </c>
      <c r="L126" s="594">
        <f>[104]!ТКП_Тематика</f>
        <v>0</v>
      </c>
      <c r="M126" s="591"/>
      <c r="O126" s="591"/>
      <c r="P126" s="617">
        <f>[104]!Результат_число</f>
        <v>-1</v>
      </c>
      <c r="Q126" s="595"/>
      <c r="R126" s="595"/>
      <c r="S126" s="595"/>
      <c r="T126" s="595"/>
      <c r="U126" s="98"/>
      <c r="V126" s="98"/>
      <c r="W126" s="98"/>
      <c r="X126" s="98"/>
      <c r="Y126" s="98"/>
    </row>
    <row r="127" spans="2:25" ht="60" hidden="1" x14ac:dyDescent="0.25">
      <c r="B127" s="591">
        <f t="shared" si="5"/>
        <v>122</v>
      </c>
      <c r="C127" s="1714"/>
      <c r="D127" s="602" t="s">
        <v>1428</v>
      </c>
      <c r="E127" s="591"/>
      <c r="F127" s="604" t="s">
        <v>1429</v>
      </c>
      <c r="G127" s="604" t="s">
        <v>1430</v>
      </c>
      <c r="H127" s="593">
        <v>30000000</v>
      </c>
      <c r="I127" s="642" t="s">
        <v>1318</v>
      </c>
      <c r="J127" s="667" t="str">
        <f>[105]!Статус</f>
        <v>02.05.24_x000D_
0</v>
      </c>
      <c r="K127" s="604" t="s">
        <v>1455</v>
      </c>
      <c r="L127" s="594">
        <f>[105]!ТКП_Тематика</f>
        <v>0</v>
      </c>
      <c r="M127" s="591"/>
      <c r="N127" s="591"/>
      <c r="O127" s="595"/>
      <c r="P127" s="617">
        <f>[105]!Результат_число</f>
        <v>-1</v>
      </c>
      <c r="Q127" s="595"/>
      <c r="R127" s="595"/>
      <c r="S127" s="595"/>
      <c r="T127" s="595"/>
      <c r="U127" s="98"/>
      <c r="V127" s="98"/>
      <c r="W127" s="98"/>
      <c r="X127" s="98"/>
      <c r="Y127" s="98"/>
    </row>
    <row r="128" spans="2:25" ht="60" hidden="1" x14ac:dyDescent="0.25">
      <c r="B128" s="591">
        <f t="shared" si="5"/>
        <v>123</v>
      </c>
      <c r="C128" s="174"/>
      <c r="D128" s="319" t="s">
        <v>1431</v>
      </c>
      <c r="E128" s="591"/>
      <c r="F128" s="604" t="s">
        <v>1445</v>
      </c>
      <c r="G128" s="604" t="s">
        <v>1213</v>
      </c>
      <c r="H128" s="593">
        <v>25000000</v>
      </c>
      <c r="I128" s="669" t="s">
        <v>1318</v>
      </c>
      <c r="J128" s="761" t="str">
        <f>[106]!Статус</f>
        <v>06.05.24_x000D_
РСС: проработано, заданы вопросы заказчику_x000D_
ОМ: подготовка предварительного ТКП до 20.05.24</v>
      </c>
      <c r="K128" s="670" t="s">
        <v>1453</v>
      </c>
      <c r="L128" s="594" t="str">
        <f>[106]!ТКП_Тематика</f>
        <v>BJ</v>
      </c>
      <c r="M128" s="591"/>
      <c r="N128" s="617">
        <v>1</v>
      </c>
      <c r="O128" s="595"/>
      <c r="P128" s="617">
        <f>[106]!Результат_число</f>
        <v>0</v>
      </c>
      <c r="Q128" s="595"/>
      <c r="R128" s="595"/>
      <c r="S128" s="595"/>
      <c r="T128" s="595"/>
      <c r="U128" s="98"/>
      <c r="V128" s="98"/>
      <c r="W128" s="98"/>
      <c r="X128" s="98"/>
      <c r="Y128" s="98"/>
    </row>
    <row r="129" spans="2:26" ht="24" hidden="1" x14ac:dyDescent="0.25">
      <c r="B129" s="591">
        <f t="shared" si="5"/>
        <v>124</v>
      </c>
      <c r="C129" s="1714"/>
      <c r="D129" s="663" t="s">
        <v>1412</v>
      </c>
      <c r="E129" s="591"/>
      <c r="F129" s="604" t="s">
        <v>1413</v>
      </c>
      <c r="G129" s="604" t="s">
        <v>1414</v>
      </c>
      <c r="H129" s="593"/>
      <c r="I129" s="606" t="s">
        <v>1329</v>
      </c>
      <c r="J129" s="667">
        <f>[107]!Статус</f>
        <v>0</v>
      </c>
      <c r="K129" s="604" t="s">
        <v>1436</v>
      </c>
      <c r="L129" s="594" t="str">
        <f>[107]!ТКП_Тематика</f>
        <v>FLK</v>
      </c>
      <c r="M129" s="591"/>
      <c r="O129" s="591"/>
      <c r="P129" s="617">
        <f>[107]!Результат_число</f>
        <v>-1</v>
      </c>
      <c r="Q129" s="595"/>
      <c r="R129" s="595"/>
      <c r="S129" s="595"/>
      <c r="T129" s="595"/>
      <c r="U129" s="98"/>
      <c r="V129" s="98"/>
      <c r="W129" s="98"/>
      <c r="X129" s="98"/>
      <c r="Y129" s="98"/>
    </row>
    <row r="130" spans="2:26" ht="24" hidden="1" x14ac:dyDescent="0.25">
      <c r="B130" s="591">
        <f t="shared" si="5"/>
        <v>125</v>
      </c>
      <c r="C130" s="1714"/>
      <c r="D130" s="602" t="s">
        <v>1416</v>
      </c>
      <c r="E130" s="591"/>
      <c r="F130" s="604" t="s">
        <v>1417</v>
      </c>
      <c r="G130" s="592" t="s">
        <v>8</v>
      </c>
      <c r="H130" s="593">
        <v>32983540</v>
      </c>
      <c r="I130" s="642" t="s">
        <v>39</v>
      </c>
      <c r="J130" s="751">
        <f>[108]!Статус</f>
        <v>0</v>
      </c>
      <c r="K130" s="604" t="s">
        <v>1418</v>
      </c>
      <c r="L130" s="594">
        <f>[108]!ТКП_Тематика</f>
        <v>0</v>
      </c>
      <c r="M130" s="591"/>
      <c r="O130" s="591"/>
      <c r="P130" s="591">
        <f>[108]!Результат_число</f>
        <v>0</v>
      </c>
      <c r="Q130" s="595"/>
      <c r="R130" s="595"/>
      <c r="S130" s="595"/>
      <c r="T130" s="595"/>
      <c r="U130" s="595"/>
      <c r="V130" s="595"/>
      <c r="W130" s="595"/>
      <c r="X130" s="595"/>
      <c r="Y130" s="595"/>
    </row>
    <row r="131" spans="2:26" ht="24" hidden="1" x14ac:dyDescent="0.25">
      <c r="B131" s="591">
        <f t="shared" si="5"/>
        <v>126</v>
      </c>
      <c r="C131" s="1714"/>
      <c r="D131" s="602" t="s">
        <v>1419</v>
      </c>
      <c r="E131" s="591"/>
      <c r="F131" s="604" t="s">
        <v>1420</v>
      </c>
      <c r="G131" s="592" t="s">
        <v>8</v>
      </c>
      <c r="H131" s="593">
        <v>41173300</v>
      </c>
      <c r="I131" s="642" t="s">
        <v>39</v>
      </c>
      <c r="J131" s="751">
        <f>[108]!Статус</f>
        <v>0</v>
      </c>
      <c r="K131" s="604" t="s">
        <v>1418</v>
      </c>
      <c r="L131" s="594">
        <f>[108]!ТКП_Тематика</f>
        <v>0</v>
      </c>
      <c r="M131" s="591"/>
      <c r="O131" s="591"/>
      <c r="P131" s="591">
        <f>[108]!Результат_число</f>
        <v>0</v>
      </c>
      <c r="Q131" s="595"/>
      <c r="R131" s="595"/>
      <c r="S131" s="595"/>
      <c r="T131" s="595"/>
      <c r="U131" s="595"/>
      <c r="V131" s="595"/>
      <c r="W131" s="595"/>
      <c r="X131" s="595"/>
      <c r="Y131" s="595"/>
    </row>
    <row r="132" spans="2:26" ht="24" hidden="1" x14ac:dyDescent="0.25">
      <c r="B132" s="591">
        <f t="shared" si="5"/>
        <v>127</v>
      </c>
      <c r="C132" s="1714"/>
      <c r="D132" s="602" t="s">
        <v>1421</v>
      </c>
      <c r="E132" s="591"/>
      <c r="F132" s="604" t="s">
        <v>1422</v>
      </c>
      <c r="G132" s="592" t="s">
        <v>8</v>
      </c>
      <c r="H132" s="593">
        <v>20654000</v>
      </c>
      <c r="I132" s="642" t="s">
        <v>39</v>
      </c>
      <c r="J132" s="751">
        <f>[108]!Статус</f>
        <v>0</v>
      </c>
      <c r="K132" s="604" t="s">
        <v>1418</v>
      </c>
      <c r="L132" s="594">
        <f>[108]!ТКП_Тематика</f>
        <v>0</v>
      </c>
      <c r="M132" s="591"/>
      <c r="O132" s="591"/>
      <c r="P132" s="591">
        <f>[108]!Результат_число</f>
        <v>0</v>
      </c>
      <c r="Q132" s="595"/>
      <c r="R132" s="595"/>
      <c r="S132" s="595"/>
      <c r="T132" s="595"/>
      <c r="U132" s="595"/>
      <c r="V132" s="595"/>
      <c r="W132" s="595"/>
      <c r="X132" s="595"/>
      <c r="Y132" s="595"/>
    </row>
    <row r="133" spans="2:26" ht="36" hidden="1" x14ac:dyDescent="0.25">
      <c r="B133" s="591">
        <f t="shared" si="5"/>
        <v>128</v>
      </c>
      <c r="C133" s="1714"/>
      <c r="D133" s="602" t="s">
        <v>1424</v>
      </c>
      <c r="E133" s="591"/>
      <c r="F133" s="604" t="s">
        <v>1425</v>
      </c>
      <c r="G133" s="592" t="s">
        <v>1426</v>
      </c>
      <c r="H133" s="593">
        <v>1650000</v>
      </c>
      <c r="I133" s="642" t="s">
        <v>92</v>
      </c>
      <c r="J133" s="618">
        <f>[109]!Статус</f>
        <v>0</v>
      </c>
      <c r="K133" s="604" t="s">
        <v>1444</v>
      </c>
      <c r="L133" s="594" t="str">
        <f>[109]!ТКП_Тематика</f>
        <v>D</v>
      </c>
      <c r="M133" s="591"/>
      <c r="O133" s="591"/>
      <c r="P133" s="591">
        <f>[109]!Результат_число</f>
        <v>0</v>
      </c>
      <c r="Q133" s="595"/>
      <c r="R133" s="595"/>
      <c r="S133" s="595"/>
      <c r="T133" s="595"/>
      <c r="U133" s="98"/>
      <c r="V133" s="98"/>
      <c r="W133" s="98"/>
      <c r="X133" s="98"/>
      <c r="Y133" s="98"/>
    </row>
    <row r="134" spans="2:26" ht="48" hidden="1" x14ac:dyDescent="0.25">
      <c r="B134" s="591">
        <f t="shared" si="5"/>
        <v>129</v>
      </c>
      <c r="C134" s="1714"/>
      <c r="D134" s="602" t="s">
        <v>1432</v>
      </c>
      <c r="E134" s="591"/>
      <c r="F134" s="604" t="s">
        <v>1433</v>
      </c>
      <c r="G134" s="604" t="s">
        <v>1434</v>
      </c>
      <c r="H134" s="593">
        <v>34425054</v>
      </c>
      <c r="I134" s="642" t="s">
        <v>1318</v>
      </c>
      <c r="J134" s="667" t="str">
        <f>[110]!Статус</f>
        <v>06.05.24_x000D_
РСС: созвон, уточнить мнение до 15.05.24</v>
      </c>
      <c r="K134" s="604" t="s">
        <v>1446</v>
      </c>
      <c r="L134" s="594" t="str">
        <f>[110]!ТКП_Тематика</f>
        <v>BJM</v>
      </c>
      <c r="M134" s="591"/>
      <c r="O134" s="591"/>
      <c r="P134" s="617">
        <f>[110]!Результат_число</f>
        <v>0</v>
      </c>
      <c r="Q134" s="595"/>
      <c r="R134" s="595"/>
      <c r="S134" s="595"/>
      <c r="T134" s="595"/>
      <c r="U134" s="595"/>
      <c r="V134" s="595"/>
      <c r="W134" s="595"/>
      <c r="X134" s="595"/>
      <c r="Y134" s="595"/>
      <c r="Z134" s="595"/>
    </row>
    <row r="135" spans="2:26" ht="72" hidden="1" x14ac:dyDescent="0.25">
      <c r="B135" s="591">
        <f t="shared" si="5"/>
        <v>130</v>
      </c>
      <c r="C135" s="1714"/>
      <c r="D135" s="663" t="s">
        <v>1437</v>
      </c>
      <c r="E135" s="591"/>
      <c r="F135" s="604" t="s">
        <v>1438</v>
      </c>
      <c r="G135" s="604" t="s">
        <v>1439</v>
      </c>
      <c r="H135" s="593">
        <v>25000000</v>
      </c>
      <c r="I135" s="642" t="s">
        <v>92</v>
      </c>
      <c r="J135" s="667" t="str">
        <f>[111]!Статус</f>
        <v>20.05.24_x000D_
РСС: Согласование матрицы отв. с заказчиком/ обсудить ТКП с А.Мамоновым до 24.05.024</v>
      </c>
      <c r="K135" s="604" t="s">
        <v>1463</v>
      </c>
      <c r="L135" s="594" t="str">
        <f>[112]!ТКП_Тематика</f>
        <v>I</v>
      </c>
      <c r="M135" s="591"/>
      <c r="O135" s="591"/>
      <c r="P135" s="617">
        <f>[112]!Результат_число</f>
        <v>0</v>
      </c>
      <c r="Q135" s="595"/>
      <c r="R135" s="595"/>
      <c r="S135" s="595"/>
      <c r="T135" s="595"/>
      <c r="U135" s="595"/>
      <c r="V135" s="595"/>
      <c r="W135" s="595"/>
      <c r="X135" s="595"/>
      <c r="Y135" s="595"/>
      <c r="Z135" s="595"/>
    </row>
    <row r="136" spans="2:26" ht="60" hidden="1" x14ac:dyDescent="0.25">
      <c r="B136" s="591">
        <f t="shared" si="5"/>
        <v>131</v>
      </c>
      <c r="C136" s="1714"/>
      <c r="D136" s="602" t="s">
        <v>1440</v>
      </c>
      <c r="E136" s="591"/>
      <c r="F136" s="604" t="s">
        <v>1441</v>
      </c>
      <c r="G136" s="604" t="s">
        <v>1442</v>
      </c>
      <c r="H136" s="593" t="s">
        <v>49</v>
      </c>
      <c r="I136" s="642"/>
      <c r="J136" s="667" t="str">
        <f>[112]!Статус</f>
        <v>06.05.24_x000D_
ОМ: оформление и отправка ТКП до 20.05.24</v>
      </c>
      <c r="K136" s="604" t="s">
        <v>1443</v>
      </c>
      <c r="L136" s="594" t="str">
        <f>[112]!ТКП_Тематика</f>
        <v>I</v>
      </c>
      <c r="M136" s="591"/>
      <c r="O136" s="591"/>
      <c r="P136" s="617">
        <f>[112]!Результат_число</f>
        <v>0</v>
      </c>
      <c r="Q136" s="595"/>
      <c r="R136" s="595"/>
      <c r="S136" s="595"/>
      <c r="T136" s="595"/>
      <c r="U136" s="595"/>
      <c r="V136" s="595"/>
      <c r="W136" s="595"/>
      <c r="X136" s="595"/>
      <c r="Y136" s="595"/>
      <c r="Z136" s="595"/>
    </row>
    <row r="137" spans="2:26" ht="72" hidden="1" x14ac:dyDescent="0.25">
      <c r="B137" s="591">
        <f t="shared" si="5"/>
        <v>132</v>
      </c>
      <c r="C137" s="1714"/>
      <c r="D137" s="602" t="s">
        <v>1447</v>
      </c>
      <c r="E137" s="591"/>
      <c r="F137" s="604" t="s">
        <v>1448</v>
      </c>
      <c r="G137" s="604" t="s">
        <v>1449</v>
      </c>
      <c r="H137" s="593"/>
      <c r="I137" s="642" t="s">
        <v>1318</v>
      </c>
      <c r="J137" s="667" t="str">
        <f>[112]!Статус</f>
        <v>06.05.24_x000D_
ОМ: оформление и отправка ТКП до 20.05.24</v>
      </c>
      <c r="K137" s="604" t="s">
        <v>1460</v>
      </c>
      <c r="L137" s="594" t="str">
        <f>[112]!ТКП_Тематика</f>
        <v>I</v>
      </c>
      <c r="M137" s="591"/>
      <c r="O137" s="591"/>
      <c r="P137" s="617">
        <f>[112]!Результат_число</f>
        <v>0</v>
      </c>
      <c r="Q137" s="595"/>
      <c r="R137" s="595"/>
      <c r="S137" s="595"/>
      <c r="T137" s="595"/>
      <c r="U137" s="595"/>
      <c r="V137" s="595"/>
      <c r="W137" s="595"/>
      <c r="X137" s="595"/>
      <c r="Y137" s="595"/>
      <c r="Z137" s="595"/>
    </row>
    <row r="138" spans="2:26" ht="48" hidden="1" x14ac:dyDescent="0.25">
      <c r="B138" s="591">
        <f t="shared" si="5"/>
        <v>133</v>
      </c>
      <c r="C138" s="1714"/>
      <c r="D138" s="664" t="s">
        <v>1450</v>
      </c>
      <c r="E138" s="591">
        <v>3080</v>
      </c>
      <c r="F138" s="604" t="s">
        <v>56</v>
      </c>
      <c r="G138" s="604" t="s">
        <v>1451</v>
      </c>
      <c r="H138" s="593">
        <f>[113]!Сумма</f>
        <v>3900000</v>
      </c>
      <c r="I138" s="642" t="s">
        <v>1349</v>
      </c>
      <c r="J138" s="667" t="str">
        <f>[113]!Статус</f>
        <v>14.05.24_x000D_
ОМ: требуется учесть ПО</v>
      </c>
      <c r="K138" s="604" t="s">
        <v>1452</v>
      </c>
      <c r="L138" s="594" t="str">
        <f>[113]!ТКП_Тематика</f>
        <v>FR</v>
      </c>
      <c r="M138" s="591"/>
      <c r="O138" s="591"/>
      <c r="P138" s="617">
        <f>[113]!Результат_число</f>
        <v>0</v>
      </c>
      <c r="Q138" s="595"/>
      <c r="R138" s="595"/>
      <c r="S138" s="595"/>
      <c r="T138" s="595"/>
      <c r="U138" s="595"/>
      <c r="V138" s="595"/>
      <c r="W138" s="595"/>
      <c r="X138" s="595"/>
      <c r="Y138" s="595"/>
      <c r="Z138" s="595"/>
    </row>
    <row r="139" spans="2:26" ht="33.75" hidden="1" x14ac:dyDescent="0.25">
      <c r="B139" s="591">
        <v>290</v>
      </c>
      <c r="C139" s="174"/>
      <c r="D139" s="319" t="s">
        <v>1464</v>
      </c>
      <c r="E139" s="673"/>
      <c r="F139" s="604" t="s">
        <v>677</v>
      </c>
      <c r="G139" s="42" t="s">
        <v>1465</v>
      </c>
      <c r="H139" s="37"/>
      <c r="I139" s="103" t="s">
        <v>1318</v>
      </c>
      <c r="J139" s="692" t="str">
        <f>[114]!Статус</f>
        <v>17.06.24_x000D_
Отказ_x000D_. отсутствуют наши работы</v>
      </c>
      <c r="K139" s="682" t="s">
        <v>1469</v>
      </c>
      <c r="L139" s="103">
        <f>[114]!ТКП_Тематика</f>
        <v>0</v>
      </c>
      <c r="M139" s="72"/>
      <c r="N139" s="35"/>
      <c r="O139" s="1"/>
      <c r="P139" s="51">
        <f>[114]!Результат_число</f>
        <v>-1</v>
      </c>
      <c r="Q139" s="35"/>
      <c r="R139" s="595"/>
      <c r="S139" s="595"/>
      <c r="T139" s="595"/>
      <c r="U139" s="595"/>
      <c r="V139" s="595"/>
      <c r="W139" s="595"/>
      <c r="X139" s="595"/>
      <c r="Y139" s="595"/>
      <c r="Z139" s="595"/>
    </row>
    <row r="140" spans="2:26" ht="33.75" hidden="1" x14ac:dyDescent="0.25">
      <c r="B140" s="591">
        <f t="shared" ref="B140:B145" si="6">ROW()-ROW($B$5)</f>
        <v>135</v>
      </c>
      <c r="C140" s="1714"/>
      <c r="D140" s="602" t="s">
        <v>1461</v>
      </c>
      <c r="E140" s="673"/>
      <c r="F140" s="674" t="s">
        <v>777</v>
      </c>
      <c r="G140" s="42" t="s">
        <v>47</v>
      </c>
      <c r="H140" s="1032">
        <v>30000000</v>
      </c>
      <c r="I140" s="674" t="s">
        <v>423</v>
      </c>
      <c r="J140" s="693" t="str">
        <f>[115]!Статус</f>
        <v>11.09.24_x000D_
ОМ: конкурс не состоялся_x000D_
ожидаем правки ТЗ?</v>
      </c>
      <c r="K140" s="685" t="s">
        <v>1459</v>
      </c>
      <c r="L140" s="103">
        <v>0</v>
      </c>
      <c r="M140" s="72"/>
      <c r="N140" s="35"/>
      <c r="O140" s="35"/>
      <c r="P140" s="51">
        <f>[115]!Результат_число</f>
        <v>-1</v>
      </c>
      <c r="Q140" s="35"/>
      <c r="R140" s="35"/>
      <c r="S140" s="595"/>
      <c r="T140" s="595"/>
      <c r="U140" s="595"/>
      <c r="V140" s="595"/>
      <c r="W140" s="595"/>
      <c r="X140" s="595"/>
      <c r="Y140" s="595"/>
      <c r="Z140" s="595"/>
    </row>
    <row r="141" spans="2:26" ht="84" hidden="1" x14ac:dyDescent="0.25">
      <c r="B141" s="591">
        <f t="shared" si="6"/>
        <v>136</v>
      </c>
      <c r="C141" s="1714"/>
      <c r="D141" s="602" t="s">
        <v>1456</v>
      </c>
      <c r="E141" s="673"/>
      <c r="F141" s="674" t="s">
        <v>1457</v>
      </c>
      <c r="G141" s="604" t="s">
        <v>1458</v>
      </c>
      <c r="H141" s="593">
        <v>7000000</v>
      </c>
      <c r="I141" s="594" t="s">
        <v>92</v>
      </c>
      <c r="J141" s="692" t="str">
        <f>[116]!Статус</f>
        <v>09.07.24_x000D_
РСС: эскиз , передан в умп для расчета ТКП - 11.06.24_x000D_
ОМ: расчет ТКП до 17.06.24</v>
      </c>
      <c r="K141" s="604" t="s">
        <v>1468</v>
      </c>
      <c r="L141" s="594" t="str">
        <f>[116]!ТКП_Тематика</f>
        <v>Тензостатика</v>
      </c>
      <c r="M141" s="675"/>
      <c r="N141" s="672"/>
      <c r="O141" s="591"/>
      <c r="P141" s="591">
        <f>[116]!Результат_число</f>
        <v>0</v>
      </c>
      <c r="Q141" s="591"/>
      <c r="R141" s="591"/>
      <c r="S141" s="595"/>
      <c r="T141" s="595"/>
      <c r="U141" s="595"/>
      <c r="V141" s="595"/>
      <c r="W141" s="595"/>
      <c r="X141" s="595"/>
      <c r="Y141" s="595"/>
      <c r="Z141" s="595"/>
    </row>
    <row r="142" spans="2:26" ht="60" hidden="1" x14ac:dyDescent="0.25">
      <c r="B142" s="1547">
        <f t="shared" si="6"/>
        <v>137</v>
      </c>
      <c r="C142" s="1724"/>
      <c r="D142" s="663" t="s">
        <v>1546</v>
      </c>
      <c r="E142" s="1555"/>
      <c r="F142" s="1554" t="s">
        <v>60</v>
      </c>
      <c r="G142" s="1554" t="s">
        <v>1547</v>
      </c>
      <c r="H142" s="1556">
        <v>90000000</v>
      </c>
      <c r="I142" s="1555" t="s">
        <v>92</v>
      </c>
      <c r="J142" s="1557" t="str">
        <f>[117]!Статус</f>
        <v>04.07.25_x000D_
Согласно созвону от 04.07.25 ОКБ Африкантова ожидает что мы запускаем по одному экземпляру оборудования. Гарантийное письмо до 20.07.25</v>
      </c>
      <c r="K142" s="1558" t="s">
        <v>2045</v>
      </c>
      <c r="L142" s="1544" t="str">
        <f>[117]!ТКП_Тематика</f>
        <v>KFN</v>
      </c>
      <c r="M142" s="1547"/>
      <c r="N142" s="11"/>
      <c r="O142" s="1547"/>
      <c r="P142" s="1547">
        <f>[117]!Результат_число</f>
        <v>0</v>
      </c>
      <c r="Q142" s="1547"/>
      <c r="R142" s="1547"/>
      <c r="S142" s="1555"/>
      <c r="T142" s="1555"/>
      <c r="U142" s="1555"/>
      <c r="V142" s="1555"/>
      <c r="W142" s="1555"/>
      <c r="X142" s="1555"/>
      <c r="Y142" s="1555"/>
      <c r="Z142" s="1555"/>
    </row>
    <row r="143" spans="2:26" ht="84" hidden="1" x14ac:dyDescent="0.25">
      <c r="B143" s="591">
        <f t="shared" si="6"/>
        <v>138</v>
      </c>
      <c r="C143" s="1714"/>
      <c r="D143" s="602" t="s">
        <v>1472</v>
      </c>
      <c r="E143" s="600"/>
      <c r="F143" s="600" t="s">
        <v>1474</v>
      </c>
      <c r="G143" s="600" t="s">
        <v>992</v>
      </c>
      <c r="H143" s="593">
        <v>1500000</v>
      </c>
      <c r="I143" s="594" t="s">
        <v>92</v>
      </c>
      <c r="J143" s="693" t="str">
        <f>[118]!Статус</f>
        <v>25.06.24_x000D_
РСС: проведен созвон с заказчиком. Подготовлена схема._x000D_
ОМ: подготовка ТКП до 26.06.24</v>
      </c>
      <c r="K143" s="620" t="s">
        <v>1481</v>
      </c>
      <c r="L143" s="606" t="str">
        <f>[118]!ТКП_Тематика</f>
        <v>D</v>
      </c>
      <c r="M143" s="601"/>
      <c r="O143" s="601"/>
      <c r="P143" s="601">
        <f>[118]!Результат_число</f>
        <v>0</v>
      </c>
      <c r="Q143" s="600"/>
      <c r="R143" s="600"/>
      <c r="S143" s="600"/>
    </row>
    <row r="144" spans="2:26" ht="101.25" hidden="1" x14ac:dyDescent="0.25">
      <c r="B144" s="591">
        <f t="shared" si="6"/>
        <v>139</v>
      </c>
      <c r="C144" s="1714"/>
      <c r="D144" s="602" t="s">
        <v>1475</v>
      </c>
      <c r="E144" s="600"/>
      <c r="F144" s="600" t="s">
        <v>1476</v>
      </c>
      <c r="G144" s="600" t="s">
        <v>1477</v>
      </c>
      <c r="H144" s="593">
        <v>3000000</v>
      </c>
      <c r="I144" s="594" t="s">
        <v>423</v>
      </c>
      <c r="J144" s="693" t="str">
        <f>[119]!Статус</f>
        <v>26.08.24_x000D_
РСС: Созвонились с Заказчиком проект на паузе, пока до конца года.</v>
      </c>
      <c r="K144" s="767" t="s">
        <v>1516</v>
      </c>
      <c r="L144" s="594">
        <f>[120]!ТКП_Тематика</f>
        <v>0</v>
      </c>
      <c r="M144" s="601"/>
      <c r="O144" s="601"/>
      <c r="P144" s="616">
        <f>[119]!Результат_число</f>
        <v>-1</v>
      </c>
      <c r="Q144" s="600"/>
      <c r="R144" s="600"/>
      <c r="S144" s="600"/>
    </row>
    <row r="145" spans="1:26" ht="67.5" hidden="1" x14ac:dyDescent="0.25">
      <c r="B145" s="591">
        <f t="shared" si="6"/>
        <v>140</v>
      </c>
      <c r="C145" s="1714"/>
      <c r="D145" s="602" t="s">
        <v>1478</v>
      </c>
      <c r="E145" s="595"/>
      <c r="F145" s="595" t="s">
        <v>1479</v>
      </c>
      <c r="G145" s="705" t="s">
        <v>1480</v>
      </c>
      <c r="H145" s="700"/>
      <c r="I145" s="594" t="s">
        <v>1296</v>
      </c>
      <c r="J145" s="693" t="str">
        <f>[120]!Статус</f>
        <v>23.07.24_x000D_
ОМ: Письмо об исходных данных заказчику: о применении кабеля - какие расстояния, кто встраивает кабель в датчик, чьи датчики;</v>
      </c>
      <c r="K145" s="686" t="s">
        <v>1517</v>
      </c>
      <c r="L145" s="594">
        <f>[120]!ТКП_Тематика</f>
        <v>0</v>
      </c>
      <c r="M145" s="591"/>
      <c r="O145" s="591"/>
      <c r="P145" s="706">
        <f>[120]!Результат_число</f>
        <v>-1</v>
      </c>
      <c r="Q145" s="595"/>
      <c r="R145" s="595"/>
      <c r="S145" s="595"/>
      <c r="T145" s="676"/>
      <c r="U145" s="676"/>
      <c r="V145" s="676"/>
      <c r="W145" s="676"/>
      <c r="X145" s="676"/>
      <c r="Y145" s="676"/>
      <c r="Z145" s="676"/>
    </row>
    <row r="146" spans="1:26" ht="56.25" hidden="1" x14ac:dyDescent="0.25">
      <c r="B146" s="373">
        <f>ROW()-ROW(Лист1!$B$5)</f>
        <v>141</v>
      </c>
      <c r="C146" s="373"/>
      <c r="D146" s="662" t="s">
        <v>1409</v>
      </c>
      <c r="E146" s="373"/>
      <c r="F146" s="604" t="s">
        <v>1410</v>
      </c>
      <c r="G146" s="595" t="s">
        <v>78</v>
      </c>
      <c r="H146" s="593">
        <v>22000000</v>
      </c>
      <c r="I146" s="1391" t="s">
        <v>826</v>
      </c>
      <c r="J146" s="512" t="str">
        <f>[121]!Статус</f>
        <v>23.07.24_x000D_
ОМ: Согласование ТКП и договора; Передать чертежи в проработку в КО (пункт ТЗ №3 - исходные данные) (По ТЗ мы должны согласовать с заказчиком схему размещения датчиков)</v>
      </c>
      <c r="K146" s="686" t="s">
        <v>1651</v>
      </c>
      <c r="L146" s="594" t="str">
        <f>[121]!ТКП_Тематика</f>
        <v>O</v>
      </c>
      <c r="M146" s="591"/>
      <c r="P146" s="1387">
        <f>[121]!Результат_число</f>
        <v>0</v>
      </c>
    </row>
    <row r="147" spans="1:26" ht="24" hidden="1" x14ac:dyDescent="0.25">
      <c r="B147" s="457">
        <f>ROW()-ROW(Лист1!$B$5)</f>
        <v>142</v>
      </c>
      <c r="C147" s="174"/>
      <c r="D147" s="319" t="s">
        <v>1284</v>
      </c>
      <c r="E147" s="491"/>
      <c r="F147" s="492" t="s">
        <v>1283</v>
      </c>
      <c r="G147" s="492" t="s">
        <v>78</v>
      </c>
      <c r="H147" s="494">
        <v>6200000</v>
      </c>
      <c r="I147" s="1370" t="s">
        <v>1285</v>
      </c>
      <c r="J147" s="1470">
        <f>[122]!Статус</f>
        <v>0</v>
      </c>
      <c r="K147" s="492" t="s">
        <v>1758</v>
      </c>
      <c r="L147" s="495" t="str">
        <f>[122]!ТКП_Тематика</f>
        <v>O</v>
      </c>
      <c r="M147" s="491"/>
      <c r="P147" s="1387">
        <f>[122]!Результат_число</f>
        <v>0</v>
      </c>
    </row>
    <row r="148" spans="1:26" ht="78.75" hidden="1" x14ac:dyDescent="0.25">
      <c r="B148" s="591">
        <f>ROW()-ROW(Лист1!$B$5)</f>
        <v>143</v>
      </c>
      <c r="C148" s="1714"/>
      <c r="D148" s="602" t="s">
        <v>1487</v>
      </c>
      <c r="E148" s="675"/>
      <c r="F148" s="642" t="s">
        <v>1488</v>
      </c>
      <c r="G148" s="595" t="s">
        <v>78</v>
      </c>
      <c r="H148" s="593"/>
      <c r="I148" s="1393" t="s">
        <v>826</v>
      </c>
      <c r="J148" s="512" t="str">
        <f>[123]!Статус</f>
        <v>23.07.24_x000D_
РСС: Схема - подготовлена. Подготовить тензисы - что нужно от ЦР для разработки ПО Linux до 30.07.24_x000D_ (драйвера MIC-1200 под Linux)_x000D_
ОМ: ТКП с Linux и без+ сопровод. Сопровод. письмо (Linux + 1 год на разработку ПО). Лист согласования с ЦР по Linux ДФМ (разработка)</v>
      </c>
      <c r="K148" s="686" t="s">
        <v>1853</v>
      </c>
      <c r="L148" s="594" t="str">
        <f>[123]!ТКП_Тематика</f>
        <v>O</v>
      </c>
      <c r="M148" s="802"/>
      <c r="P148" s="1387">
        <f>[123]!Результат_число</f>
        <v>0</v>
      </c>
    </row>
    <row r="149" spans="1:26" ht="36" hidden="1" x14ac:dyDescent="0.25">
      <c r="B149" s="679">
        <f t="shared" ref="B149:B154" si="7">ROW()-ROW($B$5)</f>
        <v>144</v>
      </c>
      <c r="C149" s="1714"/>
      <c r="D149" s="687" t="s">
        <v>1495</v>
      </c>
      <c r="E149" s="678"/>
      <c r="F149" s="680" t="s">
        <v>1496</v>
      </c>
      <c r="G149" s="678" t="s">
        <v>78</v>
      </c>
      <c r="H149" s="681">
        <v>3000000</v>
      </c>
      <c r="I149" s="600" t="s">
        <v>92</v>
      </c>
      <c r="J149" s="923" t="str">
        <f>[124]!Статус</f>
        <v>26.07.24_x000D_
ОМ: обновить и отправить</v>
      </c>
      <c r="K149" s="768" t="s">
        <v>1504</v>
      </c>
      <c r="L149" s="689">
        <f>[124]!ТКП_Тематика</f>
        <v>0</v>
      </c>
      <c r="M149" s="688"/>
      <c r="N149" s="1"/>
      <c r="O149" s="1"/>
      <c r="P149" s="707">
        <f>[124]!Результат_число</f>
        <v>0</v>
      </c>
      <c r="Q149" s="679"/>
      <c r="R149" s="679"/>
      <c r="S149" s="679"/>
      <c r="T149" s="678"/>
      <c r="U149" s="678"/>
      <c r="V149" s="678"/>
      <c r="W149" s="678"/>
      <c r="X149" s="678"/>
      <c r="Y149" s="678"/>
      <c r="Z149" s="678"/>
    </row>
    <row r="150" spans="1:26" ht="90" hidden="1" x14ac:dyDescent="0.25">
      <c r="B150" s="679">
        <f t="shared" si="7"/>
        <v>145</v>
      </c>
      <c r="C150" s="1714"/>
      <c r="D150" s="697" t="s">
        <v>1497</v>
      </c>
      <c r="E150" s="698"/>
      <c r="F150" s="680" t="s">
        <v>1498</v>
      </c>
      <c r="G150" s="595" t="s">
        <v>1499</v>
      </c>
      <c r="H150" s="593">
        <v>6000000</v>
      </c>
      <c r="I150" s="594" t="s">
        <v>1318</v>
      </c>
      <c r="J150" s="759" t="str">
        <f>[125]!Статус</f>
        <v>26.07.24_x000D_
ОМ: 29.07.2024 поступило на подсчёт и выдачу ТКП</v>
      </c>
      <c r="K150" s="686" t="s">
        <v>1509</v>
      </c>
      <c r="L150" s="689" t="str">
        <f>[125]!ТКП_Тематика</f>
        <v>BDF</v>
      </c>
      <c r="M150" s="688"/>
      <c r="N150" s="1"/>
      <c r="O150" s="1"/>
      <c r="P150" s="707">
        <f>[125]!Результат_число</f>
        <v>0</v>
      </c>
      <c r="Q150" s="679"/>
      <c r="R150" s="679"/>
      <c r="S150" s="679"/>
      <c r="T150" s="694"/>
      <c r="U150" s="595"/>
      <c r="V150" s="595"/>
      <c r="W150" s="595"/>
      <c r="X150" s="595"/>
      <c r="Y150" s="595"/>
      <c r="Z150" s="595"/>
    </row>
    <row r="151" spans="1:26" ht="24" hidden="1" x14ac:dyDescent="0.25">
      <c r="B151" s="679">
        <f t="shared" si="7"/>
        <v>146</v>
      </c>
      <c r="C151" s="1714"/>
      <c r="D151" s="695" t="s">
        <v>1510</v>
      </c>
      <c r="E151" s="699"/>
      <c r="F151" s="701" t="s">
        <v>1511</v>
      </c>
      <c r="G151" s="699" t="s">
        <v>137</v>
      </c>
      <c r="H151" s="831">
        <v>300000000</v>
      </c>
      <c r="I151" s="702" t="s">
        <v>1318</v>
      </c>
      <c r="J151" s="762" t="str">
        <f>[126]!Статус</f>
        <v>04.07.25_x000D_
в проработке у ОКС</v>
      </c>
      <c r="K151" s="769"/>
      <c r="L151" s="702">
        <f>[126]!ТКП_Тематика</f>
        <v>0</v>
      </c>
      <c r="M151" s="703"/>
      <c r="N151" s="373">
        <v>1</v>
      </c>
      <c r="O151" s="696"/>
      <c r="P151" s="707">
        <f>[126]!Результат_число</f>
        <v>-1</v>
      </c>
      <c r="Q151" s="696"/>
      <c r="R151" s="696"/>
      <c r="S151" s="696"/>
    </row>
    <row r="152" spans="1:26" ht="108" hidden="1" x14ac:dyDescent="0.25">
      <c r="B152" s="708">
        <f t="shared" si="7"/>
        <v>147</v>
      </c>
      <c r="C152" s="1714"/>
      <c r="D152" s="697" t="s">
        <v>1512</v>
      </c>
      <c r="E152" s="699"/>
      <c r="F152" s="701" t="s">
        <v>1513</v>
      </c>
      <c r="G152" s="702" t="s">
        <v>27</v>
      </c>
      <c r="H152" s="699"/>
      <c r="I152" s="870" t="s">
        <v>1296</v>
      </c>
      <c r="J152" s="1392" t="str">
        <f>[127]!Статус</f>
        <v>03.10.24_x000D_
РСС: много опций программного обеспечения которые не реализуем. Не реализуются часть требований по тензоканалам</v>
      </c>
      <c r="K152" s="769" t="s">
        <v>1558</v>
      </c>
      <c r="L152" s="702" t="str">
        <f>[127]!ТКП_Тематика</f>
        <v>BIRF</v>
      </c>
      <c r="M152" s="703"/>
      <c r="N152" s="174"/>
      <c r="P152" s="707">
        <f>[127]!Результат_число</f>
        <v>-1</v>
      </c>
      <c r="Q152" s="696"/>
      <c r="R152" s="696"/>
      <c r="S152" s="696"/>
    </row>
    <row r="153" spans="1:26" ht="132" hidden="1" x14ac:dyDescent="0.25">
      <c r="B153" s="679">
        <f t="shared" si="7"/>
        <v>148</v>
      </c>
      <c r="C153" s="1714"/>
      <c r="D153" s="1469" t="s">
        <v>1942</v>
      </c>
      <c r="E153" s="698"/>
      <c r="F153" s="705" t="s">
        <v>1590</v>
      </c>
      <c r="G153" s="655" t="s">
        <v>4</v>
      </c>
      <c r="H153" s="593">
        <v>95000000</v>
      </c>
      <c r="I153" s="1370" t="s">
        <v>92</v>
      </c>
      <c r="J153" s="1389" t="str">
        <f>[128]!Статус</f>
        <v>05.12.24_x000D_
_x000D_получены кп от НИЦ_РКП на часть ситемы управления_x000D_ (обновлены длины кабелей, убрана подсистема ПЗ, сегмент на УВК&gt;&gt;кросс панель стенда будет использован существующий)_x000D_
27.11.28 - получены от Голубева ЧТЗ и мелкие правки_x000D_
РСС: сверка с ЧТЗ произведена, ЧТЗ переправлено в ОСП на согласование_x000D_
ОМ: согласование и отправка ТКП</v>
      </c>
      <c r="K153" s="705" t="s">
        <v>2288</v>
      </c>
      <c r="L153" s="704" t="str">
        <f>[128]!ТКП_Тематика</f>
        <v>FR</v>
      </c>
      <c r="M153" s="708"/>
      <c r="N153" s="199"/>
      <c r="P153" s="707">
        <f>[128]!Результат_число</f>
        <v>0</v>
      </c>
      <c r="Q153" s="696"/>
      <c r="R153" s="696"/>
      <c r="S153" s="696"/>
    </row>
    <row r="154" spans="1:26" ht="36" hidden="1" x14ac:dyDescent="0.25">
      <c r="B154" s="679">
        <f t="shared" si="7"/>
        <v>149</v>
      </c>
      <c r="C154" s="174"/>
      <c r="D154" s="319" t="s">
        <v>1554</v>
      </c>
      <c r="E154" s="699"/>
      <c r="F154" s="699" t="s">
        <v>1545</v>
      </c>
      <c r="G154" s="699" t="s">
        <v>4</v>
      </c>
      <c r="H154" s="593">
        <v>100000000</v>
      </c>
      <c r="I154" s="1394" t="s">
        <v>92</v>
      </c>
      <c r="J154" s="924" t="str">
        <f>[129]!Статус</f>
        <v>29.04.26_x000D_
РСС: пересчет ТКП (есть инсайд о преддожении Протон ПМ ~65-70 млн)</v>
      </c>
      <c r="K154" s="773" t="s">
        <v>1542</v>
      </c>
      <c r="L154" s="702" t="str">
        <f>[129]!ТКП_Тематика</f>
        <v>FRB</v>
      </c>
      <c r="M154" s="703"/>
      <c r="N154" s="1"/>
      <c r="O154" s="1"/>
      <c r="P154" s="707">
        <f>[129]!Результат_число</f>
        <v>-1</v>
      </c>
      <c r="Q154" s="696"/>
      <c r="R154" s="696"/>
      <c r="S154" s="696"/>
    </row>
    <row r="155" spans="1:26" ht="120" hidden="1" x14ac:dyDescent="0.25">
      <c r="B155" s="771"/>
      <c r="C155" s="1714"/>
      <c r="D155" s="790" t="s">
        <v>1555</v>
      </c>
      <c r="E155" s="778"/>
      <c r="F155" s="778" t="s">
        <v>1556</v>
      </c>
      <c r="G155" s="778" t="s">
        <v>1557</v>
      </c>
      <c r="H155" s="593">
        <v>100000000</v>
      </c>
      <c r="I155" s="702" t="s">
        <v>92</v>
      </c>
      <c r="J155" s="799" t="str">
        <f>[130]!Статус</f>
        <v>06.11.24_x000D_
ОМ: отправлено/ уточнить состояние?</v>
      </c>
      <c r="K155" s="773" t="s">
        <v>1564</v>
      </c>
      <c r="L155" s="779" t="str">
        <f>[130]!ТКП_Тематика</f>
        <v>DH</v>
      </c>
      <c r="M155" s="782"/>
      <c r="N155" s="1"/>
      <c r="O155" s="1"/>
      <c r="P155" s="777">
        <f>[130]!Результат_число</f>
        <v>0</v>
      </c>
      <c r="Q155" s="696"/>
      <c r="R155" s="696"/>
      <c r="S155" s="696"/>
    </row>
    <row r="156" spans="1:26" ht="120" hidden="1" x14ac:dyDescent="0.25">
      <c r="B156" s="710">
        <v>316</v>
      </c>
      <c r="C156" s="1714"/>
      <c r="D156" s="790" t="s">
        <v>1525</v>
      </c>
      <c r="E156" s="712"/>
      <c r="F156" s="713" t="s">
        <v>1526</v>
      </c>
      <c r="G156" s="714" t="s">
        <v>27</v>
      </c>
      <c r="H156" s="593">
        <v>2000000</v>
      </c>
      <c r="I156" s="712" t="s">
        <v>1527</v>
      </c>
      <c r="J156" s="799" t="str">
        <f>[131]!Статус</f>
        <v>28.11.24_x000D_
РСС: подготовлена схема_x000D_
ОМ: требуется расчет и отправка</v>
      </c>
      <c r="K156" s="770" t="s">
        <v>1565</v>
      </c>
      <c r="L156" s="710">
        <f>[131]!ТКП_Тематика</f>
        <v>0</v>
      </c>
      <c r="M156" s="710"/>
      <c r="N156" s="711">
        <v>1</v>
      </c>
      <c r="O156" s="711"/>
      <c r="P156" s="717">
        <f>[131]!Результат_число</f>
        <v>-1</v>
      </c>
      <c r="Q156" s="710"/>
      <c r="R156" s="710"/>
      <c r="S156" s="710"/>
      <c r="T156" s="712"/>
      <c r="U156" s="712"/>
      <c r="V156" s="712"/>
      <c r="W156" s="712"/>
      <c r="X156" s="712"/>
      <c r="Y156" s="712"/>
      <c r="Z156" s="712"/>
    </row>
    <row r="157" spans="1:26" ht="72" hidden="1" x14ac:dyDescent="0.25">
      <c r="B157" s="710">
        <f t="shared" ref="B157:B186" si="8">ROW()-ROW($B$5)</f>
        <v>152</v>
      </c>
      <c r="C157" s="1714"/>
      <c r="D157" s="715" t="s">
        <v>1521</v>
      </c>
      <c r="E157" s="712"/>
      <c r="F157" s="713" t="s">
        <v>1522</v>
      </c>
      <c r="G157" s="714" t="s">
        <v>27</v>
      </c>
      <c r="H157" s="593">
        <v>116823807</v>
      </c>
      <c r="I157" s="712" t="s">
        <v>1527</v>
      </c>
      <c r="J157" s="763" t="str">
        <f>[132]!Статус</f>
        <v>02.09.24_x000D_
-отправлено предварительное ТКП. Заказчик просит согласовать опцию 2 - 1/4 дополнения_x000D_
- РСС согласовать 2x1/4 мостовых дополнения</v>
      </c>
      <c r="K157" s="770" t="s">
        <v>1523</v>
      </c>
      <c r="L157" s="710" t="str">
        <f>[132]!ТКП_Тематика</f>
        <v>EI</v>
      </c>
      <c r="M157" s="710"/>
      <c r="N157" s="1"/>
      <c r="O157" s="1"/>
      <c r="P157" s="717">
        <f>[132]!Результат_число</f>
        <v>0</v>
      </c>
      <c r="Q157" s="710"/>
      <c r="R157" s="710"/>
      <c r="S157" s="710"/>
      <c r="T157" s="712"/>
      <c r="U157" s="712"/>
      <c r="V157" s="712"/>
      <c r="W157" s="712"/>
      <c r="X157" s="712"/>
      <c r="Y157" s="712"/>
      <c r="Z157" s="712"/>
    </row>
    <row r="158" spans="1:26" ht="60" hidden="1" x14ac:dyDescent="0.25">
      <c r="B158" s="718">
        <f t="shared" si="8"/>
        <v>153</v>
      </c>
      <c r="C158" s="1714"/>
      <c r="D158" s="725" t="s">
        <v>1530</v>
      </c>
      <c r="E158" s="719"/>
      <c r="F158" s="720" t="s">
        <v>51</v>
      </c>
      <c r="G158" s="604" t="s">
        <v>1449</v>
      </c>
      <c r="H158" s="593">
        <v>1963191</v>
      </c>
      <c r="I158" s="719"/>
      <c r="J158" s="724">
        <f>[133]!Статус</f>
        <v>0</v>
      </c>
      <c r="K158" s="720" t="s">
        <v>1531</v>
      </c>
      <c r="L158" s="829" t="str">
        <f>[133]!ТКП_Тематика</f>
        <v>D</v>
      </c>
      <c r="M158" s="718"/>
      <c r="N158" s="1"/>
      <c r="O158" s="1"/>
      <c r="P158" s="723">
        <f>[133]!Результат_число</f>
        <v>0</v>
      </c>
      <c r="Q158" s="718"/>
      <c r="R158" s="718"/>
      <c r="S158" s="718"/>
      <c r="T158" s="719"/>
      <c r="U158" s="719"/>
      <c r="V158" s="721"/>
      <c r="W158" s="721"/>
      <c r="X158" s="721"/>
      <c r="Y158" s="721"/>
      <c r="Z158" s="721"/>
    </row>
    <row r="159" spans="1:26" ht="72" hidden="1" x14ac:dyDescent="0.25">
      <c r="B159" s="718">
        <f t="shared" si="8"/>
        <v>154</v>
      </c>
      <c r="C159" s="1714"/>
      <c r="D159" s="725" t="s">
        <v>1533</v>
      </c>
      <c r="E159" s="719"/>
      <c r="F159" s="699" t="s">
        <v>1500</v>
      </c>
      <c r="G159" s="722" t="s">
        <v>1534</v>
      </c>
      <c r="H159" s="593">
        <v>10000000</v>
      </c>
      <c r="I159" s="718" t="s">
        <v>92</v>
      </c>
      <c r="J159" s="724" t="str">
        <f>[134]!Статус</f>
        <v>03.09.24_x000D_
РСС: согласовано_x000D_
ОМ: требуется отправка</v>
      </c>
      <c r="K159" s="720" t="s">
        <v>1543</v>
      </c>
      <c r="L159" s="718" t="str">
        <f>[134]!ТКП_Тематика</f>
        <v>D</v>
      </c>
      <c r="M159" s="718"/>
      <c r="N159" s="1"/>
      <c r="O159" s="1"/>
      <c r="P159" s="723">
        <f>[134]!Результат_число</f>
        <v>0</v>
      </c>
      <c r="Q159" s="718"/>
      <c r="R159" s="718"/>
      <c r="S159" s="718"/>
      <c r="T159" s="719"/>
      <c r="U159" s="719"/>
      <c r="V159" s="719"/>
      <c r="W159" s="719"/>
      <c r="X159" s="719"/>
      <c r="Y159" s="719"/>
      <c r="Z159" s="719"/>
    </row>
    <row r="160" spans="1:26" ht="45" hidden="1" x14ac:dyDescent="0.25">
      <c r="A160" s="1"/>
      <c r="B160" s="718">
        <f t="shared" si="8"/>
        <v>155</v>
      </c>
      <c r="C160" s="1714"/>
      <c r="D160" s="1469" t="s">
        <v>2055</v>
      </c>
      <c r="E160" s="834"/>
      <c r="F160" s="837" t="s">
        <v>2179</v>
      </c>
      <c r="G160" s="1149" t="s">
        <v>6</v>
      </c>
      <c r="H160" s="831">
        <v>70000000</v>
      </c>
      <c r="I160" s="718" t="s">
        <v>1296</v>
      </c>
      <c r="J160" s="1458" t="str">
        <f>[135]!Статус</f>
        <v>08.06.26_x000D_
Отправлено 05.06.26</v>
      </c>
      <c r="K160" s="843" t="s">
        <v>2137</v>
      </c>
      <c r="L160" s="846" t="str">
        <f>[135]!ТКП_Тематика</f>
        <v>FKN</v>
      </c>
      <c r="M160" s="847"/>
      <c r="N160" s="821"/>
      <c r="O160" s="1"/>
      <c r="P160" s="723">
        <f>[135]!Результат_число</f>
        <v>0</v>
      </c>
      <c r="Q160" s="718"/>
      <c r="R160" s="718"/>
      <c r="S160" s="718"/>
      <c r="T160" s="719"/>
      <c r="U160" s="719"/>
      <c r="V160" s="719"/>
      <c r="W160" s="719"/>
      <c r="X160" s="719"/>
      <c r="Y160" s="719"/>
      <c r="Z160" s="719"/>
    </row>
    <row r="161" spans="2:26" ht="84" hidden="1" x14ac:dyDescent="0.25">
      <c r="B161" s="718">
        <f t="shared" si="8"/>
        <v>156</v>
      </c>
      <c r="C161" s="373"/>
      <c r="D161" s="1115" t="s">
        <v>1538</v>
      </c>
      <c r="E161" s="719"/>
      <c r="F161" s="720" t="s">
        <v>1539</v>
      </c>
      <c r="G161" s="722" t="s">
        <v>73</v>
      </c>
      <c r="H161" s="593">
        <v>35000000</v>
      </c>
      <c r="I161" s="719" t="s">
        <v>1318</v>
      </c>
      <c r="J161" s="924" t="str">
        <f>[136]!Статус</f>
        <v>06.11.24_x000D_
ОМ -  отправлено на ЭТП</v>
      </c>
      <c r="K161" s="720" t="s">
        <v>1559</v>
      </c>
      <c r="L161" s="718" t="str">
        <f>[136]!ТКП_Тематика</f>
        <v>B</v>
      </c>
      <c r="M161" s="718"/>
      <c r="N161" s="1"/>
      <c r="O161" s="1"/>
      <c r="P161" s="723">
        <f>[136]!Результат_число</f>
        <v>0</v>
      </c>
      <c r="Q161" s="718"/>
      <c r="R161" s="718"/>
      <c r="S161" s="718"/>
      <c r="T161" s="719"/>
      <c r="U161" s="719"/>
      <c r="V161" s="719"/>
      <c r="W161" s="719"/>
      <c r="X161" s="719"/>
      <c r="Y161" s="719"/>
      <c r="Z161" s="719"/>
    </row>
    <row r="162" spans="2:26" ht="120" hidden="1" x14ac:dyDescent="0.25">
      <c r="B162" s="718">
        <f t="shared" si="8"/>
        <v>157</v>
      </c>
      <c r="C162" s="1714"/>
      <c r="D162" s="887" t="s">
        <v>1605</v>
      </c>
      <c r="E162" s="882"/>
      <c r="F162" s="787" t="s">
        <v>1606</v>
      </c>
      <c r="G162" s="42" t="s">
        <v>47</v>
      </c>
      <c r="H162" s="1032">
        <v>32250000</v>
      </c>
      <c r="I162" s="720" t="s">
        <v>1640</v>
      </c>
      <c r="J162" s="1246" t="str">
        <f>[137]!Статус</f>
        <v xml:space="preserve">04.03.25_x000D_
Заказчик хочет быстро/ дешево, плохое ТЗ СЧ ОКР. На попытку донести, что ТЗ необходимо править (есть риски/ ошибки в ТЗ) отмахиваются на после заключения договора._x000D_ Сейчас у заказчика используется MIC-300 - планируют замену с модернизацией. Желателен вариант уговорить их на поставку без СЧ ОКР._x000D_
РСС: работы приостановлены </v>
      </c>
      <c r="K162" s="788" t="s">
        <v>1649</v>
      </c>
      <c r="L162" s="795">
        <f>[137]!ТКП_Тематика</f>
        <v>0</v>
      </c>
      <c r="M162" s="785"/>
      <c r="N162" s="174"/>
      <c r="O162" s="1"/>
      <c r="P162" s="789">
        <f>[137]!Результат_число</f>
        <v>-1</v>
      </c>
      <c r="Q162" s="785"/>
      <c r="R162" s="785"/>
      <c r="S162" s="785"/>
      <c r="T162" s="786"/>
      <c r="U162" s="786"/>
      <c r="V162" s="786"/>
      <c r="W162" s="786"/>
      <c r="X162" s="786"/>
      <c r="Y162" s="786"/>
      <c r="Z162" s="786"/>
    </row>
    <row r="163" spans="2:26" ht="36" hidden="1" x14ac:dyDescent="0.25">
      <c r="B163" s="1785">
        <f t="shared" si="8"/>
        <v>158</v>
      </c>
      <c r="C163" s="1724"/>
      <c r="D163" s="775" t="s">
        <v>1549</v>
      </c>
      <c r="E163" s="1786"/>
      <c r="F163" s="1787" t="s">
        <v>1536</v>
      </c>
      <c r="G163" s="1788" t="s">
        <v>3</v>
      </c>
      <c r="H163" s="1551">
        <v>7135441</v>
      </c>
      <c r="I163" s="1789" t="s">
        <v>92</v>
      </c>
      <c r="J163" s="1790" t="str">
        <f>[138]!Статус</f>
        <v>06.11.24</v>
      </c>
      <c r="K163" s="1787" t="s">
        <v>2243</v>
      </c>
      <c r="L163" s="1785">
        <f>[138]!ТКП_Тематика</f>
        <v>0</v>
      </c>
      <c r="M163" s="1785"/>
      <c r="N163" s="12"/>
      <c r="O163" s="12"/>
      <c r="P163" s="1785">
        <f>[138]!Результат_число</f>
        <v>0</v>
      </c>
      <c r="Q163" s="1785"/>
      <c r="R163" s="1785"/>
      <c r="S163" s="1785"/>
      <c r="T163" s="1786"/>
      <c r="U163" s="1786"/>
      <c r="V163" s="1786"/>
      <c r="W163" s="1786"/>
      <c r="X163" s="1786"/>
      <c r="Y163" s="1786"/>
      <c r="Z163" s="1786"/>
    </row>
    <row r="164" spans="2:26" ht="48" hidden="1" x14ac:dyDescent="0.25">
      <c r="B164" s="771">
        <f t="shared" si="8"/>
        <v>159</v>
      </c>
      <c r="C164" s="1714"/>
      <c r="D164" s="775" t="s">
        <v>1544</v>
      </c>
      <c r="E164" s="772"/>
      <c r="F164" s="773" t="s">
        <v>1553</v>
      </c>
      <c r="G164" s="774" t="s">
        <v>27</v>
      </c>
      <c r="H164" s="593"/>
      <c r="I164" s="772" t="s">
        <v>1296</v>
      </c>
      <c r="J164" s="780" t="str">
        <f>[139]!Статус</f>
        <v>03.10.24_x000D_
РСС: не реализуются требования - PXI, фильтры 2-о порядка 2000 каналов, программные фичи</v>
      </c>
      <c r="K164" s="773" t="s">
        <v>1560</v>
      </c>
      <c r="L164" s="771" t="str">
        <f>[139]!ТКП_Тематика</f>
        <v>IF</v>
      </c>
      <c r="M164" s="771"/>
      <c r="N164" s="1"/>
      <c r="O164" s="1"/>
      <c r="P164" s="777">
        <f>[139]!Результат_число</f>
        <v>-1</v>
      </c>
      <c r="Q164" s="771"/>
      <c r="R164" s="771"/>
      <c r="S164" s="771"/>
      <c r="T164" s="772"/>
      <c r="U164" s="772"/>
      <c r="V164" s="772"/>
      <c r="W164" s="772"/>
      <c r="X164" s="772"/>
      <c r="Y164" s="772"/>
      <c r="Z164" s="772"/>
    </row>
    <row r="165" spans="2:26" ht="123.75" hidden="1" x14ac:dyDescent="0.25">
      <c r="B165" s="771">
        <f t="shared" si="8"/>
        <v>160</v>
      </c>
      <c r="C165" s="174"/>
      <c r="D165" s="1126" t="s">
        <v>1473</v>
      </c>
      <c r="E165" s="835"/>
      <c r="F165" s="838" t="s">
        <v>1470</v>
      </c>
      <c r="G165" s="773" t="s">
        <v>1471</v>
      </c>
      <c r="H165" s="593">
        <v>30000000</v>
      </c>
      <c r="I165" s="829" t="s">
        <v>1296</v>
      </c>
      <c r="J165" s="913" t="str">
        <f>[140]!Статус</f>
        <v>28.12.24_x000D_
РСС:  произведен расчет стоимости системы ~45 млн. Заказчик запрашивает 25. 11.11.24 Сообщили по телефону, что дешевле 40 не сможем сделать если не убрать из ТЗ механическую часть. Идет согласование с заказчиком сферы ответственности для сокращения стоимости_x000D_
РСС: 20.12.24 Получено письмо от заказчика с просьбой обновить предложение с учетом лимита в 25 млн</v>
      </c>
      <c r="K165" s="844" t="s">
        <v>1916</v>
      </c>
      <c r="L165" s="830" t="str">
        <f>[140]!ТКП_Тематика</f>
        <v>BD</v>
      </c>
      <c r="M165" s="848"/>
      <c r="N165" s="199"/>
      <c r="P165" s="777">
        <f>[140]!Результат_число</f>
        <v>0</v>
      </c>
      <c r="Q165" s="771"/>
      <c r="R165" s="771"/>
      <c r="S165" s="771"/>
      <c r="T165" s="772"/>
      <c r="U165" s="772"/>
      <c r="V165" s="772"/>
      <c r="W165" s="772"/>
      <c r="X165" s="772"/>
      <c r="Y165" s="772"/>
      <c r="Z165" s="772"/>
    </row>
    <row r="166" spans="2:26" ht="60" hidden="1" x14ac:dyDescent="0.25">
      <c r="B166" s="791">
        <f t="shared" si="8"/>
        <v>161</v>
      </c>
      <c r="C166" s="1714"/>
      <c r="D166" s="790" t="s">
        <v>1566</v>
      </c>
      <c r="E166" s="792"/>
      <c r="F166" s="793" t="s">
        <v>1576</v>
      </c>
      <c r="G166" s="794" t="s">
        <v>205</v>
      </c>
      <c r="H166" s="593" t="s">
        <v>49</v>
      </c>
      <c r="I166" s="792" t="s">
        <v>1318</v>
      </c>
      <c r="J166" s="800" t="str">
        <f>[141]!Статус</f>
        <v>06.11.24_x000D_
Заказчик решил делать самостоятельно. Не актуально (работа с ВП/ стройка)_x000D_
Возможно будет новое ТЗ, но минимизировано</v>
      </c>
      <c r="K166" s="793" t="s">
        <v>1567</v>
      </c>
      <c r="L166" s="791">
        <f>[141]!ТКП_Тематика</f>
        <v>0</v>
      </c>
      <c r="M166" s="791"/>
      <c r="N166" s="199"/>
      <c r="O166" s="199"/>
      <c r="P166" s="791">
        <f>[141]!Результат_число</f>
        <v>-1</v>
      </c>
      <c r="Q166" s="791"/>
      <c r="R166" s="791"/>
      <c r="S166" s="791"/>
      <c r="T166" s="792"/>
      <c r="U166" s="792"/>
      <c r="V166" s="792"/>
      <c r="W166" s="792"/>
      <c r="X166" s="792"/>
      <c r="Y166" s="792"/>
      <c r="Z166" s="792"/>
    </row>
    <row r="167" spans="2:26" ht="132" hidden="1" x14ac:dyDescent="0.25">
      <c r="B167" s="785">
        <f t="shared" si="8"/>
        <v>162</v>
      </c>
      <c r="C167" s="1714"/>
      <c r="D167" s="803" t="s">
        <v>1568</v>
      </c>
      <c r="E167" s="786"/>
      <c r="F167" s="787" t="s">
        <v>1569</v>
      </c>
      <c r="G167" s="795" t="s">
        <v>27</v>
      </c>
      <c r="H167" s="593"/>
      <c r="I167" s="786" t="s">
        <v>1296</v>
      </c>
      <c r="J167" s="809" t="str">
        <f>[142]!Статус</f>
        <v>11.11.24_x000D_
11.11.24 Направленно заказчику</v>
      </c>
      <c r="K167" s="787" t="s">
        <v>1595</v>
      </c>
      <c r="L167" s="785" t="str">
        <f>[142]!ТКП_Тематика</f>
        <v>D</v>
      </c>
      <c r="M167" s="785"/>
      <c r="N167" s="199"/>
      <c r="O167" s="199"/>
      <c r="P167" s="789">
        <f>[142]!Результат_число</f>
        <v>0</v>
      </c>
      <c r="Q167" s="785"/>
      <c r="R167" s="785"/>
      <c r="S167" s="785"/>
      <c r="T167" s="786"/>
      <c r="U167" s="786"/>
      <c r="V167" s="786"/>
      <c r="W167" s="786"/>
      <c r="X167" s="786"/>
      <c r="Y167" s="786"/>
      <c r="Z167" s="786"/>
    </row>
    <row r="168" spans="2:26" ht="96" hidden="1" x14ac:dyDescent="0.25">
      <c r="B168" s="791">
        <f t="shared" si="8"/>
        <v>163</v>
      </c>
      <c r="C168" s="1714"/>
      <c r="D168" s="833" t="s">
        <v>1570</v>
      </c>
      <c r="E168" s="792"/>
      <c r="F168" s="792" t="s">
        <v>1571</v>
      </c>
      <c r="G168" s="42" t="s">
        <v>47</v>
      </c>
      <c r="H168" s="1032"/>
      <c r="I168" s="792" t="s">
        <v>92</v>
      </c>
      <c r="J168" s="1484" t="str">
        <f>[143]!Статус</f>
        <v>06.11.24_x000D_
РСС: Проверка до 07.11.24</v>
      </c>
      <c r="K168" s="793" t="s">
        <v>1596</v>
      </c>
      <c r="L168" s="791" t="str">
        <f>[143]!ТКП_Тематика</f>
        <v>BFRH</v>
      </c>
      <c r="M168" s="791"/>
      <c r="N168" s="199"/>
      <c r="O168" s="199"/>
      <c r="P168" s="810">
        <f>[143]!Результат_число</f>
        <v>0</v>
      </c>
      <c r="Q168" s="791"/>
      <c r="R168" s="791"/>
      <c r="S168" s="791"/>
      <c r="T168" s="792"/>
      <c r="U168" s="792"/>
      <c r="V168" s="792"/>
      <c r="W168" s="792"/>
      <c r="X168" s="792"/>
      <c r="Y168" s="792"/>
      <c r="Z168" s="792"/>
    </row>
    <row r="169" spans="2:26" ht="36" hidden="1" x14ac:dyDescent="0.25">
      <c r="B169" s="785">
        <f t="shared" si="8"/>
        <v>164</v>
      </c>
      <c r="C169" s="1714"/>
      <c r="D169" s="876" t="s">
        <v>1578</v>
      </c>
      <c r="E169" s="786"/>
      <c r="F169" s="786" t="s">
        <v>1579</v>
      </c>
      <c r="G169" s="788" t="s">
        <v>1577</v>
      </c>
      <c r="H169" s="593">
        <v>25000000</v>
      </c>
      <c r="I169" s="841" t="s">
        <v>1318</v>
      </c>
      <c r="J169" s="858" t="str">
        <f>[144]!Статус</f>
        <v>28.11.24_x000D_
РСС: подготовка цпецификации ТКП (ждем ответ от Альфагидро по гидравлике)</v>
      </c>
      <c r="K169" s="787" t="s">
        <v>1688</v>
      </c>
      <c r="L169" s="795">
        <f>[144]!ТКП_Тематика</f>
        <v>0</v>
      </c>
      <c r="M169" s="785"/>
      <c r="N169" s="199"/>
      <c r="O169" s="199"/>
      <c r="P169" s="789">
        <f>[144]!Результат_число</f>
        <v>-1</v>
      </c>
      <c r="Q169" s="785"/>
      <c r="R169" s="785"/>
      <c r="S169" s="785"/>
      <c r="T169" s="786"/>
      <c r="U169" s="786"/>
      <c r="V169" s="786"/>
      <c r="W169" s="786"/>
      <c r="X169" s="786"/>
      <c r="Y169" s="786"/>
      <c r="Z169" s="786"/>
    </row>
    <row r="170" spans="2:26" ht="96" hidden="1" x14ac:dyDescent="0.25">
      <c r="B170" s="785">
        <f t="shared" si="8"/>
        <v>165</v>
      </c>
      <c r="C170" s="1714"/>
      <c r="D170" s="790" t="s">
        <v>1612</v>
      </c>
      <c r="E170" s="792"/>
      <c r="F170" s="793" t="s">
        <v>1613</v>
      </c>
      <c r="G170" s="794" t="s">
        <v>8</v>
      </c>
      <c r="H170" s="593">
        <v>14000000</v>
      </c>
      <c r="I170" s="705" t="s">
        <v>1318</v>
      </c>
      <c r="J170" s="850" t="str">
        <f>[145]!Статус</f>
        <v>28.12.24_x000D_
проработка тех. решений проведена_x000D_
РСС: обсуждение с заказчиком вариантов урезания ТКП до 10 млн до 30.01.24 (ориентировочно - есть несоответствие бюджета и цены ТКП)</v>
      </c>
      <c r="K170" s="793" t="s">
        <v>1673</v>
      </c>
      <c r="L170" s="794">
        <f>[145]!ТКП_Тематика</f>
        <v>0</v>
      </c>
      <c r="M170" s="791"/>
      <c r="N170" s="174"/>
      <c r="O170" s="199"/>
      <c r="P170" s="810">
        <f>[144]!Результат_число</f>
        <v>-1</v>
      </c>
      <c r="Q170" s="791"/>
      <c r="R170" s="791"/>
      <c r="S170" s="791"/>
      <c r="T170" s="792"/>
      <c r="U170" s="792"/>
      <c r="V170" s="792"/>
      <c r="W170" s="792"/>
      <c r="X170" s="792"/>
      <c r="Y170" s="792"/>
      <c r="Z170" s="792"/>
    </row>
    <row r="171" spans="2:26" ht="144" hidden="1" x14ac:dyDescent="0.25">
      <c r="B171" s="785">
        <f t="shared" si="8"/>
        <v>166</v>
      </c>
      <c r="C171" s="1714"/>
      <c r="D171" s="790" t="s">
        <v>1515</v>
      </c>
      <c r="E171" s="836"/>
      <c r="F171" s="839" t="s">
        <v>1944</v>
      </c>
      <c r="G171" s="836" t="s">
        <v>1514</v>
      </c>
      <c r="H171" s="1032">
        <v>11000000</v>
      </c>
      <c r="I171" s="842" t="s">
        <v>1318</v>
      </c>
      <c r="J171" s="857" t="str">
        <f>[146]!Статус</f>
        <v>07.10.25_x000D_
ОМ: отправлено согл. ТЗ заказчику, состояние по договору???</v>
      </c>
      <c r="K171" s="845" t="s">
        <v>1963</v>
      </c>
      <c r="L171" s="842" t="str">
        <f>[146]!ТКП_Тематика</f>
        <v>FBH</v>
      </c>
      <c r="M171" s="849"/>
      <c r="N171" s="174"/>
      <c r="O171" s="199"/>
      <c r="P171" s="810">
        <f>[146]!Результат_число</f>
        <v>0</v>
      </c>
      <c r="Q171" s="791"/>
      <c r="R171" s="791"/>
      <c r="S171" s="791"/>
      <c r="T171" s="792"/>
      <c r="U171" s="792"/>
      <c r="V171" s="792"/>
      <c r="W171" s="792"/>
      <c r="X171" s="792"/>
      <c r="Y171" s="792"/>
      <c r="Z171" s="792"/>
    </row>
    <row r="172" spans="2:26" ht="36" hidden="1" x14ac:dyDescent="0.25">
      <c r="B172" s="1791">
        <f t="shared" si="8"/>
        <v>167</v>
      </c>
      <c r="C172" s="1724"/>
      <c r="D172" s="802" t="s">
        <v>1535</v>
      </c>
      <c r="E172" s="1792"/>
      <c r="F172" s="1793" t="s">
        <v>1536</v>
      </c>
      <c r="G172" s="1794" t="s">
        <v>1537</v>
      </c>
      <c r="H172" s="1551">
        <v>7000000</v>
      </c>
      <c r="I172" s="1795" t="s">
        <v>92</v>
      </c>
      <c r="J172" s="1586">
        <f>[147]!Статус</f>
        <v>0</v>
      </c>
      <c r="K172" s="1793" t="s">
        <v>2242</v>
      </c>
      <c r="L172" s="1796">
        <f>[147]!ТКП_Тематика</f>
        <v>0</v>
      </c>
      <c r="M172" s="1795"/>
      <c r="N172" s="12"/>
      <c r="O172" s="1727"/>
      <c r="P172" s="1795">
        <f>[147]!Результат_число</f>
        <v>0</v>
      </c>
      <c r="Q172" s="1795"/>
      <c r="R172" s="1795"/>
      <c r="S172" s="1795"/>
      <c r="T172" s="1792"/>
      <c r="U172" s="1792"/>
      <c r="V172" s="1792"/>
      <c r="W172" s="1792"/>
      <c r="X172" s="1792"/>
      <c r="Y172" s="1792"/>
      <c r="Z172" s="1792"/>
    </row>
    <row r="173" spans="2:26" ht="84" hidden="1" x14ac:dyDescent="0.25">
      <c r="B173" s="791">
        <f t="shared" si="8"/>
        <v>168</v>
      </c>
      <c r="C173" s="1714"/>
      <c r="D173" s="790" t="s">
        <v>1573</v>
      </c>
      <c r="E173" s="792"/>
      <c r="F173" s="793" t="s">
        <v>1574</v>
      </c>
      <c r="G173" s="794" t="s">
        <v>1016</v>
      </c>
      <c r="H173" s="593"/>
      <c r="I173" s="792" t="s">
        <v>423</v>
      </c>
      <c r="J173" s="781" t="str">
        <f>[148]!Статус</f>
        <v>06.11.24_x000D_
ОМ: сформировать презентацию по пультовым секциям. 3 варианта - легкий, средний, тяжелый. Подготовка брошюры аналог Knurr, формулы по ценам для ориентировочного расчета (цена за метр/ рабочее место). До 30.11.24</v>
      </c>
      <c r="K173" s="793" t="s">
        <v>1645</v>
      </c>
      <c r="L173" s="794" t="str">
        <f>[148]!ТКП_Тематика</f>
        <v>B</v>
      </c>
      <c r="M173" s="791"/>
      <c r="N173" s="199"/>
      <c r="O173" s="199"/>
      <c r="P173" s="810">
        <f>[148]!Результат_число</f>
        <v>-1</v>
      </c>
      <c r="Q173" s="791"/>
      <c r="R173" s="791"/>
      <c r="S173" s="791"/>
      <c r="T173" s="792"/>
      <c r="U173" s="792"/>
      <c r="V173" s="792"/>
      <c r="W173" s="792"/>
      <c r="X173" s="792"/>
      <c r="Y173" s="792"/>
      <c r="Z173" s="792"/>
    </row>
    <row r="174" spans="2:26" ht="48" hidden="1" x14ac:dyDescent="0.25">
      <c r="B174" s="791">
        <f t="shared" si="8"/>
        <v>169</v>
      </c>
      <c r="C174" s="1714"/>
      <c r="D174" s="790" t="s">
        <v>1584</v>
      </c>
      <c r="E174" s="792"/>
      <c r="F174" s="793" t="s">
        <v>1585</v>
      </c>
      <c r="G174" s="801" t="s">
        <v>1589</v>
      </c>
      <c r="H174" s="593"/>
      <c r="I174" s="598" t="s">
        <v>65</v>
      </c>
      <c r="J174" s="781" t="str">
        <f>[149]!Статус</f>
        <v>13.11.24_x000D_
Отказ</v>
      </c>
      <c r="K174" s="793" t="s">
        <v>1597</v>
      </c>
      <c r="L174" s="791">
        <f>[149]!ТКП_Тематика</f>
        <v>0</v>
      </c>
      <c r="M174" s="791"/>
      <c r="N174" s="199"/>
      <c r="O174" s="199"/>
      <c r="P174" s="810">
        <f>[149]!Результат_число</f>
        <v>-1</v>
      </c>
      <c r="Q174" s="791"/>
      <c r="R174" s="791"/>
      <c r="S174" s="791"/>
      <c r="T174" s="792"/>
      <c r="U174" s="792"/>
      <c r="V174" s="792"/>
      <c r="W174" s="792"/>
      <c r="X174" s="792"/>
      <c r="Y174" s="792"/>
      <c r="Z174" s="792"/>
    </row>
    <row r="175" spans="2:26" ht="72" hidden="1" x14ac:dyDescent="0.25">
      <c r="B175" s="791">
        <f t="shared" si="8"/>
        <v>170</v>
      </c>
      <c r="C175" s="1714"/>
      <c r="D175" s="790" t="s">
        <v>1563</v>
      </c>
      <c r="E175" s="792"/>
      <c r="F175" s="793" t="s">
        <v>1561</v>
      </c>
      <c r="G175" s="801" t="s">
        <v>1562</v>
      </c>
      <c r="H175" s="593">
        <v>1000000</v>
      </c>
      <c r="I175" s="813" t="s">
        <v>92</v>
      </c>
      <c r="J175" s="852" t="str">
        <f>[150]!Статус</f>
        <v>28.11.24_x000D_
РСС: Ждем приезда представителя к нам. Не знают, что хоят. Много сложных вопросов мало денег. Проработка в рекламных целях, вероятно превратится в переносной mic и пару модулей</v>
      </c>
      <c r="K175" s="793" t="s">
        <v>1646</v>
      </c>
      <c r="L175" s="794" t="str">
        <f>[150]!ТКП_Тематика</f>
        <v>B</v>
      </c>
      <c r="M175" s="791"/>
      <c r="N175" s="1"/>
      <c r="O175" s="199"/>
      <c r="P175" s="810">
        <f>[151]!Результат_число</f>
        <v>-1</v>
      </c>
      <c r="Q175" s="791"/>
      <c r="R175" s="791"/>
      <c r="S175" s="791"/>
      <c r="T175" s="792"/>
      <c r="U175" s="792"/>
      <c r="V175" s="792"/>
      <c r="W175" s="792"/>
      <c r="X175" s="792"/>
      <c r="Y175" s="792"/>
      <c r="Z175" s="792"/>
    </row>
    <row r="176" spans="2:26" ht="48" hidden="1" x14ac:dyDescent="0.25">
      <c r="B176" s="805">
        <f t="shared" si="8"/>
        <v>171</v>
      </c>
      <c r="C176" s="174"/>
      <c r="D176" s="832" t="s">
        <v>1587</v>
      </c>
      <c r="E176" s="806"/>
      <c r="F176" s="806" t="s">
        <v>1582</v>
      </c>
      <c r="G176" s="840" t="s">
        <v>1588</v>
      </c>
      <c r="H176" s="593">
        <v>1000000</v>
      </c>
      <c r="I176" s="813" t="s">
        <v>92</v>
      </c>
      <c r="J176" s="858" t="str">
        <f>[152]!Статус</f>
        <v>13.11.24_x000D_
не удалось дозвонится +7-912-489-77-32</v>
      </c>
      <c r="K176" s="807" t="s">
        <v>1647</v>
      </c>
      <c r="L176" s="808">
        <f>[152]!ТКП_Тематика</f>
        <v>0</v>
      </c>
      <c r="M176" s="805"/>
      <c r="N176" s="199"/>
      <c r="O176" s="199"/>
      <c r="P176" s="811">
        <f>[152]!Результат_число</f>
        <v>-1</v>
      </c>
      <c r="Q176" s="805"/>
      <c r="R176" s="805"/>
      <c r="S176" s="805"/>
      <c r="T176" s="806"/>
      <c r="U176" s="806"/>
      <c r="V176" s="806"/>
      <c r="W176" s="806"/>
      <c r="X176" s="806"/>
      <c r="Y176" s="806"/>
      <c r="Z176" s="806"/>
    </row>
    <row r="177" spans="2:26" ht="36" hidden="1" x14ac:dyDescent="0.25">
      <c r="B177" s="812">
        <f t="shared" si="8"/>
        <v>172</v>
      </c>
      <c r="C177" s="1714"/>
      <c r="D177" s="817" t="s">
        <v>1591</v>
      </c>
      <c r="E177" s="813"/>
      <c r="F177" s="814" t="s">
        <v>1592</v>
      </c>
      <c r="G177" s="815" t="s">
        <v>1593</v>
      </c>
      <c r="H177" s="593" t="s">
        <v>49</v>
      </c>
      <c r="I177" s="814" t="s">
        <v>39</v>
      </c>
      <c r="J177" s="781">
        <f>[153]!Статус</f>
        <v>0</v>
      </c>
      <c r="K177" s="814" t="s">
        <v>1594</v>
      </c>
      <c r="L177" s="812">
        <f>[153]!ТКП_Тематика</f>
        <v>0</v>
      </c>
      <c r="M177" s="812"/>
      <c r="N177" s="174"/>
      <c r="O177" s="174"/>
      <c r="P177" s="812">
        <f>[153]!Результат_число</f>
        <v>-1</v>
      </c>
      <c r="Q177" s="812"/>
      <c r="R177" s="812"/>
      <c r="S177" s="812"/>
      <c r="T177" s="813"/>
      <c r="U177" s="813"/>
      <c r="V177" s="813"/>
      <c r="W177" s="813"/>
      <c r="X177" s="813"/>
      <c r="Y177" s="813"/>
      <c r="Z177" s="813"/>
    </row>
    <row r="178" spans="2:26" ht="108" hidden="1" x14ac:dyDescent="0.25">
      <c r="B178" s="812">
        <f t="shared" si="8"/>
        <v>173</v>
      </c>
      <c r="C178" s="1714"/>
      <c r="D178" s="818" t="s">
        <v>1599</v>
      </c>
      <c r="E178" s="813"/>
      <c r="F178" s="814" t="s">
        <v>1600</v>
      </c>
      <c r="G178" s="815" t="s">
        <v>338</v>
      </c>
      <c r="H178" s="593">
        <v>26973608</v>
      </c>
      <c r="I178" s="814"/>
      <c r="J178" s="781" t="str">
        <f>[154]!Статус</f>
        <v>22.11.24_x000D_
не актуально.</v>
      </c>
      <c r="K178" s="814" t="s">
        <v>1601</v>
      </c>
      <c r="L178" s="812">
        <f>[154]!ТКП_Тематика</f>
        <v>0</v>
      </c>
      <c r="M178" s="812"/>
      <c r="N178" s="174"/>
      <c r="O178" s="174"/>
      <c r="P178" s="812">
        <f>[154]!Результат_число</f>
        <v>-1</v>
      </c>
      <c r="Q178" s="812"/>
      <c r="R178" s="812"/>
      <c r="S178" s="812"/>
      <c r="T178" s="813"/>
      <c r="U178" s="813"/>
      <c r="V178" s="813"/>
      <c r="W178" s="813"/>
      <c r="X178" s="813"/>
      <c r="Y178" s="813"/>
      <c r="Z178" s="813"/>
    </row>
    <row r="179" spans="2:26" ht="36" hidden="1" x14ac:dyDescent="0.25">
      <c r="B179" s="812">
        <f t="shared" si="8"/>
        <v>174</v>
      </c>
      <c r="C179" s="1714"/>
      <c r="D179" s="895" t="s">
        <v>1572</v>
      </c>
      <c r="E179" s="813"/>
      <c r="F179" s="813" t="s">
        <v>1666</v>
      </c>
      <c r="G179" s="815" t="s">
        <v>27</v>
      </c>
      <c r="H179" s="593">
        <v>20500000</v>
      </c>
      <c r="I179" s="813" t="s">
        <v>1296</v>
      </c>
      <c r="J179" s="781" t="str">
        <f>[155]!Статус</f>
        <v>20.12.24_x000D_
РСС: В проработке до 25.12.24</v>
      </c>
      <c r="K179" s="814" t="s">
        <v>1653</v>
      </c>
      <c r="L179" s="815" t="str">
        <f>[155]!ТКП_Тематика</f>
        <v>BR</v>
      </c>
      <c r="M179" s="812"/>
      <c r="N179" s="199"/>
      <c r="O179" s="174"/>
      <c r="P179" s="823">
        <f>[155]!Результат_число</f>
        <v>0</v>
      </c>
      <c r="Q179" s="812"/>
      <c r="R179" s="812"/>
      <c r="S179" s="812"/>
      <c r="T179" s="813"/>
      <c r="U179" s="813"/>
      <c r="V179" s="813"/>
      <c r="W179" s="813"/>
      <c r="X179" s="813"/>
      <c r="Y179" s="813"/>
      <c r="Z179" s="813"/>
    </row>
    <row r="180" spans="2:26" ht="45" hidden="1" x14ac:dyDescent="0.25">
      <c r="B180" s="812">
        <f t="shared" si="8"/>
        <v>175</v>
      </c>
      <c r="C180" s="1714"/>
      <c r="D180" s="818" t="s">
        <v>1611</v>
      </c>
      <c r="E180" s="813"/>
      <c r="F180" s="814" t="s">
        <v>1614</v>
      </c>
      <c r="G180" s="828" t="s">
        <v>1615</v>
      </c>
      <c r="H180" s="593">
        <v>1000000</v>
      </c>
      <c r="I180" s="814" t="s">
        <v>1318</v>
      </c>
      <c r="J180" s="781" t="str">
        <f>[156]!Статус</f>
        <v>02.12.24_x000D_
не актуально. Согласно созвону от 02.11 - уже купили оборудование</v>
      </c>
      <c r="K180" s="814"/>
      <c r="L180" s="815">
        <f>[156]!ТКП_Тематика</f>
        <v>0</v>
      </c>
      <c r="M180" s="812"/>
      <c r="N180" s="174"/>
      <c r="O180" s="174"/>
      <c r="P180" s="823">
        <f>[156]!Результат_число</f>
        <v>-1</v>
      </c>
      <c r="Q180" s="812"/>
      <c r="R180" s="812"/>
      <c r="S180" s="812"/>
      <c r="T180" s="813"/>
      <c r="U180" s="813"/>
      <c r="V180" s="813"/>
      <c r="W180" s="813"/>
      <c r="X180" s="813"/>
      <c r="Y180" s="813"/>
      <c r="Z180" s="813"/>
    </row>
    <row r="181" spans="2:26" ht="36" hidden="1" x14ac:dyDescent="0.25">
      <c r="B181" s="812">
        <f t="shared" si="8"/>
        <v>176</v>
      </c>
      <c r="C181" s="1714"/>
      <c r="D181" s="818" t="s">
        <v>1580</v>
      </c>
      <c r="E181" s="813"/>
      <c r="F181" s="813" t="s">
        <v>1581</v>
      </c>
      <c r="G181" s="815" t="s">
        <v>1095</v>
      </c>
      <c r="H181" s="593"/>
      <c r="I181" s="813" t="s">
        <v>39</v>
      </c>
      <c r="J181" s="781" t="str">
        <f>[157]!Статус</f>
        <v>28.12.24_x000D_
Согласно протоколу с заказчиком на паузе (стенд разукомплекутован у заказчика)</v>
      </c>
      <c r="K181" s="814" t="s">
        <v>1598</v>
      </c>
      <c r="L181" s="815">
        <f>[157]!ТКП_Тематика</f>
        <v>0</v>
      </c>
      <c r="M181" s="812"/>
      <c r="N181" s="199"/>
      <c r="O181" s="174"/>
      <c r="P181" s="823">
        <f>[157]!Результат_число</f>
        <v>-1</v>
      </c>
      <c r="Q181" s="812"/>
      <c r="R181" s="812"/>
      <c r="S181" s="812"/>
      <c r="T181" s="813"/>
      <c r="U181" s="813"/>
      <c r="V181" s="813"/>
      <c r="W181" s="813"/>
      <c r="X181" s="813"/>
      <c r="Y181" s="813"/>
      <c r="Z181" s="813"/>
    </row>
    <row r="182" spans="2:26" ht="48" hidden="1" x14ac:dyDescent="0.25">
      <c r="B182" s="812">
        <f t="shared" si="8"/>
        <v>177</v>
      </c>
      <c r="C182" s="1714"/>
      <c r="D182" s="817" t="s">
        <v>1616</v>
      </c>
      <c r="E182" s="813"/>
      <c r="F182" s="813"/>
      <c r="G182" s="815" t="s">
        <v>1617</v>
      </c>
      <c r="H182" s="1342">
        <v>80000000</v>
      </c>
      <c r="I182" s="813" t="s">
        <v>1318</v>
      </c>
      <c r="J182" s="1246" t="str">
        <f>[158]!Статус</f>
        <v xml:space="preserve">06.02.25_x000D_
Заказчик подтвердил что предоставленной инф-ии достаточно, ждем обратной связи_x000D_
</v>
      </c>
      <c r="K182" s="814" t="s">
        <v>1654</v>
      </c>
      <c r="L182" s="815" t="str">
        <f>[158]!ТКП_Тематика</f>
        <v>A</v>
      </c>
      <c r="M182" s="812"/>
      <c r="N182" s="199"/>
      <c r="O182" s="174"/>
      <c r="P182" s="823">
        <f>[158]!Результат_число</f>
        <v>-1</v>
      </c>
      <c r="Q182" s="812"/>
      <c r="R182" s="812"/>
      <c r="S182" s="812"/>
      <c r="T182" s="813"/>
      <c r="U182" s="813"/>
      <c r="V182" s="813"/>
      <c r="W182" s="813"/>
      <c r="X182" s="813"/>
      <c r="Y182" s="813"/>
      <c r="Z182" s="813"/>
    </row>
    <row r="183" spans="2:26" ht="72" hidden="1" x14ac:dyDescent="0.25">
      <c r="B183" s="812">
        <f t="shared" si="8"/>
        <v>178</v>
      </c>
      <c r="C183" s="1714"/>
      <c r="D183" s="887" t="s">
        <v>1632</v>
      </c>
      <c r="E183" s="813"/>
      <c r="F183" s="813" t="s">
        <v>1619</v>
      </c>
      <c r="G183" s="853" t="s">
        <v>1618</v>
      </c>
      <c r="H183" s="593">
        <v>10000000</v>
      </c>
      <c r="I183" s="813" t="s">
        <v>92</v>
      </c>
      <c r="J183" s="850" t="str">
        <f>[159]!Статус</f>
        <v xml:space="preserve">28.12.24_x000D_
РСС: отправлены список вопросов заказчику (19.12.24)_x000D_
ответили в ватсап , обновлён эскиз по результатам (23.12.24)_x000D_
добавлены вопросы + ткп уже было  </v>
      </c>
      <c r="K183" s="814"/>
      <c r="L183" s="815">
        <f>[159]!ТКП_Тематика</f>
        <v>0</v>
      </c>
      <c r="M183" s="812"/>
      <c r="N183" s="199"/>
      <c r="O183" s="174"/>
      <c r="P183" s="823">
        <f>[159]!Результат_число</f>
        <v>-1</v>
      </c>
      <c r="Q183" s="812"/>
      <c r="R183" s="812"/>
      <c r="S183" s="812"/>
      <c r="T183" s="813"/>
      <c r="U183" s="813"/>
      <c r="V183" s="813"/>
      <c r="W183" s="813"/>
      <c r="X183" s="813"/>
      <c r="Y183" s="813"/>
      <c r="Z183" s="813"/>
    </row>
    <row r="184" spans="2:26" ht="72" hidden="1" x14ac:dyDescent="0.25">
      <c r="B184" s="812">
        <f t="shared" si="8"/>
        <v>179</v>
      </c>
      <c r="C184" s="1714"/>
      <c r="D184" s="818" t="s">
        <v>1620</v>
      </c>
      <c r="E184" s="813"/>
      <c r="F184" s="813" t="s">
        <v>1623</v>
      </c>
      <c r="G184" s="815" t="s">
        <v>1624</v>
      </c>
      <c r="H184" s="851">
        <v>80000000</v>
      </c>
      <c r="I184" s="814" t="s">
        <v>1622</v>
      </c>
      <c r="J184" s="850" t="str">
        <f>[160]!Статус</f>
        <v>17.01.25_x000D_
отправлено 16.01.24_x000D_
Созвон РСС до 20.01.25</v>
      </c>
      <c r="K184" s="814" t="s">
        <v>1650</v>
      </c>
      <c r="L184" s="815" t="str">
        <f>[160]!ТКП_Тематика</f>
        <v>BFJ</v>
      </c>
      <c r="M184" s="812"/>
      <c r="N184" s="199"/>
      <c r="O184" s="174"/>
      <c r="P184" s="823">
        <f>[160]!Результат_число</f>
        <v>0</v>
      </c>
      <c r="Q184" s="812"/>
      <c r="R184" s="812"/>
      <c r="S184" s="812"/>
      <c r="T184" s="813"/>
      <c r="U184" s="813"/>
      <c r="V184" s="813"/>
      <c r="W184" s="813"/>
      <c r="X184" s="813"/>
      <c r="Y184" s="813"/>
      <c r="Z184" s="813"/>
    </row>
    <row r="185" spans="2:26" ht="48" hidden="1" x14ac:dyDescent="0.25">
      <c r="B185" s="812">
        <f t="shared" si="8"/>
        <v>180</v>
      </c>
      <c r="C185" s="1714"/>
      <c r="D185" s="817" t="s">
        <v>1627</v>
      </c>
      <c r="E185" s="813"/>
      <c r="F185" s="813" t="s">
        <v>1628</v>
      </c>
      <c r="G185" s="820" t="s">
        <v>1626</v>
      </c>
      <c r="H185" s="851">
        <v>13000000</v>
      </c>
      <c r="I185" s="814" t="s">
        <v>826</v>
      </c>
      <c r="J185" s="1119" t="str">
        <f>[161]!Статус</f>
        <v>24.12.24_x000D_
рсс: таблица спецификации подготовлена._x000D_
ОМ: требуется согласование и отправка ТКП</v>
      </c>
      <c r="K185" s="814" t="s">
        <v>1881</v>
      </c>
      <c r="L185" s="815">
        <f>[161]!ТКП_Тематика</f>
        <v>0</v>
      </c>
      <c r="M185" s="812"/>
      <c r="N185" s="812">
        <v>1</v>
      </c>
      <c r="O185" s="812"/>
      <c r="P185" s="823">
        <f>[161]!Результат_число</f>
        <v>0</v>
      </c>
      <c r="Q185" s="812"/>
      <c r="R185" s="812"/>
      <c r="S185" s="812"/>
      <c r="T185" s="813"/>
      <c r="U185" s="813"/>
      <c r="V185" s="813"/>
      <c r="W185" s="813"/>
      <c r="X185" s="813"/>
      <c r="Y185" s="813"/>
      <c r="Z185" s="813"/>
    </row>
    <row r="186" spans="2:26" ht="96" hidden="1" x14ac:dyDescent="0.25">
      <c r="B186" s="812">
        <f t="shared" si="8"/>
        <v>181</v>
      </c>
      <c r="C186" s="174"/>
      <c r="D186" s="319" t="s">
        <v>1625</v>
      </c>
      <c r="E186" s="813"/>
      <c r="F186" s="813" t="s">
        <v>1629</v>
      </c>
      <c r="G186" s="853" t="s">
        <v>1626</v>
      </c>
      <c r="H186" s="851">
        <v>50000000</v>
      </c>
      <c r="I186" s="814" t="s">
        <v>1318</v>
      </c>
      <c r="J186" s="924" t="str">
        <f>[162]!Статус</f>
        <v>05.05.25_x000D_
Результаты конкурса?</v>
      </c>
      <c r="K186" s="814" t="s">
        <v>2217</v>
      </c>
      <c r="L186" s="815" t="str">
        <f>[162]!ТКП_Тематика</f>
        <v>DIB</v>
      </c>
      <c r="M186" s="812"/>
      <c r="N186" s="823">
        <v>1</v>
      </c>
      <c r="O186" s="812"/>
      <c r="P186" s="823">
        <f>[162]!Результат_число</f>
        <v>0</v>
      </c>
      <c r="Q186" s="812"/>
      <c r="R186" s="812"/>
      <c r="S186" s="812"/>
      <c r="T186" s="813"/>
      <c r="U186" s="813"/>
      <c r="V186" s="813"/>
      <c r="W186" s="813"/>
      <c r="X186" s="813"/>
      <c r="Y186" s="813"/>
      <c r="Z186" s="813"/>
    </row>
    <row r="187" spans="2:26" ht="48" hidden="1" x14ac:dyDescent="0.25">
      <c r="B187" s="805">
        <v>225</v>
      </c>
      <c r="C187" s="174"/>
      <c r="D187" s="489" t="s">
        <v>1631</v>
      </c>
      <c r="E187" s="806"/>
      <c r="F187" s="807" t="s">
        <v>1630</v>
      </c>
      <c r="G187" s="840" t="s">
        <v>20</v>
      </c>
      <c r="H187" s="1032">
        <v>380000000</v>
      </c>
      <c r="I187" s="806" t="s">
        <v>1318</v>
      </c>
      <c r="J187" s="781" t="str">
        <f>[163]!Статус</f>
        <v>07.10.25_x000D_
ОМ: Обновить ТКП_x000D_ до 15.10.25_x000D_</v>
      </c>
      <c r="K187" s="807" t="s">
        <v>1689</v>
      </c>
      <c r="L187" s="808" t="str">
        <f>[163]!ТКП_Тематика</f>
        <v>BJ</v>
      </c>
      <c r="M187" s="805"/>
      <c r="N187" s="824">
        <v>1</v>
      </c>
      <c r="O187" s="805"/>
      <c r="P187" s="873">
        <f>[163]!Результат_число</f>
        <v>0</v>
      </c>
      <c r="Q187" s="812"/>
      <c r="R187" s="812"/>
      <c r="S187" s="812"/>
      <c r="T187" s="813"/>
      <c r="U187" s="813"/>
      <c r="V187" s="813"/>
      <c r="W187" s="813"/>
      <c r="X187" s="813"/>
      <c r="Y187" s="813"/>
      <c r="Z187" s="813"/>
    </row>
    <row r="188" spans="2:26" ht="48" hidden="1" x14ac:dyDescent="0.25">
      <c r="B188" s="805">
        <f t="shared" ref="B188:B211" si="9">ROW()-ROW($B$5)</f>
        <v>183</v>
      </c>
      <c r="C188" s="1714"/>
      <c r="D188" s="804" t="s">
        <v>1586</v>
      </c>
      <c r="E188" s="806"/>
      <c r="F188" s="807" t="s">
        <v>1621</v>
      </c>
      <c r="G188" s="995" t="s">
        <v>1218</v>
      </c>
      <c r="H188" s="1032">
        <v>7500000</v>
      </c>
      <c r="I188" s="806" t="s">
        <v>1296</v>
      </c>
      <c r="J188" s="857" t="str">
        <f>[151]!Статус</f>
        <v>19.05.25_x000D_
неактуально т.к. требуется с ВП/ ОКР документация (не вкладываемся в цены)</v>
      </c>
      <c r="K188" s="807" t="s">
        <v>1607</v>
      </c>
      <c r="L188" s="808" t="str">
        <f>[151]!ТКП_Тематика</f>
        <v>DI</v>
      </c>
      <c r="M188" s="805"/>
      <c r="N188" s="199"/>
      <c r="O188" s="174"/>
      <c r="P188" s="824">
        <f>[151]!Результат_число</f>
        <v>-1</v>
      </c>
      <c r="Q188" s="805"/>
      <c r="R188" s="805"/>
      <c r="S188" s="805"/>
      <c r="T188" s="806"/>
      <c r="U188" s="806"/>
      <c r="V188" s="806"/>
      <c r="W188" s="806"/>
      <c r="X188" s="806"/>
      <c r="Y188" s="806"/>
      <c r="Z188" s="806"/>
    </row>
    <row r="189" spans="2:26" ht="48" hidden="1" x14ac:dyDescent="0.25">
      <c r="B189" s="805">
        <f t="shared" si="9"/>
        <v>184</v>
      </c>
      <c r="C189" s="1714"/>
      <c r="D189" s="816" t="s">
        <v>1634</v>
      </c>
      <c r="E189" s="859"/>
      <c r="F189" s="859" t="s">
        <v>1637</v>
      </c>
      <c r="G189" s="859" t="s">
        <v>27</v>
      </c>
      <c r="H189" s="593">
        <v>10000000</v>
      </c>
      <c r="I189" s="813" t="s">
        <v>1296</v>
      </c>
      <c r="J189" s="781" t="str">
        <f>[164]!Статус</f>
        <v>20.01.25_x000D_
- получены предложения от Висом и Zetlab._x000D_
ТКП отправлено скорее но поздно (за час до проведения конкурса)</v>
      </c>
      <c r="K189" s="874" t="s">
        <v>1652</v>
      </c>
      <c r="L189" s="860" t="str">
        <f>[164]!ТКП_Тематика</f>
        <v>AFN</v>
      </c>
      <c r="M189" s="812"/>
      <c r="N189" s="199"/>
      <c r="O189" s="174"/>
      <c r="P189" s="873">
        <f>[164]!Результат_число</f>
        <v>-1</v>
      </c>
      <c r="Q189" s="812"/>
      <c r="R189" s="812"/>
      <c r="S189" s="812"/>
      <c r="T189" s="813"/>
      <c r="U189" s="813"/>
      <c r="V189" s="813"/>
      <c r="W189" s="813"/>
      <c r="X189" s="813"/>
      <c r="Y189" s="813"/>
      <c r="Z189" s="813"/>
    </row>
    <row r="190" spans="2:26" ht="48" hidden="1" x14ac:dyDescent="0.25">
      <c r="B190" s="805">
        <f t="shared" si="9"/>
        <v>185</v>
      </c>
      <c r="C190" s="1714"/>
      <c r="D190" s="816" t="s">
        <v>1638</v>
      </c>
      <c r="E190" s="859"/>
      <c r="F190" s="859" t="s">
        <v>1639</v>
      </c>
      <c r="G190" s="859" t="s">
        <v>27</v>
      </c>
      <c r="H190" s="593">
        <v>10000000</v>
      </c>
      <c r="I190" s="813" t="s">
        <v>1296</v>
      </c>
      <c r="J190" s="781" t="str">
        <f>[165]!Статус</f>
        <v>16.01.25_x000D_
Не выполняется техника. Запрос на аналог DTS (микромодули). Ранее поставлял Safran</v>
      </c>
      <c r="K190" s="874"/>
      <c r="L190" s="860" t="str">
        <f>[165]!ТКП_Тематика</f>
        <v>FC</v>
      </c>
      <c r="M190" s="812"/>
      <c r="N190" s="812">
        <v>1</v>
      </c>
      <c r="O190" s="174"/>
      <c r="P190" s="873">
        <f>[165]!Результат_число</f>
        <v>-1</v>
      </c>
      <c r="Q190" s="812"/>
      <c r="R190" s="812"/>
      <c r="S190" s="812"/>
      <c r="T190" s="813"/>
      <c r="U190" s="813"/>
      <c r="V190" s="813"/>
      <c r="W190" s="813"/>
      <c r="X190" s="813"/>
      <c r="Y190" s="813"/>
      <c r="Z190" s="813"/>
    </row>
    <row r="191" spans="2:26" ht="24" hidden="1" x14ac:dyDescent="0.25">
      <c r="B191" s="543">
        <f t="shared" si="9"/>
        <v>186</v>
      </c>
      <c r="C191" s="174"/>
      <c r="D191" s="319" t="s">
        <v>1635</v>
      </c>
      <c r="E191" s="869"/>
      <c r="F191" s="869"/>
      <c r="G191" s="859" t="s">
        <v>1636</v>
      </c>
      <c r="H191" s="593">
        <v>15000000</v>
      </c>
      <c r="I191" s="598" t="s">
        <v>1296</v>
      </c>
      <c r="J191" s="781" t="str">
        <f>[166]!Статус</f>
        <v>16.01.25_x000D_
Отказ. Не наш профиль</v>
      </c>
      <c r="K191" s="1678"/>
      <c r="L191" s="870" t="str">
        <f>[166]!ТКП_Тематика</f>
        <v>BFR</v>
      </c>
      <c r="M191" s="543"/>
      <c r="N191" s="812">
        <v>1</v>
      </c>
      <c r="O191" s="812"/>
      <c r="P191" s="633">
        <f>[166]!Результат_число</f>
        <v>-1</v>
      </c>
      <c r="Q191" s="543"/>
      <c r="R191" s="871"/>
      <c r="S191" s="871"/>
      <c r="T191" s="859"/>
      <c r="U191" s="859"/>
      <c r="V191" s="859"/>
      <c r="W191" s="859"/>
      <c r="X191" s="859"/>
      <c r="Y191" s="859"/>
      <c r="Z191" s="859"/>
    </row>
    <row r="192" spans="2:26" ht="36" hidden="1" x14ac:dyDescent="0.25">
      <c r="B192" s="812">
        <f t="shared" si="9"/>
        <v>187</v>
      </c>
      <c r="C192" s="1714"/>
      <c r="D192" s="817" t="s">
        <v>1642</v>
      </c>
      <c r="E192" s="859"/>
      <c r="F192" s="859" t="s">
        <v>1667</v>
      </c>
      <c r="G192" s="859" t="s">
        <v>27</v>
      </c>
      <c r="H192" s="593">
        <v>5500000</v>
      </c>
      <c r="I192" s="813" t="s">
        <v>1296</v>
      </c>
      <c r="J192" s="872" t="str">
        <f>[167]!Статус</f>
        <v>20.01.25_x000D_
РСС: проработка схемы до 24.01.25</v>
      </c>
      <c r="K192" s="874" t="s">
        <v>1775</v>
      </c>
      <c r="L192" s="860" t="str">
        <f>[167]!ТКП_Тематика</f>
        <v>AF</v>
      </c>
      <c r="M192" s="859"/>
      <c r="N192" s="1"/>
      <c r="O192" s="1"/>
      <c r="P192" s="824">
        <f>[167]!Результат_число</f>
        <v>0</v>
      </c>
      <c r="Q192" s="855"/>
      <c r="R192" s="855"/>
      <c r="S192" s="855"/>
      <c r="T192" s="859"/>
      <c r="U192" s="859"/>
      <c r="V192" s="859"/>
      <c r="W192" s="859"/>
      <c r="X192" s="859"/>
      <c r="Y192" s="859"/>
      <c r="Z192" s="859"/>
    </row>
    <row r="193" spans="2:26" ht="75" hidden="1" x14ac:dyDescent="0.25">
      <c r="B193" s="812">
        <f t="shared" si="9"/>
        <v>188</v>
      </c>
      <c r="C193" s="1714"/>
      <c r="D193" s="818" t="s">
        <v>1643</v>
      </c>
      <c r="E193" s="859"/>
      <c r="F193" s="859" t="s">
        <v>1641</v>
      </c>
      <c r="G193" s="859" t="s">
        <v>27</v>
      </c>
      <c r="H193" s="593"/>
      <c r="I193" s="813" t="s">
        <v>1296</v>
      </c>
      <c r="J193" s="872" t="str">
        <f>[168]!Статус</f>
        <v>16.01.25_x000D_
РСС: не выполняется техника (ТЗ написано под HBM - мультивходы с поддержкой всех типов сигналов включая LVDT и тензонесущая)</v>
      </c>
      <c r="K193" s="874" t="s">
        <v>1675</v>
      </c>
      <c r="L193" s="860" t="str">
        <f>[168]!ТКП_Тематика</f>
        <v>E</v>
      </c>
      <c r="M193" s="859"/>
      <c r="N193" s="1"/>
      <c r="O193" s="1"/>
      <c r="P193" s="873">
        <f>[168]!Результат_число</f>
        <v>-1</v>
      </c>
      <c r="Q193" s="855"/>
      <c r="R193" s="855"/>
      <c r="S193" s="855"/>
    </row>
    <row r="194" spans="2:26" ht="60" hidden="1" x14ac:dyDescent="0.25">
      <c r="B194" s="881">
        <f t="shared" si="9"/>
        <v>189</v>
      </c>
      <c r="C194" s="1714"/>
      <c r="D194" s="887" t="s">
        <v>1663</v>
      </c>
      <c r="E194" s="882"/>
      <c r="F194" s="882" t="s">
        <v>1661</v>
      </c>
      <c r="G194" s="882" t="s">
        <v>1655</v>
      </c>
      <c r="H194" s="593">
        <v>3000000</v>
      </c>
      <c r="I194" s="882" t="s">
        <v>1318</v>
      </c>
      <c r="J194" s="888" t="str">
        <f>[169]!Статус</f>
        <v>31.01.25_x000D_
Отказ. Просят аналог AVL модуля для подогрева воздуха совместимый с ПО AVL</v>
      </c>
      <c r="K194" s="883" t="s">
        <v>1656</v>
      </c>
      <c r="L194" s="884" t="str">
        <f>[169]!ТКП_Тематика</f>
        <v>FB</v>
      </c>
      <c r="M194" s="882"/>
      <c r="N194" s="1"/>
      <c r="O194" s="1"/>
      <c r="P194" s="824">
        <f>[169]!Результат_число</f>
        <v>-1</v>
      </c>
      <c r="Q194" s="881"/>
      <c r="R194" s="881"/>
      <c r="S194" s="881"/>
      <c r="T194" s="882"/>
      <c r="U194" s="882"/>
      <c r="V194" s="882"/>
      <c r="W194" s="882"/>
      <c r="X194" s="882"/>
      <c r="Y194" s="882"/>
      <c r="Z194" s="882"/>
    </row>
    <row r="195" spans="2:26" ht="36" hidden="1" x14ac:dyDescent="0.25">
      <c r="B195" s="881">
        <f t="shared" si="9"/>
        <v>190</v>
      </c>
      <c r="C195" s="1714"/>
      <c r="D195" s="895" t="s">
        <v>1657</v>
      </c>
      <c r="E195" s="882"/>
      <c r="F195" s="883" t="s">
        <v>1662</v>
      </c>
      <c r="G195" s="882" t="s">
        <v>1658</v>
      </c>
      <c r="H195" s="593">
        <v>50000000</v>
      </c>
      <c r="I195" s="882" t="s">
        <v>39</v>
      </c>
      <c r="J195" s="885" t="str">
        <f>[170]!Статус</f>
        <v xml:space="preserve">29.01.25_x000D_
РСС: </v>
      </c>
      <c r="K195" s="883" t="s">
        <v>1674</v>
      </c>
      <c r="L195" s="884" t="str">
        <f>[170]!ТКП_Тематика</f>
        <v>BF</v>
      </c>
      <c r="M195" s="882"/>
      <c r="N195" s="1"/>
      <c r="O195" s="1"/>
      <c r="P195" s="824">
        <f>[170]!Результат_число</f>
        <v>-1</v>
      </c>
      <c r="Q195" s="881"/>
      <c r="R195" s="881"/>
      <c r="S195" s="881"/>
      <c r="T195" s="882"/>
      <c r="U195" s="882"/>
      <c r="V195" s="882"/>
      <c r="W195" s="882"/>
      <c r="X195" s="882"/>
      <c r="Y195" s="882"/>
      <c r="Z195" s="882"/>
    </row>
    <row r="196" spans="2:26" ht="216" hidden="1" x14ac:dyDescent="0.25">
      <c r="B196" s="877">
        <f t="shared" si="9"/>
        <v>191</v>
      </c>
      <c r="C196" s="1714"/>
      <c r="D196" s="887" t="s">
        <v>1659</v>
      </c>
      <c r="E196" s="878"/>
      <c r="F196" s="879" t="s">
        <v>1664</v>
      </c>
      <c r="G196" s="878" t="s">
        <v>27</v>
      </c>
      <c r="H196" s="886">
        <v>4000000</v>
      </c>
      <c r="I196" s="813" t="s">
        <v>1296</v>
      </c>
      <c r="J196" s="319" t="str">
        <f>[171]!Статус</f>
        <v>31.01.25_x000D_
Отправлено?</v>
      </c>
      <c r="K196" s="879" t="s">
        <v>2142</v>
      </c>
      <c r="L196" s="880" t="str">
        <f>[171]!ТКП_Тематика</f>
        <v>DF</v>
      </c>
      <c r="M196" s="878"/>
      <c r="N196" s="1"/>
      <c r="O196" s="1"/>
      <c r="P196" s="824">
        <f>[171]!Результат_число</f>
        <v>0</v>
      </c>
      <c r="Q196" s="877"/>
      <c r="R196" s="877"/>
      <c r="S196" s="877"/>
      <c r="T196" s="878"/>
      <c r="U196" s="878"/>
      <c r="V196" s="878"/>
      <c r="W196" s="878"/>
      <c r="X196" s="878"/>
      <c r="Y196" s="878"/>
      <c r="Z196" s="878"/>
    </row>
    <row r="197" spans="2:26" ht="48" hidden="1" x14ac:dyDescent="0.25">
      <c r="B197" s="881">
        <f t="shared" si="9"/>
        <v>192</v>
      </c>
      <c r="C197" s="1714"/>
      <c r="D197" s="895" t="s">
        <v>1660</v>
      </c>
      <c r="E197" s="882"/>
      <c r="F197" s="882" t="s">
        <v>1665</v>
      </c>
      <c r="G197" s="882" t="s">
        <v>27</v>
      </c>
      <c r="H197" s="886">
        <v>8000000</v>
      </c>
      <c r="I197" s="813" t="s">
        <v>1296</v>
      </c>
      <c r="J197" s="885" t="str">
        <f>[172]!Статус</f>
        <v>31.01.25_x000D_
Отправлено?_x000D_
Запрошен отзыв на тз у висом и zlab</v>
      </c>
      <c r="K197" s="883" t="s">
        <v>1690</v>
      </c>
      <c r="L197" s="884" t="str">
        <f>[172]!ТКП_Тематика</f>
        <v>A</v>
      </c>
      <c r="M197" s="882"/>
      <c r="N197" s="1"/>
      <c r="O197" s="1"/>
      <c r="P197" s="824">
        <f>[172]!Результат_число</f>
        <v>0</v>
      </c>
      <c r="Q197" s="881"/>
      <c r="R197" s="881"/>
      <c r="S197" s="881"/>
      <c r="T197" s="882"/>
      <c r="U197" s="882"/>
      <c r="V197" s="882"/>
      <c r="W197" s="882"/>
      <c r="X197" s="882"/>
      <c r="Y197" s="882"/>
      <c r="Z197" s="882"/>
    </row>
    <row r="198" spans="2:26" ht="30" hidden="1" x14ac:dyDescent="0.25">
      <c r="B198" s="881">
        <f t="shared" si="9"/>
        <v>193</v>
      </c>
      <c r="C198" s="1714"/>
      <c r="D198" s="887" t="s">
        <v>1668</v>
      </c>
      <c r="E198" s="882"/>
      <c r="F198" s="882" t="s">
        <v>1670</v>
      </c>
      <c r="G198" s="882" t="s">
        <v>27</v>
      </c>
      <c r="H198" s="886"/>
      <c r="I198" s="813" t="s">
        <v>1296</v>
      </c>
      <c r="J198" s="889" t="str">
        <f>[173]!Статус</f>
        <v>13.02.25_x000D_
Отказ. Не выполняется ТЗ</v>
      </c>
      <c r="K198" s="883" t="s">
        <v>1676</v>
      </c>
      <c r="L198" s="884" t="str">
        <f>[173]!ТКП_Тематика</f>
        <v>DN</v>
      </c>
      <c r="M198" s="882"/>
      <c r="N198" s="1"/>
      <c r="O198" s="1"/>
      <c r="P198" s="824">
        <f>[173]!Результат_число</f>
        <v>-1</v>
      </c>
      <c r="Q198" s="881"/>
      <c r="R198" s="881"/>
      <c r="S198" s="881"/>
      <c r="T198" s="882"/>
      <c r="U198" s="882"/>
      <c r="V198" s="882"/>
      <c r="W198" s="882"/>
      <c r="X198" s="882"/>
      <c r="Y198" s="882"/>
      <c r="Z198" s="882"/>
    </row>
    <row r="199" spans="2:26" ht="48" hidden="1" x14ac:dyDescent="0.25">
      <c r="B199" s="881">
        <f t="shared" si="9"/>
        <v>194</v>
      </c>
      <c r="C199" s="1714"/>
      <c r="D199" s="895" t="s">
        <v>1669</v>
      </c>
      <c r="E199" s="882"/>
      <c r="F199" s="882" t="s">
        <v>1671</v>
      </c>
      <c r="G199" s="882" t="s">
        <v>27</v>
      </c>
      <c r="H199" s="886"/>
      <c r="I199" s="813" t="s">
        <v>1296</v>
      </c>
      <c r="J199" s="885" t="str">
        <f>[174]!Статус</f>
        <v>31.01.25_x000D_
В проработке РСС до 07.02.25</v>
      </c>
      <c r="K199" s="883" t="s">
        <v>1784</v>
      </c>
      <c r="L199" s="884" t="str">
        <f>[174]!ТКП_Тематика</f>
        <v>FRB</v>
      </c>
      <c r="M199" s="882"/>
      <c r="N199" s="1"/>
      <c r="O199" s="1"/>
      <c r="P199" s="824">
        <f>[174]!Результат_число</f>
        <v>0</v>
      </c>
      <c r="Q199" s="881"/>
      <c r="R199" s="881"/>
      <c r="S199" s="881"/>
      <c r="T199" s="882"/>
      <c r="U199" s="882"/>
      <c r="V199" s="882"/>
      <c r="W199" s="882"/>
      <c r="X199" s="882"/>
      <c r="Y199" s="882"/>
      <c r="Z199" s="882"/>
    </row>
    <row r="200" spans="2:26" ht="75" hidden="1" x14ac:dyDescent="0.25">
      <c r="B200" s="881">
        <f t="shared" si="9"/>
        <v>195</v>
      </c>
      <c r="C200" s="1714"/>
      <c r="D200" s="895" t="s">
        <v>1677</v>
      </c>
      <c r="E200" s="882"/>
      <c r="F200" s="882" t="s">
        <v>1163</v>
      </c>
      <c r="G200" s="655" t="s">
        <v>4</v>
      </c>
      <c r="H200" s="886">
        <v>500000000</v>
      </c>
      <c r="I200" s="882" t="s">
        <v>65</v>
      </c>
      <c r="J200" s="1120" t="str">
        <f>[175]!Статус</f>
        <v>11.06.25_x000D_
ОП: подготовить ТКП согласно сводной Общая_v4 (3 варианта -дорогой; с объединением РМ; убрано троирование)</v>
      </c>
      <c r="K200" s="883" t="s">
        <v>2143</v>
      </c>
      <c r="L200" s="884" t="str">
        <f>[175]!ТКП_Тематика</f>
        <v>RF</v>
      </c>
      <c r="M200" s="882"/>
      <c r="N200" s="882"/>
      <c r="O200" s="882"/>
      <c r="P200" s="900">
        <f>[175]!Результат_число</f>
        <v>0</v>
      </c>
      <c r="Q200" s="881"/>
      <c r="R200" s="881"/>
      <c r="S200" s="881"/>
      <c r="T200" s="882"/>
      <c r="U200" s="882"/>
      <c r="V200" s="882"/>
      <c r="W200" s="882"/>
      <c r="X200" s="882"/>
      <c r="Y200" s="882"/>
      <c r="Z200" s="882"/>
    </row>
    <row r="201" spans="2:26" ht="84" hidden="1" x14ac:dyDescent="0.25">
      <c r="B201" s="906">
        <f t="shared" si="9"/>
        <v>196</v>
      </c>
      <c r="C201" s="1714"/>
      <c r="D201" s="936" t="s">
        <v>1680</v>
      </c>
      <c r="E201" s="910"/>
      <c r="F201" s="909" t="s">
        <v>1684</v>
      </c>
      <c r="G201" s="699" t="s">
        <v>4</v>
      </c>
      <c r="H201" s="886">
        <v>100000000</v>
      </c>
      <c r="I201" s="881" t="s">
        <v>54</v>
      </c>
      <c r="J201" s="1247" t="str">
        <f>[176]!Статус</f>
        <v>11.03.26_x000D_
10.03.25 запрос от Голубева пересчитать только РВК - сравниться с ТЗ</v>
      </c>
      <c r="K201" s="883" t="s">
        <v>1776</v>
      </c>
      <c r="L201" s="884" t="str">
        <f>[176]!ТКП_Тематика</f>
        <v>R</v>
      </c>
      <c r="M201" s="882"/>
      <c r="N201" s="882"/>
      <c r="O201" s="882"/>
      <c r="P201" s="900">
        <f>[176]!Результат_число</f>
        <v>-1</v>
      </c>
      <c r="Q201" s="881"/>
      <c r="R201" s="881"/>
      <c r="S201" s="881"/>
      <c r="T201" s="882"/>
      <c r="U201" s="882"/>
      <c r="V201" s="882"/>
      <c r="W201" s="882"/>
      <c r="X201" s="882"/>
      <c r="Y201" s="882"/>
      <c r="Z201" s="882"/>
    </row>
    <row r="202" spans="2:26" ht="96" hidden="1" x14ac:dyDescent="0.25">
      <c r="B202" s="891">
        <f t="shared" si="9"/>
        <v>197</v>
      </c>
      <c r="C202" s="1714">
        <v>1</v>
      </c>
      <c r="D202" s="914" t="s">
        <v>1678</v>
      </c>
      <c r="E202" s="892"/>
      <c r="F202" s="892" t="s">
        <v>1700</v>
      </c>
      <c r="G202" s="893" t="s">
        <v>1679</v>
      </c>
      <c r="H202" s="886">
        <v>10000000</v>
      </c>
      <c r="I202" s="891" t="s">
        <v>1318</v>
      </c>
      <c r="J202" s="1114" t="str">
        <f>[177]!Статус</f>
        <v>10.08.26_x000D_
Подписан договор. Запущен в изготовление</v>
      </c>
      <c r="K202" s="893" t="s">
        <v>2144</v>
      </c>
      <c r="L202" s="894" t="str">
        <f>[178]!ТКП_Тематика</f>
        <v>D</v>
      </c>
      <c r="M202" s="892"/>
      <c r="N202" s="892"/>
      <c r="O202" s="892"/>
      <c r="P202" s="901">
        <f>[178]!Результат_число</f>
        <v>0</v>
      </c>
      <c r="Q202" s="891"/>
      <c r="R202" s="891"/>
      <c r="S202" s="891"/>
      <c r="T202" s="892"/>
      <c r="U202" s="892"/>
      <c r="V202" s="892"/>
      <c r="W202" s="892"/>
      <c r="X202" s="892"/>
      <c r="Y202" s="892"/>
      <c r="Z202" s="892"/>
    </row>
    <row r="203" spans="2:26" ht="60" hidden="1" x14ac:dyDescent="0.25">
      <c r="B203" s="1567">
        <f t="shared" si="9"/>
        <v>198</v>
      </c>
      <c r="C203" s="1724"/>
      <c r="D203" s="895" t="s">
        <v>1685</v>
      </c>
      <c r="E203" s="1568"/>
      <c r="F203" s="1568" t="s">
        <v>1681</v>
      </c>
      <c r="G203" s="1568" t="s">
        <v>202</v>
      </c>
      <c r="H203" s="1569">
        <v>210000000</v>
      </c>
      <c r="I203" s="1570" t="s">
        <v>1318</v>
      </c>
      <c r="J203" s="1571" t="str">
        <f>[179]!Статус</f>
        <v>28.04.25_x000D_
РСС:отправлено заказчику вилкой 210-270 млн (789_ООО_25) от 11.04.25</v>
      </c>
      <c r="K203" s="1572" t="s">
        <v>2130</v>
      </c>
      <c r="L203" s="1573" t="str">
        <f>[179]!ТКП_Тематика</f>
        <v>BFR</v>
      </c>
      <c r="M203" s="1568"/>
      <c r="N203" s="1568"/>
      <c r="O203" s="1568"/>
      <c r="P203" s="1567">
        <f>[179]!Результат_число</f>
        <v>-1</v>
      </c>
      <c r="Q203" s="1567"/>
      <c r="R203" s="1567"/>
      <c r="S203" s="1567"/>
      <c r="T203" s="1568"/>
      <c r="U203" s="1568"/>
      <c r="V203" s="1568"/>
      <c r="W203" s="1568"/>
      <c r="X203" s="1568"/>
      <c r="Y203" s="1568"/>
      <c r="Z203" s="1568"/>
    </row>
    <row r="204" spans="2:26" ht="96" x14ac:dyDescent="0.2">
      <c r="B204" s="881">
        <f t="shared" si="9"/>
        <v>199</v>
      </c>
      <c r="C204" s="1714"/>
      <c r="D204" s="914" t="s">
        <v>1682</v>
      </c>
      <c r="E204" s="896"/>
      <c r="F204" s="899" t="s">
        <v>1683</v>
      </c>
      <c r="G204" s="42" t="s">
        <v>47</v>
      </c>
      <c r="H204" s="886">
        <v>55000000</v>
      </c>
      <c r="I204" s="898" t="s">
        <v>423</v>
      </c>
      <c r="J204" s="1485" t="str">
        <f>[180]!Статус</f>
        <v>04.03.25_x000D_
ОМ: требуется подготовить ТКП и отправка заказчику</v>
      </c>
      <c r="K204" s="904" t="s">
        <v>2145</v>
      </c>
      <c r="L204" s="898" t="str">
        <f>[180]!ТКП_Тематика</f>
        <v>NI</v>
      </c>
      <c r="M204" s="897"/>
      <c r="N204" s="1"/>
      <c r="O204" s="1"/>
      <c r="P204" s="901">
        <f>[180]!Результат_число</f>
        <v>1</v>
      </c>
      <c r="Q204" s="896"/>
      <c r="R204" s="896"/>
      <c r="S204" s="896"/>
    </row>
    <row r="205" spans="2:26" ht="108" hidden="1" x14ac:dyDescent="0.25">
      <c r="B205" s="891">
        <f t="shared" si="9"/>
        <v>200</v>
      </c>
      <c r="C205" s="1714"/>
      <c r="D205" s="902" t="s">
        <v>1691</v>
      </c>
      <c r="E205" s="891"/>
      <c r="F205" s="905" t="s">
        <v>1721</v>
      </c>
      <c r="G205" s="905" t="s">
        <v>1687</v>
      </c>
      <c r="H205" s="886">
        <v>1558716</v>
      </c>
      <c r="I205" s="894" t="s">
        <v>39</v>
      </c>
      <c r="J205" s="1115">
        <f>[181]!Статус</f>
        <v>0</v>
      </c>
      <c r="K205" s="893" t="s">
        <v>1724</v>
      </c>
      <c r="L205" s="894">
        <f>[181]!ТКП_Тематика</f>
        <v>0</v>
      </c>
      <c r="M205" s="892"/>
      <c r="N205" s="892"/>
      <c r="O205" s="892"/>
      <c r="P205" s="891">
        <f>[181]!Результат_число</f>
        <v>0</v>
      </c>
      <c r="Q205" s="891"/>
      <c r="R205" s="891"/>
      <c r="S205" s="891"/>
      <c r="T205" s="892"/>
      <c r="U205" s="892"/>
      <c r="V205" s="892"/>
      <c r="W205" s="892"/>
      <c r="X205" s="892"/>
      <c r="Y205" s="892"/>
      <c r="Z205" s="892"/>
    </row>
    <row r="206" spans="2:26" ht="84" hidden="1" x14ac:dyDescent="0.2">
      <c r="B206" s="906">
        <f t="shared" si="9"/>
        <v>201</v>
      </c>
      <c r="C206" s="1714"/>
      <c r="D206" s="912" t="s">
        <v>1692</v>
      </c>
      <c r="E206" s="891"/>
      <c r="F206" s="907" t="s">
        <v>1701</v>
      </c>
      <c r="G206" s="996" t="s">
        <v>338</v>
      </c>
      <c r="H206" s="886" t="s">
        <v>49</v>
      </c>
      <c r="I206" s="908" t="s">
        <v>826</v>
      </c>
      <c r="J206" s="953" t="str">
        <f>[182]!Статус</f>
        <v>05.03.25_x000D_
_x000D_ Созвонились с представителем заказчика - Болотов А.В., модернизируют стоечную систему. Ждем данные по частотам опроса, предварительно подсказали заказчику о возможности использовать каналы MR-114 с клемника XT01</v>
      </c>
      <c r="K206" s="909" t="s">
        <v>2022</v>
      </c>
      <c r="L206" s="908">
        <f>[182]!ТКП_Тематика</f>
        <v>0</v>
      </c>
      <c r="M206" s="910"/>
      <c r="N206" s="910"/>
      <c r="O206" s="910"/>
      <c r="P206" s="911">
        <f>[183]!Результат_число</f>
        <v>0</v>
      </c>
      <c r="Q206" s="906"/>
      <c r="R206" s="906"/>
      <c r="S206" s="906"/>
      <c r="T206" s="910"/>
      <c r="U206" s="910"/>
      <c r="V206" s="910"/>
      <c r="W206" s="910"/>
      <c r="X206" s="910"/>
      <c r="Y206" s="910"/>
      <c r="Z206" s="910"/>
    </row>
    <row r="207" spans="2:26" ht="36" hidden="1" x14ac:dyDescent="0.25">
      <c r="B207" s="891">
        <f t="shared" si="9"/>
        <v>202</v>
      </c>
      <c r="C207" s="1714"/>
      <c r="D207" s="902" t="s">
        <v>1693</v>
      </c>
      <c r="E207" s="891"/>
      <c r="F207" s="905" t="s">
        <v>1699</v>
      </c>
      <c r="G207" s="905" t="s">
        <v>1694</v>
      </c>
      <c r="H207" s="886" t="s">
        <v>49</v>
      </c>
      <c r="I207" s="908" t="s">
        <v>1703</v>
      </c>
      <c r="J207" s="800">
        <f>[184]!Статус</f>
        <v>0</v>
      </c>
      <c r="K207" s="893" t="s">
        <v>1695</v>
      </c>
      <c r="L207" s="894" t="str">
        <f>[184]!ТКП_Тематика</f>
        <v>ARF</v>
      </c>
      <c r="M207" s="892"/>
      <c r="N207" s="892"/>
      <c r="O207" s="892"/>
      <c r="P207" s="901">
        <f>[184]!Результат_число</f>
        <v>-1</v>
      </c>
      <c r="Q207" s="891"/>
      <c r="R207" s="891"/>
      <c r="S207" s="891"/>
      <c r="T207" s="892"/>
      <c r="U207" s="892"/>
      <c r="V207" s="892"/>
      <c r="W207" s="892"/>
      <c r="X207" s="892"/>
      <c r="Y207" s="892"/>
      <c r="Z207" s="892"/>
    </row>
    <row r="208" spans="2:26" ht="60" hidden="1" x14ac:dyDescent="0.25">
      <c r="B208" s="891">
        <f t="shared" si="9"/>
        <v>203</v>
      </c>
      <c r="C208" s="174"/>
      <c r="D208" s="489" t="s">
        <v>1696</v>
      </c>
      <c r="E208" s="891"/>
      <c r="F208" s="905" t="s">
        <v>1722</v>
      </c>
      <c r="G208" s="997" t="s">
        <v>78</v>
      </c>
      <c r="H208" s="886">
        <v>72000000</v>
      </c>
      <c r="I208" s="594" t="s">
        <v>826</v>
      </c>
      <c r="J208" s="954" t="str">
        <f>[185]!Статус</f>
        <v>19.03.25_x000D_
Согласован с ГД - 18.03.25</v>
      </c>
      <c r="K208" s="893" t="s">
        <v>1725</v>
      </c>
      <c r="L208" s="894">
        <f>[185]!ТКП_Тематика</f>
        <v>0</v>
      </c>
      <c r="M208" s="892"/>
      <c r="N208" s="892"/>
      <c r="O208" s="892"/>
      <c r="P208" s="901">
        <f>[185]!Результат_число</f>
        <v>0</v>
      </c>
      <c r="Q208" s="891"/>
      <c r="R208" s="891"/>
      <c r="S208" s="891"/>
      <c r="T208" s="892"/>
      <c r="U208" s="892"/>
      <c r="V208" s="892"/>
      <c r="W208" s="892"/>
      <c r="X208" s="892"/>
      <c r="Y208" s="892"/>
      <c r="Z208" s="892"/>
    </row>
    <row r="209" spans="2:26" ht="96" hidden="1" x14ac:dyDescent="0.2">
      <c r="B209" s="915">
        <f t="shared" si="9"/>
        <v>204</v>
      </c>
      <c r="C209" s="1714"/>
      <c r="D209" s="935" t="s">
        <v>1707</v>
      </c>
      <c r="E209" s="915"/>
      <c r="F209" s="916" t="s">
        <v>1710</v>
      </c>
      <c r="G209" s="998" t="s">
        <v>78</v>
      </c>
      <c r="H209" s="1064">
        <v>14000000</v>
      </c>
      <c r="I209" s="917" t="s">
        <v>826</v>
      </c>
      <c r="J209" s="1121" t="str">
        <f>[186]!Статус</f>
        <v>22.05.25_x000D_
проиграли конкурс Zetlab???_x000D_
ОМ: согалсование с заказчиком новых сроков в ТЗ (перв. Раз. Отказ от конкурса т.к. не вписывались в сроки по ГР)</v>
      </c>
      <c r="K209" s="918" t="s">
        <v>1744</v>
      </c>
      <c r="L209" s="917" t="str">
        <f>[186]!ТКП_Тематика</f>
        <v>O</v>
      </c>
      <c r="M209" s="919"/>
      <c r="N209" s="98"/>
      <c r="O209" s="98"/>
      <c r="P209" s="920">
        <f>[186]!Результат_число</f>
        <v>0</v>
      </c>
      <c r="Q209" s="915"/>
      <c r="R209" s="915"/>
      <c r="S209" s="915"/>
      <c r="T209" s="919"/>
      <c r="U209" s="919"/>
      <c r="V209" s="919"/>
      <c r="W209" s="919"/>
      <c r="X209" s="919"/>
      <c r="Y209" s="919"/>
      <c r="Z209" s="919"/>
    </row>
    <row r="210" spans="2:26" ht="36" hidden="1" x14ac:dyDescent="0.2">
      <c r="B210" s="906">
        <f t="shared" si="9"/>
        <v>205</v>
      </c>
      <c r="C210" s="1714"/>
      <c r="D210" s="921" t="s">
        <v>1719</v>
      </c>
      <c r="E210" s="906"/>
      <c r="F210" s="907" t="s">
        <v>1711</v>
      </c>
      <c r="G210" s="996" t="s">
        <v>78</v>
      </c>
      <c r="H210" s="1054">
        <v>15000000</v>
      </c>
      <c r="I210" s="917" t="s">
        <v>826</v>
      </c>
      <c r="J210" s="1121">
        <f>[187]!Статус</f>
        <v>0</v>
      </c>
      <c r="K210" s="909" t="s">
        <v>2169</v>
      </c>
      <c r="L210" s="908" t="str">
        <f>[187]!ТКП_Тематика</f>
        <v>O</v>
      </c>
      <c r="M210" s="910"/>
      <c r="N210" s="98"/>
      <c r="O210" s="98"/>
      <c r="P210" s="911">
        <f>[187]!Результат_число</f>
        <v>0</v>
      </c>
      <c r="Q210" s="906"/>
      <c r="R210" s="906"/>
      <c r="S210" s="906"/>
      <c r="T210" s="910"/>
      <c r="U210" s="910"/>
      <c r="V210" s="910"/>
      <c r="W210" s="910"/>
      <c r="X210" s="910"/>
      <c r="Y210" s="910"/>
      <c r="Z210" s="910"/>
    </row>
    <row r="211" spans="2:26" ht="96" hidden="1" x14ac:dyDescent="0.25">
      <c r="B211" s="915">
        <f t="shared" si="9"/>
        <v>206</v>
      </c>
      <c r="C211" s="1714"/>
      <c r="D211" s="921" t="s">
        <v>1709</v>
      </c>
      <c r="E211" s="915"/>
      <c r="F211" s="916" t="s">
        <v>1712</v>
      </c>
      <c r="G211" s="998" t="s">
        <v>73</v>
      </c>
      <c r="H211" s="1034">
        <v>70000000</v>
      </c>
      <c r="I211" s="917" t="s">
        <v>1318</v>
      </c>
      <c r="J211" s="1116" t="str">
        <f>[188]!Статус</f>
        <v>18.03.25_x000D_
РСС проработало системы и передало ТКП на проверку ОМ_x000D_
ОМ: отправить ТКП Заказчику на 2 стенда</v>
      </c>
      <c r="K211" s="918" t="s">
        <v>1745</v>
      </c>
      <c r="L211" s="917" t="str">
        <f>[188]!ТКП_Тематика</f>
        <v>DI</v>
      </c>
      <c r="M211" s="919"/>
      <c r="N211" s="98"/>
      <c r="O211" s="98"/>
      <c r="P211" s="920">
        <f>[188]!Результат_число</f>
        <v>0</v>
      </c>
      <c r="Q211" s="915"/>
      <c r="R211" s="915"/>
      <c r="S211" s="915"/>
      <c r="T211" s="919"/>
      <c r="U211" s="919"/>
      <c r="V211" s="919"/>
      <c r="W211" s="919"/>
      <c r="X211" s="919"/>
      <c r="Y211" s="919"/>
      <c r="Z211" s="919"/>
    </row>
    <row r="212" spans="2:26" ht="36" hidden="1" x14ac:dyDescent="0.25">
      <c r="B212" s="906">
        <v>250</v>
      </c>
      <c r="C212" s="1714"/>
      <c r="D212" s="936" t="s">
        <v>1717</v>
      </c>
      <c r="E212" s="906"/>
      <c r="F212" s="907" t="s">
        <v>1718</v>
      </c>
      <c r="G212" s="996" t="s">
        <v>1095</v>
      </c>
      <c r="H212" s="1054">
        <v>200000000</v>
      </c>
      <c r="I212" s="806" t="s">
        <v>1816</v>
      </c>
      <c r="J212" s="1055" t="str">
        <f>[189]!Статус</f>
        <v>21.03.25_x000D_
Передано в ОКП для проработки (ждем ответ, берут или нет)</v>
      </c>
      <c r="K212" s="909" t="s">
        <v>1730</v>
      </c>
      <c r="L212" s="908" t="str">
        <f>[189]!ТКП_Тематика</f>
        <v>BRF</v>
      </c>
      <c r="M212" s="910"/>
      <c r="N212" s="911">
        <v>1</v>
      </c>
      <c r="O212" s="906"/>
      <c r="P212" s="911">
        <v>-1</v>
      </c>
      <c r="Q212" s="906"/>
      <c r="R212" s="915"/>
      <c r="S212" s="915"/>
      <c r="T212" s="919"/>
      <c r="U212" s="919"/>
      <c r="V212" s="919"/>
      <c r="W212" s="919"/>
      <c r="X212" s="919"/>
      <c r="Y212" s="919"/>
      <c r="Z212" s="919"/>
    </row>
    <row r="213" spans="2:26" ht="96" hidden="1" x14ac:dyDescent="0.25">
      <c r="B213" s="906">
        <v>250</v>
      </c>
      <c r="C213" s="174"/>
      <c r="D213" s="319" t="s">
        <v>1720</v>
      </c>
      <c r="E213" s="906"/>
      <c r="F213" s="907" t="s">
        <v>1723</v>
      </c>
      <c r="G213" s="996" t="s">
        <v>1312</v>
      </c>
      <c r="H213" s="1035">
        <v>40000000</v>
      </c>
      <c r="I213" s="806" t="s">
        <v>65</v>
      </c>
      <c r="J213" s="1039" t="str">
        <f>[190]!Статус</f>
        <v>20.03.25_x000D_
Запрос пришел по телефону. Просят оборудование для расширения ст.9 (заказ 1600)_x000D_
_x000D_РСС: проработана схема и спецификация_x000D_ - 20.03.25_x000D_
ОМ: требуется согласование и отправка ТКП</v>
      </c>
      <c r="K213" s="909" t="s">
        <v>1747</v>
      </c>
      <c r="L213" s="908" t="str">
        <f>[190]!ТКП_Тематика</f>
        <v>BF</v>
      </c>
      <c r="M213" s="910"/>
      <c r="N213" s="911">
        <v>1</v>
      </c>
      <c r="O213" s="906"/>
      <c r="P213" s="911">
        <f>[190]!Результат_число</f>
        <v>0</v>
      </c>
      <c r="Q213" s="906"/>
      <c r="R213" s="915"/>
      <c r="S213" s="915"/>
      <c r="T213" s="919"/>
      <c r="U213" s="919"/>
      <c r="V213" s="919"/>
      <c r="W213" s="919"/>
      <c r="X213" s="919"/>
      <c r="Y213" s="919"/>
      <c r="Z213" s="919"/>
    </row>
    <row r="214" spans="2:26" ht="60" hidden="1" x14ac:dyDescent="0.25">
      <c r="B214" s="906">
        <f t="shared" ref="B214:B219" si="10">ROW()-ROW($B$5)</f>
        <v>209</v>
      </c>
      <c r="C214" s="1714"/>
      <c r="D214" s="1009" t="s">
        <v>1713</v>
      </c>
      <c r="E214" s="906"/>
      <c r="F214" s="907" t="s">
        <v>1714</v>
      </c>
      <c r="G214" s="996" t="s">
        <v>1715</v>
      </c>
      <c r="H214" s="1054"/>
      <c r="I214" s="806" t="s">
        <v>1296</v>
      </c>
      <c r="J214" s="1056" t="str">
        <f>[191]!Статус</f>
        <v>28.04.25_x000D_
заказчику переданы схемы и вопросы, примерно названа стоимость подобных систем, передан пример ТЗ (рыба). Ждем реакции</v>
      </c>
      <c r="K214" s="909" t="s">
        <v>1716</v>
      </c>
      <c r="L214" s="908" t="str">
        <f>[191]!ТКП_Тематика</f>
        <v>DFI</v>
      </c>
      <c r="M214" s="910"/>
      <c r="N214" s="1"/>
      <c r="O214" s="1"/>
      <c r="P214" s="911">
        <f>[191]!Результат_число</f>
        <v>-1</v>
      </c>
      <c r="Q214" s="906"/>
      <c r="R214" s="906"/>
      <c r="S214" s="906"/>
      <c r="T214" s="910"/>
      <c r="U214" s="910"/>
      <c r="V214" s="910"/>
      <c r="W214" s="910"/>
      <c r="X214" s="910"/>
      <c r="Y214" s="910"/>
      <c r="Z214" s="910"/>
    </row>
    <row r="215" spans="2:26" ht="300" hidden="1" x14ac:dyDescent="0.25">
      <c r="B215" s="929">
        <f t="shared" si="10"/>
        <v>210</v>
      </c>
      <c r="C215" s="1725"/>
      <c r="D215" s="962" t="s">
        <v>1529</v>
      </c>
      <c r="E215" s="938">
        <v>3209</v>
      </c>
      <c r="F215" s="930"/>
      <c r="G215" s="930" t="s">
        <v>205</v>
      </c>
      <c r="H215" s="931">
        <v>165131165</v>
      </c>
      <c r="I215" s="806" t="s">
        <v>39</v>
      </c>
      <c r="J215" s="939" t="str">
        <f>[192]!Статус</f>
        <v>20.01.25_x000D_
УМП: подготовка договора до,</v>
      </c>
      <c r="K215" s="933" t="s">
        <v>2173</v>
      </c>
      <c r="L215" s="934" t="str">
        <f>[192]!ТКП_Тематика</f>
        <v>BFI</v>
      </c>
      <c r="M215" s="932"/>
      <c r="N215" s="1"/>
      <c r="O215" s="1"/>
      <c r="P215" s="929">
        <f>[192]!Результат_число</f>
        <v>0</v>
      </c>
      <c r="Q215" s="929"/>
      <c r="R215" s="929"/>
      <c r="S215" s="929"/>
      <c r="T215" s="932"/>
      <c r="U215" s="932"/>
      <c r="V215" s="932"/>
      <c r="W215" s="932"/>
      <c r="X215" s="932"/>
      <c r="Y215" s="932"/>
      <c r="Z215" s="932"/>
    </row>
    <row r="216" spans="2:26" ht="84" hidden="1" x14ac:dyDescent="0.25">
      <c r="B216" s="940">
        <f t="shared" si="10"/>
        <v>211</v>
      </c>
      <c r="C216" s="1714"/>
      <c r="D216" s="1127" t="s">
        <v>1727</v>
      </c>
      <c r="E216" s="940"/>
      <c r="F216" s="941" t="s">
        <v>1732</v>
      </c>
      <c r="G216" s="942" t="s">
        <v>6</v>
      </c>
      <c r="H216" s="1167">
        <v>30000000</v>
      </c>
      <c r="I216" s="892" t="s">
        <v>1318</v>
      </c>
      <c r="J216" s="781" t="str">
        <f>[193]!Статус</f>
        <v>21.03.25_x000D_
РСС: отправлена схема заказчику 13.03.25 (ждем ответ)
17.04. Созвонились заказчик пока схему не в состоянии посмотреть большая загрузка.</v>
      </c>
      <c r="K216" s="942" t="s">
        <v>1871</v>
      </c>
      <c r="L216" s="943">
        <f>[193]!ТКП_Тематика</f>
        <v>0</v>
      </c>
      <c r="M216" s="944"/>
      <c r="N216" s="1"/>
      <c r="O216" s="1"/>
      <c r="P216" s="951">
        <f>[193]!Результат_число</f>
        <v>0</v>
      </c>
      <c r="Q216" s="940"/>
      <c r="R216" s="940"/>
      <c r="S216" s="940"/>
      <c r="T216" s="892"/>
      <c r="U216" s="892"/>
      <c r="V216" s="892"/>
      <c r="W216" s="892"/>
      <c r="X216" s="892"/>
      <c r="Y216" s="892"/>
      <c r="Z216" s="892"/>
    </row>
    <row r="217" spans="2:26" ht="72" hidden="1" x14ac:dyDescent="0.2">
      <c r="B217" s="940">
        <f t="shared" si="10"/>
        <v>212</v>
      </c>
      <c r="C217" s="1714"/>
      <c r="D217" s="962" t="s">
        <v>1728</v>
      </c>
      <c r="E217" s="945"/>
      <c r="F217" s="946" t="s">
        <v>1731</v>
      </c>
      <c r="G217" s="946" t="s">
        <v>1729</v>
      </c>
      <c r="H217" s="947">
        <v>500000000</v>
      </c>
      <c r="I217" s="892" t="s">
        <v>1318</v>
      </c>
      <c r="J217" s="988" t="str">
        <f>[194]!Статус</f>
        <v>21.03.25_x000D_
РСС: Проведен созвон с потенциальным поставщиком гидротормоза (Протон ПМ)_x000D_
План созвон с заказчиком до 24.03.25</v>
      </c>
      <c r="K217" s="948" t="s">
        <v>1777</v>
      </c>
      <c r="L217" s="949">
        <f>[195]!ТКП_Тематика</f>
        <v>0</v>
      </c>
      <c r="M217" s="950"/>
      <c r="N217" s="1"/>
      <c r="O217" s="1"/>
      <c r="P217" s="952">
        <f>[195]!Результат_число</f>
        <v>-1</v>
      </c>
      <c r="Q217" s="945"/>
      <c r="R217" s="945"/>
      <c r="S217" s="945"/>
      <c r="T217" s="910"/>
      <c r="U217" s="910"/>
      <c r="V217" s="910"/>
      <c r="W217" s="910"/>
      <c r="X217" s="910"/>
      <c r="Y217" s="910"/>
      <c r="Z217" s="910"/>
    </row>
    <row r="218" spans="2:26" ht="48" hidden="1" x14ac:dyDescent="0.25">
      <c r="B218" s="940">
        <f t="shared" si="10"/>
        <v>213</v>
      </c>
      <c r="C218" s="1714"/>
      <c r="D218" s="1229" t="s">
        <v>1738</v>
      </c>
      <c r="E218" s="945"/>
      <c r="F218" s="946" t="s">
        <v>1733</v>
      </c>
      <c r="G218" s="948" t="s">
        <v>20</v>
      </c>
      <c r="H218" s="947">
        <v>500000000</v>
      </c>
      <c r="I218" s="945">
        <v>4</v>
      </c>
      <c r="J218" s="1248" t="str">
        <f>[196]!Статус</f>
        <v>28.04.25_x000D_
планируем поездку в Энергомаш до 30.05.25 с целью посмотреть аналогичный стенд, для того же изделия</v>
      </c>
      <c r="K218" s="948"/>
      <c r="L218" s="949" t="str">
        <f>[196]!ТКП_Тематика</f>
        <v>B</v>
      </c>
      <c r="M218" s="950"/>
      <c r="N218" s="1"/>
      <c r="O218" s="1"/>
      <c r="P218" s="952">
        <f>[196]!Результат_число</f>
        <v>-1</v>
      </c>
      <c r="Q218" s="945"/>
      <c r="R218" s="945"/>
      <c r="S218" s="945"/>
      <c r="T218" s="910"/>
      <c r="U218" s="910"/>
      <c r="V218" s="910"/>
      <c r="W218" s="910"/>
      <c r="X218" s="910"/>
      <c r="Y218" s="910"/>
      <c r="Z218" s="910"/>
    </row>
    <row r="219" spans="2:26" ht="48" hidden="1" x14ac:dyDescent="0.25">
      <c r="B219" s="956">
        <f t="shared" si="10"/>
        <v>214</v>
      </c>
      <c r="C219" s="1725"/>
      <c r="D219" s="963" t="s">
        <v>1734</v>
      </c>
      <c r="E219" s="956"/>
      <c r="F219" s="957"/>
      <c r="G219" s="957" t="s">
        <v>1735</v>
      </c>
      <c r="H219" s="958" t="s">
        <v>49</v>
      </c>
      <c r="I219" s="959"/>
      <c r="J219" s="966">
        <f>[197]!Статус</f>
        <v>0</v>
      </c>
      <c r="K219" s="960" t="s">
        <v>1736</v>
      </c>
      <c r="L219" s="961">
        <f>[197]!ТКП_Тематика</f>
        <v>0</v>
      </c>
      <c r="M219" s="959"/>
      <c r="N219" s="1"/>
      <c r="O219" s="1"/>
      <c r="P219" s="964">
        <f>[197]!Результат_число</f>
        <v>-1</v>
      </c>
      <c r="Q219" s="956"/>
      <c r="R219" s="956"/>
      <c r="S219" s="956"/>
      <c r="T219" s="959"/>
      <c r="U219" s="959"/>
      <c r="V219" s="959"/>
      <c r="W219" s="959"/>
      <c r="X219" s="959"/>
      <c r="Y219" s="959"/>
      <c r="Z219" s="959"/>
    </row>
    <row r="220" spans="2:26" ht="48" hidden="1" x14ac:dyDescent="0.25">
      <c r="B220" s="940">
        <v>254</v>
      </c>
      <c r="C220" s="1714"/>
      <c r="D220" s="1018" t="s">
        <v>1728</v>
      </c>
      <c r="E220" s="945"/>
      <c r="F220" s="946" t="s">
        <v>1731</v>
      </c>
      <c r="G220" s="991" t="s">
        <v>1750</v>
      </c>
      <c r="H220" s="947">
        <v>500000000</v>
      </c>
      <c r="I220" s="950" t="s">
        <v>65</v>
      </c>
      <c r="J220" s="1122" t="str">
        <f>[198]!Статус</f>
        <v>28.04.25_x000D_
Отправлено письмо о возможности проработки концепт проекта (за подписью Попова) - 22.04.25 (881_АО_25)</v>
      </c>
      <c r="K220" s="948"/>
      <c r="L220" s="949">
        <f>[198]!ТКП_Тематика</f>
        <v>0</v>
      </c>
      <c r="M220" s="950"/>
      <c r="N220" s="952">
        <v>1</v>
      </c>
      <c r="O220" s="945"/>
      <c r="P220" s="952">
        <f>[198]!Результат_число</f>
        <v>-1</v>
      </c>
      <c r="Q220" s="945"/>
      <c r="R220" s="993"/>
      <c r="S220" s="993"/>
      <c r="T220" s="994"/>
      <c r="U220" s="994"/>
      <c r="V220" s="994"/>
      <c r="W220" s="994"/>
      <c r="X220" s="994"/>
      <c r="Y220" s="994"/>
      <c r="Z220" s="994"/>
    </row>
    <row r="221" spans="2:26" ht="36" hidden="1" x14ac:dyDescent="0.25">
      <c r="B221" s="940">
        <f t="shared" ref="B221:B240" si="11">ROW()-ROW($B$5)</f>
        <v>216</v>
      </c>
      <c r="C221" s="1714"/>
      <c r="D221" s="1009" t="s">
        <v>1737</v>
      </c>
      <c r="E221" s="975"/>
      <c r="F221" s="976"/>
      <c r="G221" s="999" t="s">
        <v>338</v>
      </c>
      <c r="H221" s="977"/>
      <c r="I221" s="978"/>
      <c r="J221" s="1117" t="str">
        <f>[199]!Статус</f>
        <v>22.11.24_x000D_
не актуально.</v>
      </c>
      <c r="K221" s="979" t="s">
        <v>1749</v>
      </c>
      <c r="L221" s="980">
        <f>[199]!ТКП_Тематика</f>
        <v>0</v>
      </c>
      <c r="M221" s="978"/>
      <c r="N221" s="1"/>
      <c r="O221" s="1"/>
      <c r="P221" s="965">
        <f>[199]!Результат_число</f>
        <v>-1</v>
      </c>
      <c r="Q221" s="975"/>
      <c r="R221" s="975"/>
      <c r="S221" s="975"/>
      <c r="T221" s="955"/>
      <c r="U221" s="955"/>
      <c r="V221" s="955"/>
      <c r="W221" s="955"/>
      <c r="X221" s="955"/>
      <c r="Y221" s="955"/>
      <c r="Z221" s="955"/>
    </row>
    <row r="222" spans="2:26" ht="36" hidden="1" x14ac:dyDescent="0.25">
      <c r="B222" s="967">
        <f t="shared" si="11"/>
        <v>217</v>
      </c>
      <c r="C222" s="1725"/>
      <c r="D222" s="973" t="s">
        <v>174</v>
      </c>
      <c r="E222" s="967"/>
      <c r="F222" s="968"/>
      <c r="G222" s="968" t="s">
        <v>1742</v>
      </c>
      <c r="H222" s="969">
        <v>7874950</v>
      </c>
      <c r="I222" s="970"/>
      <c r="J222" s="974" t="str">
        <f>[200]!Статус</f>
        <v>07.04.25_x000D_
0</v>
      </c>
      <c r="K222" s="971" t="s">
        <v>1743</v>
      </c>
      <c r="L222" s="972">
        <f>[200]!ТКП_Тематика</f>
        <v>0</v>
      </c>
      <c r="M222" s="970"/>
      <c r="N222" s="1"/>
      <c r="O222" s="1"/>
      <c r="P222" s="967">
        <f>[200]!Результат_число</f>
        <v>-1</v>
      </c>
      <c r="Q222" s="967"/>
      <c r="R222" s="967"/>
      <c r="S222" s="967"/>
      <c r="T222" s="970"/>
      <c r="U222" s="970"/>
      <c r="V222" s="970"/>
      <c r="W222" s="970"/>
      <c r="X222" s="970"/>
      <c r="Y222" s="970"/>
      <c r="Z222" s="970"/>
    </row>
    <row r="223" spans="2:26" ht="15" hidden="1" x14ac:dyDescent="0.25">
      <c r="B223" s="981">
        <f t="shared" si="11"/>
        <v>218</v>
      </c>
      <c r="C223" s="1714"/>
      <c r="D223" s="973" t="s">
        <v>1746</v>
      </c>
      <c r="E223" s="981"/>
      <c r="F223" s="982"/>
      <c r="G223" s="699" t="s">
        <v>4</v>
      </c>
      <c r="H223" s="983">
        <v>1551635</v>
      </c>
      <c r="I223" s="986" t="s">
        <v>92</v>
      </c>
      <c r="J223" s="989">
        <f>[195]!Статус</f>
        <v>0</v>
      </c>
      <c r="K223" s="985" t="s">
        <v>2127</v>
      </c>
      <c r="L223" s="986">
        <f>[195]!ТКП_Тематика</f>
        <v>0</v>
      </c>
      <c r="M223" s="984"/>
      <c r="N223" s="1"/>
      <c r="O223" s="1"/>
      <c r="P223" s="987">
        <f>[195]!Результат_число</f>
        <v>-1</v>
      </c>
      <c r="Q223" s="981"/>
      <c r="R223" s="981"/>
      <c r="S223" s="981"/>
      <c r="T223" s="970"/>
      <c r="U223" s="970"/>
      <c r="V223" s="970"/>
      <c r="W223" s="970"/>
      <c r="X223" s="970"/>
      <c r="Y223" s="970"/>
      <c r="Z223" s="970"/>
    </row>
    <row r="224" spans="2:26" ht="36" hidden="1" x14ac:dyDescent="0.25">
      <c r="B224" s="940">
        <f t="shared" si="11"/>
        <v>219</v>
      </c>
      <c r="C224" s="174"/>
      <c r="D224" s="489" t="s">
        <v>1751</v>
      </c>
      <c r="E224" s="990"/>
      <c r="F224" s="1045" t="s">
        <v>258</v>
      </c>
      <c r="G224" s="991" t="s">
        <v>1750</v>
      </c>
      <c r="H224" s="1062">
        <v>600000000</v>
      </c>
      <c r="I224" s="990" t="s">
        <v>1318</v>
      </c>
      <c r="J224" s="1122" t="str">
        <f>[201]!Статус</f>
        <v>28.04.25_x000D_
Отправлены вопросы 17.04.25. Созвон с заказчиком (Солдатов - 29.04.25)</v>
      </c>
      <c r="K224" s="1000" t="s">
        <v>1820</v>
      </c>
      <c r="L224" s="992" t="str">
        <f>[201]!ТКП_Тематика</f>
        <v>BFHNR</v>
      </c>
      <c r="M224" s="992"/>
      <c r="N224" s="1"/>
      <c r="O224" s="1"/>
      <c r="P224" s="1016">
        <f>[201]!Результат_число</f>
        <v>-1</v>
      </c>
      <c r="Q224" s="990"/>
      <c r="R224" s="990"/>
      <c r="S224" s="990"/>
    </row>
    <row r="225" spans="2:26" ht="228" hidden="1" x14ac:dyDescent="0.25">
      <c r="B225" s="1574">
        <f t="shared" si="11"/>
        <v>220</v>
      </c>
      <c r="C225" s="1724"/>
      <c r="D225" s="1019" t="s">
        <v>1197</v>
      </c>
      <c r="E225" s="1574"/>
      <c r="F225" s="1576"/>
      <c r="G225" s="1576" t="s">
        <v>78</v>
      </c>
      <c r="H225" s="1577">
        <v>83792017</v>
      </c>
      <c r="I225" s="1574"/>
      <c r="J225" s="1578" t="str">
        <f>[202]!Статус</f>
        <v>18.04.24_x000D_
ОМ: Заказчик продолжает согласование протокола разногласий к Договору. Статус закупки на ЭТП - работа комиссии._x000D_
РСС: Вх.400 - гар. Письмо. Требуется предзапуск?</v>
      </c>
      <c r="K225" s="1579" t="s">
        <v>2301</v>
      </c>
      <c r="L225" s="1580" t="str">
        <f>[202]!ТКП_Тематика</f>
        <v>BD</v>
      </c>
      <c r="M225" s="1580"/>
      <c r="N225" s="12"/>
      <c r="O225" s="12"/>
      <c r="P225" s="1574">
        <f>[202]!Результат_число</f>
        <v>0</v>
      </c>
      <c r="Q225" s="1574"/>
      <c r="R225" s="1574"/>
      <c r="S225" s="1574"/>
      <c r="T225" s="1580"/>
      <c r="U225" s="1580"/>
      <c r="V225" s="1580"/>
      <c r="W225" s="1580"/>
      <c r="X225" s="1580"/>
      <c r="Y225" s="1580"/>
      <c r="Z225" s="1580"/>
    </row>
    <row r="226" spans="2:26" ht="84" hidden="1" x14ac:dyDescent="0.25">
      <c r="B226" s="1581">
        <f t="shared" si="11"/>
        <v>221</v>
      </c>
      <c r="C226" s="1724"/>
      <c r="D226" s="1019" t="s">
        <v>1752</v>
      </c>
      <c r="E226" s="1581"/>
      <c r="F226" s="1582"/>
      <c r="G226" s="1582" t="s">
        <v>1687</v>
      </c>
      <c r="H226" s="1583">
        <v>197839802.06999999</v>
      </c>
      <c r="I226" s="1581"/>
      <c r="J226" s="1575" t="str">
        <f>[203]!Статус</f>
        <v>19.03.24_x000D_
ОМ: Проработка договора и РКМ</v>
      </c>
      <c r="K226" s="1584" t="s">
        <v>2146</v>
      </c>
      <c r="L226" s="1585" t="str">
        <f>[203]!ТКП_Тематика</f>
        <v>BRFJ</v>
      </c>
      <c r="M226" s="1585"/>
      <c r="N226" s="12"/>
      <c r="O226" s="12"/>
      <c r="P226" s="1581">
        <f>[203]!Результат_число</f>
        <v>0</v>
      </c>
      <c r="Q226" s="1581"/>
      <c r="R226" s="1581"/>
      <c r="S226" s="1581"/>
      <c r="T226" s="1585"/>
      <c r="U226" s="1585"/>
      <c r="V226" s="1585"/>
      <c r="W226" s="1585"/>
      <c r="X226" s="1585"/>
      <c r="Y226" s="1585"/>
      <c r="Z226" s="1585"/>
    </row>
    <row r="227" spans="2:26" ht="48" hidden="1" x14ac:dyDescent="0.25">
      <c r="B227" s="1001">
        <f t="shared" si="11"/>
        <v>222</v>
      </c>
      <c r="C227" s="1714"/>
      <c r="D227" s="1010" t="s">
        <v>556</v>
      </c>
      <c r="E227" s="1001"/>
      <c r="F227" s="1002"/>
      <c r="G227" s="1002" t="s">
        <v>558</v>
      </c>
      <c r="H227" s="1012">
        <v>27877216</v>
      </c>
      <c r="I227" s="1001"/>
      <c r="J227" s="1011" t="str">
        <f>[204]!Статус</f>
        <v>21.02.24_x000D_
ждем аванс (обещают февраль)</v>
      </c>
      <c r="K227" s="1003" t="s">
        <v>2002</v>
      </c>
      <c r="L227" s="1004" t="str">
        <f>[204]!ТКП_Тематика</f>
        <v>IRB</v>
      </c>
      <c r="M227" s="1004"/>
      <c r="N227" s="1"/>
      <c r="O227" s="1"/>
      <c r="P227" s="1001">
        <f>[204]!Результат_число</f>
        <v>0</v>
      </c>
      <c r="Q227" s="1001"/>
      <c r="R227" s="1001"/>
      <c r="S227" s="1001"/>
      <c r="T227" s="1004"/>
      <c r="U227" s="1004"/>
      <c r="V227" s="1004"/>
      <c r="W227" s="1004"/>
      <c r="X227" s="1004"/>
      <c r="Y227" s="1004"/>
      <c r="Z227" s="1004"/>
    </row>
    <row r="228" spans="2:26" ht="84" hidden="1" x14ac:dyDescent="0.25">
      <c r="B228" s="1005">
        <f t="shared" si="11"/>
        <v>223</v>
      </c>
      <c r="C228" s="1714"/>
      <c r="D228" s="1010" t="s">
        <v>1753</v>
      </c>
      <c r="E228" s="1005"/>
      <c r="F228" s="1006"/>
      <c r="G228" s="1006" t="s">
        <v>27</v>
      </c>
      <c r="H228" s="1013" t="s">
        <v>49</v>
      </c>
      <c r="I228" s="1005"/>
      <c r="J228" s="1010" t="str">
        <f>[205]!Статус</f>
        <v>16.04.25_x000D_
07.04.25 - получено письмо с запросом и ТЗ, дедлайн до 09.04.025_x000D_
11.04.25 - заказчику направлены вопросы, и указания на неточности тз_x000D_
14.04.25 - получен ответ что запрос не актуален</v>
      </c>
      <c r="K228" s="1007" t="s">
        <v>1754</v>
      </c>
      <c r="L228" s="1008" t="str">
        <f>[205]!ТКП_Тематика</f>
        <v>FRB</v>
      </c>
      <c r="M228" s="1008"/>
      <c r="N228" s="1"/>
      <c r="O228" s="1"/>
      <c r="P228" s="1005">
        <f>[205]!Результат_число</f>
        <v>0</v>
      </c>
      <c r="Q228" s="1005"/>
      <c r="R228" s="1005"/>
      <c r="S228" s="1005"/>
      <c r="T228" s="1008"/>
      <c r="U228" s="1008"/>
      <c r="V228" s="1008"/>
      <c r="W228" s="1008"/>
      <c r="X228" s="1008"/>
      <c r="Y228" s="1008"/>
      <c r="Z228" s="1008"/>
    </row>
    <row r="229" spans="2:26" ht="48" hidden="1" x14ac:dyDescent="0.25">
      <c r="B229" s="1001">
        <f t="shared" si="11"/>
        <v>224</v>
      </c>
      <c r="C229" s="1714"/>
      <c r="D229" s="1052" t="s">
        <v>1755</v>
      </c>
      <c r="E229" s="1001"/>
      <c r="F229" s="1002"/>
      <c r="G229" s="1002" t="s">
        <v>27</v>
      </c>
      <c r="H229" s="1012"/>
      <c r="I229" s="1001"/>
      <c r="J229" s="1011">
        <f>[206]!Статус</f>
        <v>0</v>
      </c>
      <c r="K229" s="1003" t="s">
        <v>1778</v>
      </c>
      <c r="L229" s="1014">
        <f>[206]!ТКП_Тематика</f>
        <v>0</v>
      </c>
      <c r="M229" s="1004"/>
      <c r="N229" s="1"/>
      <c r="O229" s="1"/>
      <c r="P229" s="1017">
        <f>[206]!Результат_число</f>
        <v>0</v>
      </c>
      <c r="Q229" s="1001"/>
      <c r="R229" s="1001"/>
      <c r="S229" s="1001"/>
      <c r="T229" s="1004"/>
      <c r="U229" s="1004"/>
      <c r="V229" s="1004"/>
      <c r="W229" s="1004"/>
      <c r="X229" s="1004"/>
      <c r="Y229" s="1004"/>
      <c r="Z229" s="1004"/>
    </row>
    <row r="230" spans="2:26" ht="84" hidden="1" x14ac:dyDescent="0.25">
      <c r="B230" s="1005">
        <f t="shared" si="11"/>
        <v>225</v>
      </c>
      <c r="C230" s="1714"/>
      <c r="D230" s="1010" t="s">
        <v>1756</v>
      </c>
      <c r="E230" s="1005"/>
      <c r="F230" s="1006"/>
      <c r="G230" s="1006" t="s">
        <v>27</v>
      </c>
      <c r="H230" s="1013"/>
      <c r="I230" s="1005"/>
      <c r="J230" s="1010" t="str">
        <f>[207]!Статус</f>
        <v>16.04.25_x000D_
14.04.25 запрос расписан . В проработке РСС до 16.04.25</v>
      </c>
      <c r="K230" s="1007" t="s">
        <v>1779</v>
      </c>
      <c r="L230" s="1015">
        <f>[207]!ТКП_Тематика</f>
        <v>0</v>
      </c>
      <c r="M230" s="1008"/>
      <c r="N230" s="1"/>
      <c r="O230" s="1"/>
      <c r="P230" s="1005">
        <f>[207]!Результат_число</f>
        <v>0</v>
      </c>
      <c r="Q230" s="1005"/>
      <c r="R230" s="1005"/>
      <c r="S230" s="1005"/>
      <c r="T230" s="1008"/>
      <c r="U230" s="1008"/>
      <c r="V230" s="1008"/>
      <c r="W230" s="1008"/>
      <c r="X230" s="1008"/>
      <c r="Y230" s="1008"/>
      <c r="Z230" s="1008"/>
    </row>
    <row r="231" spans="2:26" ht="84" hidden="1" x14ac:dyDescent="0.25">
      <c r="B231" s="1001">
        <f t="shared" si="11"/>
        <v>226</v>
      </c>
      <c r="C231" s="1825"/>
      <c r="D231" s="1832" t="s">
        <v>1759</v>
      </c>
      <c r="E231" s="1825"/>
      <c r="F231" s="1046" t="s">
        <v>1761</v>
      </c>
      <c r="G231" s="1006" t="s">
        <v>1760</v>
      </c>
      <c r="H231" s="1013">
        <v>7000000</v>
      </c>
      <c r="I231" s="990" t="s">
        <v>1318</v>
      </c>
      <c r="J231" s="1077">
        <f>[208]!Статус</f>
        <v>0</v>
      </c>
      <c r="K231" s="1007" t="s">
        <v>1780</v>
      </c>
      <c r="L231" s="1015">
        <f>[208]!ТКП_Тематика</f>
        <v>0</v>
      </c>
      <c r="M231" s="1008"/>
      <c r="N231" s="1"/>
      <c r="O231" s="1"/>
      <c r="P231" s="1017">
        <f>[208]!Результат_число</f>
        <v>0</v>
      </c>
      <c r="Q231" s="1005"/>
      <c r="R231" s="1005"/>
      <c r="S231" s="1005"/>
      <c r="T231" s="1008"/>
      <c r="U231" s="1008"/>
      <c r="V231" s="1008"/>
      <c r="W231" s="1008"/>
      <c r="X231" s="1008"/>
      <c r="Y231" s="1008"/>
      <c r="Z231" s="1008"/>
    </row>
    <row r="232" spans="2:26" ht="60" hidden="1" x14ac:dyDescent="0.25">
      <c r="B232" s="1001">
        <f t="shared" si="11"/>
        <v>227</v>
      </c>
      <c r="C232" s="1714"/>
      <c r="D232" s="1018" t="s">
        <v>1762</v>
      </c>
      <c r="E232" s="1005"/>
      <c r="F232" s="1046" t="s">
        <v>1771</v>
      </c>
      <c r="G232" s="42" t="s">
        <v>47</v>
      </c>
      <c r="H232" s="1013">
        <v>20000000</v>
      </c>
      <c r="I232" s="990" t="s">
        <v>423</v>
      </c>
      <c r="J232" s="1248" t="str">
        <f>[209]!Статус</f>
        <v>19.05.25_x000D_
- ОП подготовка ткп до 23.05.25</v>
      </c>
      <c r="K232" s="1007" t="s">
        <v>1926</v>
      </c>
      <c r="L232" s="1015" t="str">
        <f>[209]!ТКП_Тематика</f>
        <v>FI</v>
      </c>
      <c r="M232" s="1008"/>
      <c r="N232" s="1"/>
      <c r="O232" s="1"/>
      <c r="P232" s="1017">
        <f>[209]!Результат_число</f>
        <v>0</v>
      </c>
      <c r="Q232" s="1005"/>
      <c r="R232" s="1005"/>
      <c r="S232" s="1005"/>
      <c r="T232" s="1008"/>
      <c r="U232" s="1008"/>
      <c r="V232" s="1008"/>
      <c r="W232" s="1008"/>
      <c r="X232" s="1008"/>
      <c r="Y232" s="1008"/>
      <c r="Z232" s="1008"/>
    </row>
    <row r="233" spans="2:26" ht="36" hidden="1" x14ac:dyDescent="0.25">
      <c r="B233" s="1574">
        <f t="shared" si="11"/>
        <v>228</v>
      </c>
      <c r="C233" s="1724"/>
      <c r="D233" s="1052" t="s">
        <v>1757</v>
      </c>
      <c r="E233" s="1574"/>
      <c r="F233" s="1576"/>
      <c r="G233" s="1576" t="s">
        <v>62</v>
      </c>
      <c r="H233" s="1577">
        <v>4882452</v>
      </c>
      <c r="I233" s="1574"/>
      <c r="J233" s="1586">
        <f>[206]!Статус</f>
        <v>0</v>
      </c>
      <c r="K233" s="1579" t="s">
        <v>2147</v>
      </c>
      <c r="L233" s="1587">
        <f>[206]!ТКП_Тематика</f>
        <v>0</v>
      </c>
      <c r="M233" s="1580"/>
      <c r="N233" s="12"/>
      <c r="O233" s="12"/>
      <c r="P233" s="1574">
        <f>[206]!Результат_число</f>
        <v>0</v>
      </c>
      <c r="Q233" s="1574"/>
      <c r="R233" s="1574"/>
      <c r="S233" s="1574"/>
      <c r="T233" s="1580"/>
      <c r="U233" s="1580"/>
      <c r="V233" s="1580"/>
      <c r="W233" s="1580"/>
      <c r="X233" s="1580"/>
      <c r="Y233" s="1580"/>
      <c r="Z233" s="1580"/>
    </row>
    <row r="234" spans="2:26" ht="36" hidden="1" x14ac:dyDescent="0.25">
      <c r="B234" s="1001">
        <f t="shared" si="11"/>
        <v>229</v>
      </c>
      <c r="C234" s="1714"/>
      <c r="D234" s="1040" t="s">
        <v>1756</v>
      </c>
      <c r="E234" s="1020"/>
      <c r="F234" s="1047" t="s">
        <v>64</v>
      </c>
      <c r="G234" s="1027" t="s">
        <v>27</v>
      </c>
      <c r="H234" s="1037"/>
      <c r="I234" s="1026" t="s">
        <v>1296</v>
      </c>
      <c r="J234" s="1050" t="str">
        <f>[207]!Статус</f>
        <v>16.04.25_x000D_
14.04.25 запрос расписан . В проработке РСС до 16.04.25</v>
      </c>
      <c r="K234" s="1022"/>
      <c r="L234" s="1023">
        <f>[207]!ТКП_Тематика</f>
        <v>0</v>
      </c>
      <c r="M234" s="1024"/>
      <c r="N234" s="1"/>
      <c r="O234" s="1"/>
      <c r="P234" s="1025">
        <f>[207]!Результат_число</f>
        <v>0</v>
      </c>
      <c r="Q234" s="1020"/>
      <c r="R234" s="1020"/>
      <c r="S234" s="1020"/>
      <c r="T234" s="1024"/>
      <c r="U234" s="1024"/>
      <c r="V234" s="1024"/>
      <c r="W234" s="1024"/>
      <c r="X234" s="1024"/>
      <c r="Y234" s="1024"/>
      <c r="Z234" s="1024"/>
    </row>
    <row r="235" spans="2:26" ht="60" hidden="1" x14ac:dyDescent="0.25">
      <c r="B235" s="1026">
        <f t="shared" si="11"/>
        <v>230</v>
      </c>
      <c r="C235" s="1714"/>
      <c r="D235" s="1128" t="s">
        <v>1763</v>
      </c>
      <c r="E235" s="1026"/>
      <c r="F235" s="1047" t="s">
        <v>1773</v>
      </c>
      <c r="G235" s="1027" t="s">
        <v>27</v>
      </c>
      <c r="H235" s="1036"/>
      <c r="I235" s="1026" t="s">
        <v>1296</v>
      </c>
      <c r="J235" s="1057" t="str">
        <f>[210]!Статус</f>
        <v>23.04.25_x000D_
0</v>
      </c>
      <c r="K235" s="1028" t="s">
        <v>1849</v>
      </c>
      <c r="L235" s="1029">
        <f>[210]!ТКП_Тематика</f>
        <v>0</v>
      </c>
      <c r="M235" s="1030"/>
      <c r="N235" s="1"/>
      <c r="O235" s="1"/>
      <c r="P235" s="1031">
        <f>[210]!Результат_число</f>
        <v>0</v>
      </c>
      <c r="Q235" s="1026"/>
      <c r="R235" s="1026"/>
      <c r="S235" s="1026"/>
      <c r="T235" s="1030"/>
      <c r="U235" s="1030"/>
      <c r="V235" s="1030"/>
      <c r="W235" s="1030"/>
      <c r="X235" s="1030"/>
      <c r="Y235" s="1030"/>
      <c r="Z235" s="1030"/>
    </row>
    <row r="236" spans="2:26" ht="24" hidden="1" x14ac:dyDescent="0.25">
      <c r="B236" s="1020">
        <f t="shared" si="11"/>
        <v>231</v>
      </c>
      <c r="C236" s="1714"/>
      <c r="D236" s="1040" t="s">
        <v>1764</v>
      </c>
      <c r="E236" s="1020"/>
      <c r="F236" s="1047" t="s">
        <v>1768</v>
      </c>
      <c r="G236" s="1021" t="s">
        <v>8</v>
      </c>
      <c r="H236" s="1063">
        <v>74493</v>
      </c>
      <c r="I236" s="1020" t="s">
        <v>1772</v>
      </c>
      <c r="J236" s="1122" t="str">
        <f>[211]!Статус</f>
        <v>23.04.25_x000D_
0</v>
      </c>
      <c r="K236" s="1022" t="s">
        <v>1765</v>
      </c>
      <c r="L236" s="1023">
        <f>[211]!ТКП_Тематика</f>
        <v>0</v>
      </c>
      <c r="M236" s="1024"/>
      <c r="N236" s="1"/>
      <c r="O236" s="1"/>
      <c r="P236" s="1025">
        <f>[211]!Результат_число</f>
        <v>0</v>
      </c>
      <c r="Q236" s="1020"/>
      <c r="R236" s="1020"/>
      <c r="S236" s="1020"/>
      <c r="T236" s="1024"/>
      <c r="U236" s="1024"/>
      <c r="V236" s="1024"/>
      <c r="W236" s="1024"/>
      <c r="X236" s="1024"/>
      <c r="Y236" s="1024"/>
      <c r="Z236" s="1024"/>
    </row>
    <row r="237" spans="2:26" ht="48" hidden="1" x14ac:dyDescent="0.25">
      <c r="B237" s="1026">
        <f t="shared" si="11"/>
        <v>232</v>
      </c>
      <c r="C237" s="1714"/>
      <c r="D237" s="1053" t="s">
        <v>1766</v>
      </c>
      <c r="E237" s="1026"/>
      <c r="F237" s="1048" t="s">
        <v>1767</v>
      </c>
      <c r="G237" s="1027" t="s">
        <v>1218</v>
      </c>
      <c r="H237" s="1013">
        <v>40000000</v>
      </c>
      <c r="I237" s="990" t="s">
        <v>54</v>
      </c>
      <c r="J237" s="1122" t="str">
        <f>[212]!Статус</f>
        <v>19.05.25_x000D_
отправлено?</v>
      </c>
      <c r="K237" s="1028" t="s">
        <v>1785</v>
      </c>
      <c r="L237" s="1029" t="str">
        <f>[212]!ТКП_Тематика</f>
        <v>BINF</v>
      </c>
      <c r="M237" s="1030"/>
      <c r="N237" s="1"/>
      <c r="O237" s="1"/>
      <c r="P237" s="1031">
        <f>[212]!Результат_число</f>
        <v>0</v>
      </c>
      <c r="Q237" s="1026"/>
      <c r="R237" s="1026"/>
      <c r="S237" s="1026"/>
      <c r="T237" s="1030"/>
      <c r="U237" s="1030"/>
      <c r="V237" s="1030"/>
      <c r="W237" s="1030"/>
      <c r="X237" s="1030"/>
      <c r="Y237" s="1030"/>
      <c r="Z237" s="1030"/>
    </row>
    <row r="238" spans="2:26" ht="120" hidden="1" x14ac:dyDescent="0.25">
      <c r="B238" s="1026">
        <f t="shared" si="11"/>
        <v>233</v>
      </c>
      <c r="C238" s="1714"/>
      <c r="D238" s="1096" t="s">
        <v>1769</v>
      </c>
      <c r="E238" s="1041"/>
      <c r="F238" s="1049" t="s">
        <v>1774</v>
      </c>
      <c r="G238" s="1042" t="s">
        <v>1009</v>
      </c>
      <c r="H238" s="1013">
        <v>3000000</v>
      </c>
      <c r="I238" s="1041" t="s">
        <v>1318</v>
      </c>
      <c r="J238" s="1122" t="str">
        <f>[213]!Статус</f>
        <v>03.06.25_x000D_
Заказчик крайне ждет наше ТКП! Подобная работа нужна для завода Чернышева._x000D_
РСС: подготовлено ТКП с спецификацией (согласовано с Коленько и Поповым, проконсультировались по теории с ЦИАМ  (Минеев)), получено соглашение о конфиденциальности_x000D_
ОМ: подписать письмо и отправка заказчику</v>
      </c>
      <c r="K238" s="1051" t="s">
        <v>1850</v>
      </c>
      <c r="L238" s="1072">
        <f>[213]!ТКП_Тематика</f>
        <v>0</v>
      </c>
      <c r="M238" s="1043"/>
      <c r="N238" s="1"/>
      <c r="O238" s="1"/>
      <c r="P238" s="1038">
        <f>[213]!Результат_число</f>
        <v>0</v>
      </c>
      <c r="Q238" s="1066"/>
      <c r="R238" s="1066"/>
      <c r="S238" s="1066"/>
    </row>
    <row r="239" spans="2:26" ht="60" hidden="1" x14ac:dyDescent="0.25">
      <c r="B239" s="1026">
        <f t="shared" si="11"/>
        <v>234</v>
      </c>
      <c r="C239" s="1714"/>
      <c r="D239" s="1076" t="s">
        <v>1788</v>
      </c>
      <c r="E239" s="1066"/>
      <c r="F239" s="1067" t="s">
        <v>1789</v>
      </c>
      <c r="G239" s="1069" t="s">
        <v>646</v>
      </c>
      <c r="H239" s="1343">
        <v>30000000</v>
      </c>
      <c r="I239" s="1041" t="s">
        <v>1790</v>
      </c>
      <c r="J239" s="1249" t="str">
        <f>[214]!Статус</f>
        <v xml:space="preserve">11.06.25_x000D_
ОП: Подготовить формальный ответ о том, что прорабатываем возможность изготовления такой системы; Сможем выдать ответ после проработки </v>
      </c>
      <c r="K239" s="1069"/>
      <c r="L239" s="1073">
        <f>[214]!ТКП_Тематика</f>
        <v>0</v>
      </c>
      <c r="M239" s="1070"/>
      <c r="N239" s="1"/>
      <c r="O239" s="1"/>
      <c r="P239" s="1065">
        <f>[214]!Результат_число</f>
        <v>-1</v>
      </c>
      <c r="Q239" s="1066"/>
      <c r="R239" s="1066"/>
      <c r="S239" s="1066"/>
    </row>
    <row r="240" spans="2:26" ht="48" hidden="1" x14ac:dyDescent="0.25">
      <c r="B240" s="1058">
        <f t="shared" si="11"/>
        <v>235</v>
      </c>
      <c r="C240" s="1714"/>
      <c r="D240" s="1075" t="s">
        <v>1786</v>
      </c>
      <c r="E240" s="1058"/>
      <c r="F240" s="1059" t="s">
        <v>1787</v>
      </c>
      <c r="G240" s="655" t="s">
        <v>4</v>
      </c>
      <c r="H240" s="1013">
        <v>26000000</v>
      </c>
      <c r="I240" s="1058" t="s">
        <v>65</v>
      </c>
      <c r="J240" s="1116" t="str">
        <f>[215]!Статус</f>
        <v>26.05.25_x000D_
ОП: отправка ТКП до 22.05.25</v>
      </c>
      <c r="K240" s="1060" t="s">
        <v>1893</v>
      </c>
      <c r="L240" s="1074" t="str">
        <f>[215]!ТКП_Тематика</f>
        <v>DIN</v>
      </c>
      <c r="M240" s="1061"/>
      <c r="N240" s="1"/>
      <c r="O240" s="1"/>
      <c r="P240" s="1065">
        <f>[215]!Результат_число</f>
        <v>0</v>
      </c>
      <c r="Q240" s="1058"/>
      <c r="R240" s="1058"/>
      <c r="S240" s="1058"/>
      <c r="T240" s="1061"/>
      <c r="U240" s="1061"/>
      <c r="V240" s="1061"/>
      <c r="W240" s="1061"/>
      <c r="X240" s="1061"/>
      <c r="Y240" s="1061"/>
      <c r="Z240" s="1061"/>
    </row>
    <row r="241" spans="2:26" ht="60" hidden="1" x14ac:dyDescent="0.25">
      <c r="B241" s="1026">
        <v>246</v>
      </c>
      <c r="C241" s="1714"/>
      <c r="D241" s="1076" t="s">
        <v>1788</v>
      </c>
      <c r="E241" s="1066"/>
      <c r="F241" s="1067" t="s">
        <v>1789</v>
      </c>
      <c r="G241" s="1068" t="s">
        <v>646</v>
      </c>
      <c r="H241" s="1013">
        <v>30000000</v>
      </c>
      <c r="I241" s="1041" t="s">
        <v>1790</v>
      </c>
      <c r="J241" s="1119" t="s">
        <v>1848</v>
      </c>
      <c r="K241" s="1069"/>
      <c r="L241" s="1073">
        <v>0</v>
      </c>
      <c r="M241" s="1070"/>
      <c r="N241" s="1071">
        <v>1</v>
      </c>
      <c r="O241" s="1"/>
      <c r="P241" s="1113"/>
      <c r="Q241" s="1105"/>
      <c r="R241" s="1105"/>
      <c r="S241" s="1105"/>
      <c r="T241" s="1111"/>
      <c r="U241" s="1111"/>
      <c r="V241" s="1111"/>
      <c r="W241" s="1111"/>
      <c r="X241" s="1111"/>
      <c r="Y241" s="1111"/>
      <c r="Z241" s="1111"/>
    </row>
    <row r="242" spans="2:26" ht="120" x14ac:dyDescent="0.25">
      <c r="B242" s="1026">
        <f>ROW()-ROW($B$5)</f>
        <v>237</v>
      </c>
      <c r="C242" s="174">
        <v>1</v>
      </c>
      <c r="D242" s="489" t="s">
        <v>1819</v>
      </c>
      <c r="E242" s="1086"/>
      <c r="F242" s="1087" t="s">
        <v>1818</v>
      </c>
      <c r="G242" s="1090" t="s">
        <v>1817</v>
      </c>
      <c r="H242" s="1089">
        <v>250000000</v>
      </c>
      <c r="I242" s="1086" t="s">
        <v>1318</v>
      </c>
      <c r="J242" s="1471" t="str">
        <f>[216]!Статус</f>
        <v>08.06.26_x000D_
10/06/26 - поездка в МИРЭА. Принятие решения за ГД о вхождении в проект</v>
      </c>
      <c r="K242" s="1090" t="s">
        <v>2063</v>
      </c>
      <c r="L242" s="1091" t="str">
        <f>[216]!ТКП_Тематика</f>
        <v>ABJ</v>
      </c>
      <c r="M242" s="1092"/>
      <c r="N242" s="1"/>
      <c r="O242" s="1"/>
      <c r="P242" s="1094">
        <f>[216]!Результат_число</f>
        <v>1</v>
      </c>
      <c r="Q242" s="1086"/>
      <c r="R242" s="1086"/>
      <c r="S242" s="1086"/>
      <c r="T242" s="1092"/>
      <c r="U242" s="1092"/>
      <c r="V242" s="1092"/>
      <c r="W242" s="1092"/>
      <c r="X242" s="1092"/>
      <c r="Y242" s="1092"/>
      <c r="Z242" s="1092"/>
    </row>
    <row r="243" spans="2:26" ht="72" hidden="1" x14ac:dyDescent="0.25">
      <c r="B243" s="1079">
        <f>ROW()-ROW($B$5)</f>
        <v>238</v>
      </c>
      <c r="C243" s="1714"/>
      <c r="D243" s="1097" t="s">
        <v>1815</v>
      </c>
      <c r="E243" s="1079"/>
      <c r="F243" s="1080"/>
      <c r="G243" s="1081" t="s">
        <v>27</v>
      </c>
      <c r="H243" s="1082" t="s">
        <v>49</v>
      </c>
      <c r="I243" s="1098" t="s">
        <v>1296</v>
      </c>
      <c r="J243" s="1122" t="str">
        <f>[217]!Статус</f>
        <v>26.05.25_x000D_
Повтор с 283_25_x000D_, Требуется версия ПО с расчетом тензорозеток для исключения рисков по софту (предоставить в Kingsly)_x000D_
ОП: ТКП на MIC-236+ 5xMR-212</v>
      </c>
      <c r="K243" s="1083" t="s">
        <v>2210</v>
      </c>
      <c r="L243" s="1084">
        <f>[217]!ТКП_Тематика</f>
        <v>0</v>
      </c>
      <c r="M243" s="1085"/>
      <c r="N243" s="1"/>
      <c r="O243" s="1"/>
      <c r="P243" s="1093">
        <f>[217]!Результат_число</f>
        <v>0</v>
      </c>
      <c r="Q243" s="1079"/>
      <c r="R243" s="1079"/>
      <c r="S243" s="1079"/>
      <c r="T243" s="1092"/>
      <c r="U243" s="1092"/>
      <c r="V243" s="1092"/>
      <c r="W243" s="1092"/>
      <c r="X243" s="1092"/>
      <c r="Y243" s="1092"/>
      <c r="Z243" s="1092"/>
    </row>
    <row r="244" spans="2:26" ht="36" hidden="1" x14ac:dyDescent="0.25">
      <c r="B244" s="1086">
        <f>ROW()-ROW($B$5)</f>
        <v>239</v>
      </c>
      <c r="C244" s="1714"/>
      <c r="D244" s="1095" t="s">
        <v>1792</v>
      </c>
      <c r="E244" s="1086"/>
      <c r="F244" s="1087"/>
      <c r="G244" s="1088" t="s">
        <v>27</v>
      </c>
      <c r="H244" s="1089" t="s">
        <v>49</v>
      </c>
      <c r="I244" s="1086"/>
      <c r="J244" s="1118" t="s">
        <v>1794</v>
      </c>
      <c r="K244" s="1090" t="s">
        <v>1793</v>
      </c>
      <c r="L244" s="1091"/>
      <c r="M244" s="1092"/>
      <c r="N244" s="1"/>
      <c r="O244" s="1"/>
      <c r="P244" s="1094">
        <v>-1</v>
      </c>
      <c r="Q244" s="1086"/>
      <c r="R244" s="1086"/>
      <c r="S244" s="1086"/>
      <c r="T244" s="1078"/>
      <c r="U244" s="1078"/>
      <c r="V244" s="1078"/>
      <c r="W244" s="1078"/>
      <c r="X244" s="1078"/>
      <c r="Y244" s="1078"/>
      <c r="Z244" s="1078"/>
    </row>
    <row r="245" spans="2:26" ht="36" hidden="1" x14ac:dyDescent="0.25">
      <c r="B245" s="1098">
        <f>ROW()-ROW($B$5)</f>
        <v>240</v>
      </c>
      <c r="C245" s="1714"/>
      <c r="D245" s="1129" t="s">
        <v>1821</v>
      </c>
      <c r="E245" s="1098"/>
      <c r="F245" s="1099" t="s">
        <v>1826</v>
      </c>
      <c r="G245" s="1100" t="s">
        <v>78</v>
      </c>
      <c r="H245" s="1101">
        <v>3600000</v>
      </c>
      <c r="I245" s="1098" t="s">
        <v>1296</v>
      </c>
      <c r="J245" s="1122" t="str">
        <f>[218]!Статус</f>
        <v>11.06.25_x000D_
РСС: согласовано 11.06.25_x000D_
ОП: отправка до 20.06.25</v>
      </c>
      <c r="K245" s="1102" t="s">
        <v>1852</v>
      </c>
      <c r="L245" s="1103">
        <f>[218]!ТКП_Тематика</f>
        <v>0</v>
      </c>
      <c r="M245" s="1104"/>
      <c r="N245" s="1"/>
      <c r="O245" s="1"/>
      <c r="P245" s="1112">
        <f>[218]!Результат_число</f>
        <v>0</v>
      </c>
      <c r="Q245" s="1098"/>
      <c r="R245" s="1098"/>
      <c r="S245" s="1098"/>
      <c r="T245" s="1104"/>
      <c r="U245" s="1104"/>
      <c r="V245" s="1104"/>
      <c r="W245" s="1104"/>
      <c r="X245" s="1104"/>
      <c r="Y245" s="1104"/>
      <c r="Z245" s="1104"/>
    </row>
    <row r="246" spans="2:26" ht="24" hidden="1" x14ac:dyDescent="0.25">
      <c r="B246" s="1105">
        <f>ROW()-ROW($B$5)</f>
        <v>241</v>
      </c>
      <c r="C246" s="1714"/>
      <c r="D246" s="1123" t="s">
        <v>1822</v>
      </c>
      <c r="E246" s="1105"/>
      <c r="F246" s="1106" t="s">
        <v>1827</v>
      </c>
      <c r="G246" s="1107" t="s">
        <v>1823</v>
      </c>
      <c r="H246" s="1108">
        <v>782163</v>
      </c>
      <c r="I246" s="1098" t="s">
        <v>1633</v>
      </c>
      <c r="J246" s="1122" t="str">
        <f>[219]!Статус</f>
        <v>11.06.25_x000D_
отправлено</v>
      </c>
      <c r="K246" s="1109" t="s">
        <v>1824</v>
      </c>
      <c r="L246" s="1110">
        <f>[219]!ТКП_Тематика</f>
        <v>0</v>
      </c>
      <c r="M246" s="1111"/>
      <c r="N246" s="1"/>
      <c r="O246" s="1"/>
      <c r="P246" s="1113">
        <f>[219]!Результат_число</f>
        <v>0</v>
      </c>
      <c r="Q246" s="1105"/>
      <c r="R246" s="1105"/>
      <c r="S246" s="1105"/>
      <c r="T246" s="1111"/>
      <c r="U246" s="1111"/>
      <c r="V246" s="1111"/>
      <c r="W246" s="1111"/>
      <c r="X246" s="1111"/>
      <c r="Y246" s="1111"/>
      <c r="Z246" s="1111"/>
    </row>
    <row r="247" spans="2:26" ht="96" hidden="1" x14ac:dyDescent="0.25">
      <c r="B247" s="1105">
        <v>256</v>
      </c>
      <c r="C247" s="1714"/>
      <c r="D247" s="1123" t="s">
        <v>1833</v>
      </c>
      <c r="E247" s="1105"/>
      <c r="F247" s="1106" t="s">
        <v>1830</v>
      </c>
      <c r="G247" s="1109" t="s">
        <v>1829</v>
      </c>
      <c r="H247" s="1344">
        <v>5000000</v>
      </c>
      <c r="I247" s="1105" t="s">
        <v>423</v>
      </c>
      <c r="J247" s="1249" t="str">
        <f>[220]!Статус</f>
        <v>24.06.25_x000D_
_x000D_
20_06_25_x000D_
 Созвон с заказчиком А.Синкевич, С.Силаев, М.потолочин уяснение проблеммы Заказчкика._x000D_
24.06.25 Высланы материалы для анализа Заказчиком, он в отпуске требуется время.</v>
      </c>
      <c r="K247" s="1109" t="s">
        <v>2274</v>
      </c>
      <c r="L247" s="1110" t="str">
        <f>[220]!ТКП_Тематика</f>
        <v>GLP</v>
      </c>
      <c r="M247" s="1111"/>
      <c r="N247" s="1113">
        <v>1</v>
      </c>
      <c r="O247" s="1"/>
      <c r="P247" s="1113">
        <f>[220]!Результат_число</f>
        <v>-1</v>
      </c>
      <c r="Q247" s="1105"/>
      <c r="R247" s="1105"/>
      <c r="S247" s="1105"/>
      <c r="T247" s="1111"/>
      <c r="U247" s="1111"/>
      <c r="V247" s="1111"/>
      <c r="W247" s="1111"/>
      <c r="X247" s="1111"/>
      <c r="Y247" s="1111"/>
      <c r="Z247" s="1111"/>
    </row>
    <row r="248" spans="2:26" ht="96" hidden="1" x14ac:dyDescent="0.25">
      <c r="B248" s="1105">
        <f t="shared" ref="B248:B256" si="12">ROW()-ROW($B$5)</f>
        <v>243</v>
      </c>
      <c r="C248" s="1714"/>
      <c r="D248" s="1156" t="s">
        <v>1825</v>
      </c>
      <c r="E248" s="1105"/>
      <c r="F248" s="1106" t="s">
        <v>1828</v>
      </c>
      <c r="G248" s="1109" t="s">
        <v>1312</v>
      </c>
      <c r="H248" s="1108">
        <v>300000000</v>
      </c>
      <c r="I248" s="1105" t="s">
        <v>92</v>
      </c>
      <c r="J248" s="1248" t="str">
        <f>[221]!Статус</f>
        <v>09.06.25_x000D_
Заказчик до 30-о числа в отпуске. Запрос пристрелка, не известно будет ли работа вообще. Стенд №50 сейчас не поддерживает изделие для которого планируются испытания (требуется переделка СИС). ТЗ не содержит исходных данных</v>
      </c>
      <c r="K248" s="1109" t="s">
        <v>1894</v>
      </c>
      <c r="L248" s="1110">
        <f>[221]!ТКП_Тематика</f>
        <v>0</v>
      </c>
      <c r="M248" s="1111"/>
      <c r="N248" s="1"/>
      <c r="O248" s="1"/>
      <c r="P248" s="1113">
        <f>[221]!Результат_число</f>
        <v>0</v>
      </c>
      <c r="Q248" s="1105"/>
      <c r="R248" s="1105"/>
      <c r="S248" s="1105"/>
      <c r="T248" s="1111"/>
      <c r="U248" s="1111"/>
      <c r="V248" s="1111"/>
      <c r="W248" s="1111"/>
      <c r="X248" s="1111"/>
      <c r="Y248" s="1111"/>
      <c r="Z248" s="1111"/>
    </row>
    <row r="249" spans="2:26" ht="48" x14ac:dyDescent="0.25">
      <c r="B249" s="1105">
        <f t="shared" si="12"/>
        <v>244</v>
      </c>
      <c r="C249" s="1714">
        <v>1</v>
      </c>
      <c r="D249" s="1123" t="s">
        <v>1834</v>
      </c>
      <c r="E249" s="1105"/>
      <c r="F249" s="1106" t="s">
        <v>1836</v>
      </c>
      <c r="G249" s="1109" t="s">
        <v>1835</v>
      </c>
      <c r="H249" s="1108">
        <v>60000000</v>
      </c>
      <c r="I249" s="1105" t="s">
        <v>1318</v>
      </c>
      <c r="J249" s="1249" t="s">
        <v>2238</v>
      </c>
      <c r="K249" s="1109" t="s">
        <v>2244</v>
      </c>
      <c r="L249" s="1110" t="str">
        <f>[222]!ТКП_Тематика</f>
        <v>NFB</v>
      </c>
      <c r="M249" s="1111"/>
      <c r="N249" s="1"/>
      <c r="O249" s="1"/>
      <c r="P249" s="1113">
        <f>[222]!Результат_число</f>
        <v>1</v>
      </c>
      <c r="Q249" s="1105"/>
      <c r="R249" s="1105"/>
      <c r="S249" s="1105"/>
      <c r="T249" s="1111"/>
      <c r="U249" s="1111"/>
      <c r="V249" s="1111"/>
      <c r="W249" s="1111"/>
      <c r="X249" s="1111"/>
      <c r="Y249" s="1111"/>
      <c r="Z249" s="1111"/>
    </row>
    <row r="250" spans="2:26" ht="24" hidden="1" x14ac:dyDescent="0.25">
      <c r="B250" s="1105">
        <f t="shared" si="12"/>
        <v>245</v>
      </c>
      <c r="C250" s="1714"/>
      <c r="D250" s="1123" t="s">
        <v>1837</v>
      </c>
      <c r="E250" s="1105"/>
      <c r="F250" s="1106" t="s">
        <v>1839</v>
      </c>
      <c r="G250" s="1107" t="s">
        <v>1838</v>
      </c>
      <c r="H250" s="1108">
        <v>20000000</v>
      </c>
      <c r="I250" s="1105" t="s">
        <v>1318</v>
      </c>
      <c r="J250" s="1125" t="str">
        <f>[223]!Статус</f>
        <v>02.07.25_x000D_
ТЗ написано под HBM</v>
      </c>
      <c r="K250" s="1109"/>
      <c r="L250" s="1110">
        <f>[223]!ТКП_Тематика</f>
        <v>0</v>
      </c>
      <c r="M250" s="1111"/>
      <c r="N250" s="1"/>
      <c r="O250" s="1"/>
      <c r="P250" s="1113">
        <f>[223]!Результат_число</f>
        <v>-1</v>
      </c>
      <c r="Q250" s="1105"/>
      <c r="R250" s="1105"/>
      <c r="S250" s="1105"/>
      <c r="T250" s="1111"/>
      <c r="U250" s="1111"/>
      <c r="V250" s="1111"/>
      <c r="W250" s="1111"/>
      <c r="X250" s="1111"/>
      <c r="Y250" s="1111"/>
      <c r="Z250" s="1111"/>
    </row>
    <row r="251" spans="2:26" ht="36" hidden="1" x14ac:dyDescent="0.25">
      <c r="B251" s="1105">
        <f t="shared" si="12"/>
        <v>246</v>
      </c>
      <c r="C251" s="1714"/>
      <c r="D251" s="1156" t="s">
        <v>1841</v>
      </c>
      <c r="E251" s="1105"/>
      <c r="F251" s="1106" t="s">
        <v>1842</v>
      </c>
      <c r="G251" s="1083" t="s">
        <v>1843</v>
      </c>
      <c r="H251" s="1345">
        <v>40000000</v>
      </c>
      <c r="I251" s="1098" t="s">
        <v>1318</v>
      </c>
      <c r="J251" s="1249" t="str">
        <f>[224]!Статус</f>
        <v xml:space="preserve">04.07.25_x000D_
 </v>
      </c>
      <c r="K251" s="1109" t="s">
        <v>1927</v>
      </c>
      <c r="L251" s="1110">
        <f>[224]!ТКП_Тематика</f>
        <v>0</v>
      </c>
      <c r="M251" s="1111"/>
      <c r="N251" s="1113">
        <v>1</v>
      </c>
      <c r="O251" s="1105"/>
      <c r="P251" s="1113">
        <f>[224]!Результат_число</f>
        <v>-1</v>
      </c>
      <c r="Q251" s="1105"/>
      <c r="R251" s="1111"/>
      <c r="S251" s="1105"/>
      <c r="T251" s="1111"/>
      <c r="U251" s="1111"/>
      <c r="V251" s="1111"/>
      <c r="W251" s="1111"/>
      <c r="X251" s="1111"/>
      <c r="Y251" s="1111"/>
      <c r="Z251" s="1111"/>
    </row>
    <row r="252" spans="2:26" ht="84" hidden="1" x14ac:dyDescent="0.25">
      <c r="B252" s="1105">
        <f t="shared" si="12"/>
        <v>247</v>
      </c>
      <c r="C252" s="1714"/>
      <c r="D252" s="1123" t="s">
        <v>1844</v>
      </c>
      <c r="E252" s="1105"/>
      <c r="F252" s="1106" t="s">
        <v>2043</v>
      </c>
      <c r="G252" s="1083" t="s">
        <v>75</v>
      </c>
      <c r="H252" s="1082">
        <v>65000000</v>
      </c>
      <c r="I252" s="1098" t="s">
        <v>1318</v>
      </c>
      <c r="J252" s="1249" t="str">
        <f>[225]!Статус</f>
        <v>08.06.26_x000D_
отправлено заказчику 18. мая (протокол встречи+ткп+таблица проектов)</v>
      </c>
      <c r="K252" s="1109" t="s">
        <v>2079</v>
      </c>
      <c r="L252" s="1110" t="str">
        <f>[225]!ТКП_Тематика</f>
        <v>A</v>
      </c>
      <c r="M252" s="1111"/>
      <c r="N252" s="1113">
        <v>1</v>
      </c>
      <c r="O252" s="174"/>
      <c r="P252" s="1113">
        <f>[225]!Результат_число</f>
        <v>0</v>
      </c>
      <c r="Q252" s="1105"/>
      <c r="R252" s="1111"/>
      <c r="S252" s="1105"/>
      <c r="T252" s="1111"/>
      <c r="U252" s="1111"/>
      <c r="V252" s="1111"/>
      <c r="W252" s="1111"/>
      <c r="X252" s="1111"/>
      <c r="Y252" s="1111"/>
      <c r="Z252" s="1111"/>
    </row>
    <row r="253" spans="2:26" ht="204" x14ac:dyDescent="0.25">
      <c r="B253" s="1105">
        <f t="shared" si="12"/>
        <v>248</v>
      </c>
      <c r="C253" s="1714">
        <v>0</v>
      </c>
      <c r="D253" s="1123" t="s">
        <v>1845</v>
      </c>
      <c r="E253" s="1105"/>
      <c r="F253" s="1106" t="s">
        <v>1847</v>
      </c>
      <c r="G253" s="1083" t="s">
        <v>1846</v>
      </c>
      <c r="H253" s="1082">
        <v>500000000</v>
      </c>
      <c r="I253" s="1406" t="s">
        <v>2007</v>
      </c>
      <c r="J253" s="1249" t="str">
        <f>[226]!Статус</f>
        <v>18.02.26_x000D_
РСС: созвон с заказчиком (Андрей Шлютов), привезли несколько машин на испытания "про вопросы помним но не добираемся". В низком приоритете будут делать, т.к. "стенд будет все равно не понятно когда"</v>
      </c>
      <c r="K253" s="1109" t="s">
        <v>2148</v>
      </c>
      <c r="L253" s="1110">
        <f>[226]!ТКП_Тематика</f>
        <v>0</v>
      </c>
      <c r="M253" s="1111"/>
      <c r="N253" s="1113">
        <v>1</v>
      </c>
      <c r="O253" s="174"/>
      <c r="P253" s="1113">
        <f>[226]!Результат_число</f>
        <v>1</v>
      </c>
      <c r="Q253" s="1105"/>
      <c r="R253" s="1111"/>
      <c r="S253" s="1105"/>
      <c r="T253" s="1111"/>
      <c r="U253" s="1111"/>
      <c r="V253" s="1111"/>
      <c r="W253" s="1111"/>
      <c r="X253" s="1111"/>
      <c r="Y253" s="1111"/>
      <c r="Z253" s="1111"/>
    </row>
    <row r="254" spans="2:26" ht="48" hidden="1" x14ac:dyDescent="0.25">
      <c r="B254" s="1105">
        <f t="shared" si="12"/>
        <v>249</v>
      </c>
      <c r="C254" s="1714"/>
      <c r="D254" s="1123" t="s">
        <v>1831</v>
      </c>
      <c r="E254" s="1105"/>
      <c r="F254" s="1106" t="s">
        <v>1832</v>
      </c>
      <c r="G254" s="1083" t="s">
        <v>27</v>
      </c>
      <c r="H254" s="1168">
        <v>15000000</v>
      </c>
      <c r="I254" s="1098" t="s">
        <v>1296</v>
      </c>
      <c r="J254" s="1119" t="str">
        <f>[227]!Статус</f>
        <v>20.05.25_x000D_
ОП: ТКП на MIC-236+ 5xMR-212</v>
      </c>
      <c r="K254" s="1109" t="s">
        <v>1857</v>
      </c>
      <c r="L254" s="1110" t="str">
        <f>[227]!ТКП_Тематика</f>
        <v>N</v>
      </c>
      <c r="M254" s="1111"/>
      <c r="N254" s="1"/>
      <c r="O254" s="1"/>
      <c r="P254" s="1113">
        <f>[227]!Результат_число</f>
        <v>-1</v>
      </c>
      <c r="Q254" s="1105"/>
      <c r="R254" s="1105"/>
      <c r="S254" s="1105"/>
      <c r="T254" s="1111"/>
      <c r="U254" s="1111"/>
      <c r="V254" s="1111"/>
      <c r="W254" s="1111"/>
      <c r="X254" s="1111"/>
      <c r="Y254" s="1111"/>
      <c r="Z254" s="1111"/>
    </row>
    <row r="255" spans="2:26" ht="48" hidden="1" x14ac:dyDescent="0.25">
      <c r="B255" s="1130">
        <f t="shared" si="12"/>
        <v>250</v>
      </c>
      <c r="C255" s="1728"/>
      <c r="D255" s="1150" t="s">
        <v>1854</v>
      </c>
      <c r="E255" s="1130"/>
      <c r="F255" s="1131"/>
      <c r="G255" s="1132" t="s">
        <v>73</v>
      </c>
      <c r="H255" s="1133">
        <v>49465.8</v>
      </c>
      <c r="I255" s="1130"/>
      <c r="J255" s="1134"/>
      <c r="K255" s="1135" t="s">
        <v>1855</v>
      </c>
      <c r="L255" s="1136"/>
      <c r="M255" s="1137"/>
      <c r="N255" s="1"/>
      <c r="O255" s="1"/>
      <c r="P255" s="1130">
        <v>0</v>
      </c>
      <c r="Q255" s="1130"/>
      <c r="R255" s="1130"/>
      <c r="S255" s="1130"/>
      <c r="T255" s="1137"/>
      <c r="U255" s="1137"/>
      <c r="V255" s="1137"/>
      <c r="W255" s="1137"/>
      <c r="X255" s="1137"/>
      <c r="Y255" s="1137"/>
      <c r="Z255" s="1137"/>
    </row>
    <row r="256" spans="2:26" ht="24" hidden="1" x14ac:dyDescent="0.25">
      <c r="B256" s="1588">
        <f t="shared" si="12"/>
        <v>251</v>
      </c>
      <c r="C256" s="1727"/>
      <c r="D256" s="489" t="s">
        <v>1856</v>
      </c>
      <c r="E256" s="1588"/>
      <c r="F256" s="1589" t="s">
        <v>1958</v>
      </c>
      <c r="G256" s="1590" t="s">
        <v>78</v>
      </c>
      <c r="H256" s="1591">
        <v>6265579</v>
      </c>
      <c r="I256" s="1588" t="s">
        <v>88</v>
      </c>
      <c r="J256" s="1592" t="str">
        <f>[228]!Статус</f>
        <v>19.03.25_x000D_
Согласован с ГД - 18.03.25</v>
      </c>
      <c r="K256" s="1593" t="s">
        <v>2149</v>
      </c>
      <c r="L256" s="1594">
        <f>[228]!ТКП_Тематика</f>
        <v>0</v>
      </c>
      <c r="M256" s="1595"/>
      <c r="N256" s="12"/>
      <c r="O256" s="12"/>
      <c r="P256" s="1588">
        <f>[228]!Результат_число</f>
        <v>0</v>
      </c>
      <c r="Q256" s="1588"/>
      <c r="R256" s="1588"/>
      <c r="S256" s="1588"/>
      <c r="T256" s="1595"/>
      <c r="U256" s="1595"/>
      <c r="V256" s="1595"/>
      <c r="W256" s="1595"/>
      <c r="X256" s="1595"/>
      <c r="Y256" s="1595"/>
      <c r="Z256" s="1595"/>
    </row>
    <row r="257" spans="2:26" ht="84" hidden="1" x14ac:dyDescent="0.25">
      <c r="B257" s="1130">
        <v>265</v>
      </c>
      <c r="C257" s="1728"/>
      <c r="D257" s="1150" t="s">
        <v>1869</v>
      </c>
      <c r="E257" s="1130"/>
      <c r="F257" s="1131" t="s">
        <v>1870</v>
      </c>
      <c r="G257" s="1135" t="s">
        <v>1868</v>
      </c>
      <c r="H257" s="1169">
        <v>10000000</v>
      </c>
      <c r="I257" s="1130" t="s">
        <v>1772</v>
      </c>
      <c r="J257" s="1193" t="str">
        <f>[229]!Статус</f>
        <v>13.08.25_x000D_
Проведена встреча 01.08.25. Запланирована поездка к заказчику с демо системы (2 датчика перемещений и ПО (modbus)) до 26.08.25 (разработка/изготавление прототипа крепления датчика)</v>
      </c>
      <c r="K257" s="1135" t="s">
        <v>1895</v>
      </c>
      <c r="L257" s="1136" t="str">
        <f>[229]!ТКП_Тематика</f>
        <v>BF</v>
      </c>
      <c r="M257" s="1137"/>
      <c r="N257" s="1130">
        <v>1</v>
      </c>
      <c r="O257" s="1130"/>
      <c r="P257" s="1153">
        <f>[229]!Результат_число</f>
        <v>0</v>
      </c>
      <c r="Q257" s="1130"/>
      <c r="R257" s="1138"/>
      <c r="S257" s="1138"/>
      <c r="T257" s="1144"/>
      <c r="U257" s="1144"/>
      <c r="V257" s="1144"/>
      <c r="W257" s="1144"/>
      <c r="X257" s="1144"/>
      <c r="Y257" s="1144"/>
      <c r="Z257" s="1144"/>
    </row>
    <row r="258" spans="2:26" hidden="1" x14ac:dyDescent="0.25">
      <c r="B258" s="1138"/>
      <c r="C258" s="1728"/>
      <c r="D258" s="1151"/>
      <c r="E258" s="1138"/>
      <c r="F258" s="1139"/>
      <c r="G258" s="1142"/>
      <c r="H258" s="1140"/>
      <c r="I258" s="1138"/>
      <c r="J258" s="1147"/>
      <c r="K258" s="1142"/>
      <c r="L258" s="1143"/>
      <c r="M258" s="1144"/>
      <c r="N258" s="1152"/>
      <c r="O258" s="1152"/>
      <c r="P258" s="1138"/>
      <c r="Q258" s="1138"/>
      <c r="R258" s="1138"/>
      <c r="S258" s="1138"/>
      <c r="T258" s="1144"/>
      <c r="U258" s="1144"/>
      <c r="V258" s="1144"/>
      <c r="W258" s="1144"/>
      <c r="X258" s="1144"/>
      <c r="Y258" s="1144"/>
      <c r="Z258" s="1144"/>
    </row>
    <row r="259" spans="2:26" ht="72" hidden="1" x14ac:dyDescent="0.25">
      <c r="B259" s="1130">
        <f t="shared" ref="B259:B269" si="13">ROW()-ROW($B$5)</f>
        <v>254</v>
      </c>
      <c r="C259" s="1728"/>
      <c r="D259" s="1150" t="s">
        <v>1858</v>
      </c>
      <c r="E259" s="1130"/>
      <c r="F259" s="1131" t="s">
        <v>1864</v>
      </c>
      <c r="G259" s="1135" t="s">
        <v>1859</v>
      </c>
      <c r="H259" s="1346">
        <v>4000000</v>
      </c>
      <c r="I259" s="1130" t="s">
        <v>1772</v>
      </c>
      <c r="J259" s="1193" t="str">
        <f>[230]!Статус</f>
        <v>13.08.25_x000D_
 Заказчику направлены материалы по вариантам диагностики, скинули РЭ на ПО обработки (з.3218) тонов лопаток. Ждем реакции</v>
      </c>
      <c r="K259" s="1135" t="s">
        <v>2009</v>
      </c>
      <c r="L259" s="1136" t="str">
        <f>[230]!ТКП_Тематика</f>
        <v>GLP</v>
      </c>
      <c r="M259" s="1137"/>
      <c r="N259" s="1"/>
      <c r="O259" s="1"/>
      <c r="P259" s="1153">
        <f>[230]!Результат_число</f>
        <v>-1</v>
      </c>
      <c r="Q259" s="1130"/>
      <c r="R259" s="1130"/>
      <c r="S259" s="1130"/>
      <c r="T259" s="1137"/>
      <c r="U259" s="1137"/>
      <c r="V259" s="1137"/>
      <c r="W259" s="1137"/>
      <c r="X259" s="1137"/>
      <c r="Y259" s="1137"/>
      <c r="Z259" s="1137"/>
    </row>
    <row r="260" spans="2:26" ht="24" hidden="1" x14ac:dyDescent="0.25">
      <c r="B260" s="1138">
        <f t="shared" si="13"/>
        <v>255</v>
      </c>
      <c r="C260" s="1728"/>
      <c r="D260" s="1151" t="s">
        <v>700</v>
      </c>
      <c r="E260" s="1138"/>
      <c r="F260" s="1139"/>
      <c r="G260" s="42" t="s">
        <v>47</v>
      </c>
      <c r="H260" s="1140">
        <v>74200000</v>
      </c>
      <c r="I260" s="1138"/>
      <c r="J260" s="1141"/>
      <c r="K260" s="1142" t="s">
        <v>2293</v>
      </c>
      <c r="L260" s="1143"/>
      <c r="M260" s="1144"/>
      <c r="N260" s="1"/>
      <c r="O260" s="1"/>
      <c r="P260" s="1138">
        <v>-1</v>
      </c>
      <c r="Q260" s="1138"/>
      <c r="R260" s="1138"/>
      <c r="S260" s="1138"/>
      <c r="T260" s="1144"/>
      <c r="U260" s="1144"/>
      <c r="V260" s="1144"/>
      <c r="W260" s="1144"/>
      <c r="X260" s="1144"/>
      <c r="Y260" s="1144"/>
      <c r="Z260" s="1144"/>
    </row>
    <row r="261" spans="2:26" ht="96" hidden="1" x14ac:dyDescent="0.25">
      <c r="B261" s="1130">
        <f t="shared" si="13"/>
        <v>256</v>
      </c>
      <c r="C261" s="1728"/>
      <c r="D261" s="1325" t="s">
        <v>1860</v>
      </c>
      <c r="E261" s="1130"/>
      <c r="F261" s="1131" t="s">
        <v>1865</v>
      </c>
      <c r="G261" s="1132" t="s">
        <v>1861</v>
      </c>
      <c r="H261" s="1133"/>
      <c r="I261" s="1130" t="s">
        <v>1296</v>
      </c>
      <c r="J261" s="1145" t="str">
        <f>[231]!Статус</f>
        <v>15.07.25_x000D_
не выполняется техника</v>
      </c>
      <c r="K261" s="1135" t="s">
        <v>1873</v>
      </c>
      <c r="L261" s="1136">
        <f>[231]!ТКП_Тематика</f>
        <v>0</v>
      </c>
      <c r="M261" s="1137"/>
      <c r="N261" s="1"/>
      <c r="O261" s="1"/>
      <c r="P261" s="1130">
        <f>[231]!Результат_число</f>
        <v>-1</v>
      </c>
      <c r="Q261" s="1130"/>
      <c r="R261" s="1130"/>
      <c r="S261" s="1130"/>
      <c r="T261" s="1137"/>
      <c r="U261" s="1137"/>
      <c r="V261" s="1137"/>
      <c r="W261" s="1137"/>
      <c r="X261" s="1137"/>
      <c r="Y261" s="1137"/>
      <c r="Z261" s="1137"/>
    </row>
    <row r="262" spans="2:26" ht="72" hidden="1" x14ac:dyDescent="0.25">
      <c r="B262" s="1138">
        <f t="shared" si="13"/>
        <v>257</v>
      </c>
      <c r="C262" s="1152"/>
      <c r="D262" s="489" t="s">
        <v>1862</v>
      </c>
      <c r="E262" s="1138"/>
      <c r="F262" s="1139" t="s">
        <v>1923</v>
      </c>
      <c r="G262" s="1139" t="s">
        <v>1863</v>
      </c>
      <c r="H262" s="1347">
        <v>20000000</v>
      </c>
      <c r="I262" s="1138" t="s">
        <v>1318</v>
      </c>
      <c r="J262" s="1258" t="str">
        <f>[232]!Статус</f>
        <v>16.09.25_x000D_
200Н система испытаний - отправлено;_x000D_</v>
      </c>
      <c r="K262" s="1142" t="s">
        <v>1898</v>
      </c>
      <c r="L262" s="1143">
        <f>[232]!ТКП_Тематика</f>
        <v>0</v>
      </c>
      <c r="M262" s="1144"/>
      <c r="N262" s="1"/>
      <c r="O262" s="1"/>
      <c r="P262" s="1154">
        <f>[232]!Результат_число</f>
        <v>0</v>
      </c>
      <c r="Q262" s="1138"/>
      <c r="R262" s="1138"/>
      <c r="S262" s="1138"/>
      <c r="T262" s="1144"/>
      <c r="U262" s="1144"/>
      <c r="V262" s="1144"/>
      <c r="W262" s="1144"/>
      <c r="X262" s="1144"/>
      <c r="Y262" s="1144"/>
      <c r="Z262" s="1144"/>
    </row>
    <row r="263" spans="2:26" ht="24" hidden="1" x14ac:dyDescent="0.25">
      <c r="B263" s="1157">
        <f t="shared" si="13"/>
        <v>258</v>
      </c>
      <c r="C263" s="1714"/>
      <c r="D263" s="1304" t="s">
        <v>1872</v>
      </c>
      <c r="E263" s="1157"/>
      <c r="F263" s="1158"/>
      <c r="G263" s="1158" t="s">
        <v>1861</v>
      </c>
      <c r="H263" s="1170">
        <v>65799</v>
      </c>
      <c r="I263" s="1157"/>
      <c r="J263" s="1321" t="str">
        <f>[233]!Статус</f>
        <v>06.11.24_x000D_
ОМ: решение о запуске формуляра?</v>
      </c>
      <c r="K263" s="1159" t="s">
        <v>1951</v>
      </c>
      <c r="L263" s="1160">
        <f>[233]!ТКП_Тематика</f>
        <v>0</v>
      </c>
      <c r="M263" s="1161"/>
      <c r="N263" s="1"/>
      <c r="O263" s="1"/>
      <c r="P263" s="1190">
        <f>[233]!Результат_число</f>
        <v>0</v>
      </c>
      <c r="Q263" s="1157"/>
      <c r="R263" s="1157"/>
      <c r="S263" s="1157"/>
      <c r="T263" s="1161"/>
      <c r="U263" s="1161"/>
      <c r="V263" s="1161"/>
      <c r="W263" s="1161"/>
      <c r="X263" s="1161"/>
      <c r="Y263" s="1161"/>
      <c r="Z263" s="1161"/>
    </row>
    <row r="264" spans="2:26" ht="48" hidden="1" x14ac:dyDescent="0.25">
      <c r="B264" s="1162">
        <f t="shared" si="13"/>
        <v>259</v>
      </c>
      <c r="C264" s="1714"/>
      <c r="D264" s="1173" t="s">
        <v>1874</v>
      </c>
      <c r="E264" s="1162"/>
      <c r="F264" s="1163" t="s">
        <v>1877</v>
      </c>
      <c r="G264" s="1163" t="s">
        <v>1312</v>
      </c>
      <c r="H264" s="1171"/>
      <c r="I264" s="1162" t="s">
        <v>92</v>
      </c>
      <c r="J264" s="745">
        <f>[234]!Статус</f>
        <v>0</v>
      </c>
      <c r="K264" s="1164" t="s">
        <v>1982</v>
      </c>
      <c r="L264" s="1165" t="str">
        <f>[234]!ТКП_Тематика</f>
        <v>D</v>
      </c>
      <c r="M264" s="1166"/>
      <c r="N264" s="1"/>
      <c r="O264" s="1"/>
      <c r="P264" s="1172">
        <f>[234]!Результат_число</f>
        <v>0</v>
      </c>
      <c r="Q264" s="1162"/>
      <c r="R264" s="1162"/>
      <c r="S264" s="1162"/>
      <c r="T264" s="1166"/>
      <c r="U264" s="1166"/>
      <c r="V264" s="1166"/>
      <c r="W264" s="1166"/>
      <c r="X264" s="1166"/>
      <c r="Y264" s="1166"/>
      <c r="Z264" s="1166"/>
    </row>
    <row r="265" spans="2:26" ht="108" hidden="1" x14ac:dyDescent="0.25">
      <c r="B265" s="1138">
        <f t="shared" si="13"/>
        <v>260</v>
      </c>
      <c r="C265" s="1728"/>
      <c r="D265" s="1197" t="s">
        <v>1880</v>
      </c>
      <c r="E265" s="1184"/>
      <c r="F265" s="1185" t="s">
        <v>1891</v>
      </c>
      <c r="G265" s="1185" t="s">
        <v>1890</v>
      </c>
      <c r="H265" s="1186"/>
      <c r="I265" s="1184" t="s">
        <v>1318</v>
      </c>
      <c r="J265" s="858" t="str">
        <f>[235]!Статус</f>
        <v>07.10.25_x000D_
ОП: согласование и отправка до 10.10.25</v>
      </c>
      <c r="K265" s="1187" t="s">
        <v>1952</v>
      </c>
      <c r="L265" s="1188" t="str">
        <f>[235]!ТКП_Тематика</f>
        <v>FB</v>
      </c>
      <c r="M265" s="1189"/>
      <c r="N265" s="1"/>
      <c r="O265" s="1"/>
      <c r="P265" s="1192">
        <f>[235]!Результат_число</f>
        <v>-1</v>
      </c>
      <c r="Q265" s="1184"/>
      <c r="R265" s="1184"/>
      <c r="S265" s="1184"/>
      <c r="T265" s="1189"/>
      <c r="U265" s="1189"/>
      <c r="V265" s="1189"/>
      <c r="W265" s="1189"/>
      <c r="X265" s="1189"/>
      <c r="Y265" s="1189"/>
      <c r="Z265" s="1189"/>
    </row>
    <row r="266" spans="2:26" ht="60" hidden="1" x14ac:dyDescent="0.25">
      <c r="B266" s="1198">
        <f t="shared" si="13"/>
        <v>261</v>
      </c>
      <c r="C266" s="1714"/>
      <c r="D266" s="1216" t="s">
        <v>1884</v>
      </c>
      <c r="E266" s="1198"/>
      <c r="F266" s="1139" t="s">
        <v>1922</v>
      </c>
      <c r="G266" s="1199" t="s">
        <v>1885</v>
      </c>
      <c r="H266" s="1348">
        <v>10000000</v>
      </c>
      <c r="I266" s="1198" t="s">
        <v>1318</v>
      </c>
      <c r="J266" s="1212" t="str">
        <f>[236]!Статус</f>
        <v>16.09.25_x000D_
ОМ: уточнить отправлено или нет</v>
      </c>
      <c r="K266" s="1200" t="s">
        <v>1886</v>
      </c>
      <c r="L266" s="1201">
        <f>[236]!ТКП_Тематика</f>
        <v>0</v>
      </c>
      <c r="M266" s="1202"/>
      <c r="N266" s="1"/>
      <c r="O266" s="1"/>
      <c r="P266" s="1209">
        <f>[236]!Результат_число</f>
        <v>0</v>
      </c>
      <c r="Q266" s="1239"/>
      <c r="R266" s="1239"/>
      <c r="S266" s="1239"/>
      <c r="T266" s="1243"/>
      <c r="U266" s="1243"/>
      <c r="V266" s="1243"/>
      <c r="W266" s="1243"/>
      <c r="X266" s="1243"/>
      <c r="Y266" s="1243"/>
      <c r="Z266" s="1243"/>
    </row>
    <row r="267" spans="2:26" ht="60" hidden="1" x14ac:dyDescent="0.25">
      <c r="B267" s="1179">
        <f t="shared" si="13"/>
        <v>262</v>
      </c>
      <c r="C267" s="1714"/>
      <c r="D267" s="1195" t="s">
        <v>1875</v>
      </c>
      <c r="E267" s="1179"/>
      <c r="F267" s="1180" t="s">
        <v>1878</v>
      </c>
      <c r="G267" s="1180" t="s">
        <v>27</v>
      </c>
      <c r="H267" s="1269"/>
      <c r="I267" s="1179" t="s">
        <v>1527</v>
      </c>
      <c r="J267" s="1194" t="str">
        <f>[237]!Статус</f>
        <v>13.08.25_x000D_
РСС Подготовлен список оборудования уточнена реализуемость с ЦР - 05.08.25_x000D_
ОП - оформить. Согласовать ткп -  отправить (отправлено?)</v>
      </c>
      <c r="K267" s="1181" t="s">
        <v>1896</v>
      </c>
      <c r="L267" s="1182" t="str">
        <f>[237]!ТКП_Тематика</f>
        <v>DNF</v>
      </c>
      <c r="M267" s="1183"/>
      <c r="N267" s="1"/>
      <c r="O267" s="1"/>
      <c r="P267" s="1191">
        <f>[237]!Результат_число</f>
        <v>-1</v>
      </c>
      <c r="Q267" s="1179"/>
      <c r="R267" s="1179"/>
      <c r="S267" s="1179"/>
      <c r="T267" s="1183"/>
      <c r="U267" s="1183"/>
      <c r="V267" s="1183"/>
      <c r="W267" s="1183"/>
      <c r="X267" s="1183"/>
      <c r="Y267" s="1183"/>
      <c r="Z267" s="1183"/>
    </row>
    <row r="268" spans="2:26" ht="36" hidden="1" x14ac:dyDescent="0.25">
      <c r="B268" s="1184">
        <f t="shared" si="13"/>
        <v>263</v>
      </c>
      <c r="C268" s="1714"/>
      <c r="D268" s="1196" t="s">
        <v>1876</v>
      </c>
      <c r="E268" s="1184"/>
      <c r="F268" s="1185" t="s">
        <v>1879</v>
      </c>
      <c r="G268" s="1185" t="s">
        <v>27</v>
      </c>
      <c r="H268" s="1186"/>
      <c r="I268" s="1179" t="s">
        <v>1527</v>
      </c>
      <c r="J268" s="1299">
        <f>[238]!Статус</f>
        <v>0</v>
      </c>
      <c r="K268" s="1187" t="s">
        <v>1897</v>
      </c>
      <c r="L268" s="1188" t="str">
        <f>[238]!ТКП_Тематика</f>
        <v>NF</v>
      </c>
      <c r="M268" s="1189"/>
      <c r="N268" s="1"/>
      <c r="O268" s="1"/>
      <c r="P268" s="1192">
        <f>[238]!Результат_число</f>
        <v>-1</v>
      </c>
      <c r="Q268" s="1184"/>
      <c r="R268" s="1184"/>
      <c r="S268" s="1184"/>
      <c r="T268" s="1189"/>
      <c r="U268" s="1189"/>
      <c r="V268" s="1189"/>
      <c r="W268" s="1189"/>
      <c r="X268" s="1189"/>
      <c r="Y268" s="1189"/>
      <c r="Z268" s="1189"/>
    </row>
    <row r="269" spans="2:26" ht="48" hidden="1" x14ac:dyDescent="0.25">
      <c r="B269" s="1217">
        <f t="shared" si="13"/>
        <v>264</v>
      </c>
      <c r="C269" s="174"/>
      <c r="D269" s="319" t="s">
        <v>1905</v>
      </c>
      <c r="E269" s="1217"/>
      <c r="F269" s="1218" t="s">
        <v>1906</v>
      </c>
      <c r="G269" s="1218" t="s">
        <v>1887</v>
      </c>
      <c r="H269" s="1301">
        <v>11372612</v>
      </c>
      <c r="I269" s="1217" t="s">
        <v>88</v>
      </c>
      <c r="J269" s="1267" t="str">
        <f>[70]!Статус</f>
        <v>15.09.25_x000D_
MIC-356 отправлен._x000D_
ОМ: отправка ТКП на MIC-1150 (Мелихов) до 24.09.25</v>
      </c>
      <c r="K269" s="1219" t="s">
        <v>1888</v>
      </c>
      <c r="L269" s="1220" t="str">
        <f>[70]!ТКП_Тематика</f>
        <v>C</v>
      </c>
      <c r="M269" s="1221"/>
      <c r="N269" s="1"/>
      <c r="O269" s="1"/>
      <c r="P269" s="1230">
        <f>[70]!Результат_число</f>
        <v>0</v>
      </c>
      <c r="Q269" s="1239"/>
      <c r="R269" s="1239"/>
      <c r="S269" s="1239"/>
      <c r="T269" s="1243"/>
      <c r="U269" s="1243"/>
      <c r="V269" s="1243"/>
      <c r="W269" s="1243"/>
      <c r="X269" s="1243"/>
      <c r="Y269" s="1243"/>
      <c r="Z269" s="1243"/>
    </row>
    <row r="270" spans="2:26" ht="60" hidden="1" x14ac:dyDescent="0.25">
      <c r="B270" s="1198">
        <v>277</v>
      </c>
      <c r="C270" s="1714"/>
      <c r="D270" s="1211" t="s">
        <v>1892</v>
      </c>
      <c r="E270" s="1203"/>
      <c r="F270" s="1204" t="s">
        <v>1913</v>
      </c>
      <c r="G270" s="1204" t="s">
        <v>75</v>
      </c>
      <c r="H270" s="1349">
        <v>80000000</v>
      </c>
      <c r="I270" s="1203" t="s">
        <v>1318</v>
      </c>
      <c r="J270" s="1213" t="str">
        <f>[239]!Статус</f>
        <v>13.10.25_x000D_
РСС: проработан 28.08.25_x000D_. Проведено совещание у ГД 02.10.25_x000D_. Решение отправка существующей версии ТКП._x000D_
ОМ: требуется согласование и отправка</v>
      </c>
      <c r="K270" s="1206"/>
      <c r="L270" s="1207">
        <f>[239]!ТКП_Тематика</f>
        <v>0</v>
      </c>
      <c r="M270" s="1208"/>
      <c r="N270" s="1210">
        <v>1</v>
      </c>
      <c r="O270" s="1203"/>
      <c r="P270" s="1210">
        <f>[239]!Результат_число</f>
        <v>0</v>
      </c>
      <c r="Q270" s="1203"/>
      <c r="R270" s="1239"/>
      <c r="S270" s="1239"/>
      <c r="T270" s="1243"/>
      <c r="U270" s="1243"/>
      <c r="V270" s="1243"/>
      <c r="W270" s="1243"/>
      <c r="X270" s="1243"/>
      <c r="Y270" s="1243"/>
      <c r="Z270" s="1243"/>
    </row>
    <row r="271" spans="2:26" ht="48" hidden="1" x14ac:dyDescent="0.25">
      <c r="B271" s="1203">
        <f>ROW()-ROW($B$5)</f>
        <v>266</v>
      </c>
      <c r="C271" s="1714"/>
      <c r="D271" s="1211" t="s">
        <v>459</v>
      </c>
      <c r="E271" s="1203"/>
      <c r="F271" s="1204"/>
      <c r="G271" s="655" t="s">
        <v>4</v>
      </c>
      <c r="H271" s="1205">
        <v>99800</v>
      </c>
      <c r="I271" s="1203"/>
      <c r="J271" s="1213">
        <f>[240]!Статус</f>
        <v>0</v>
      </c>
      <c r="K271" s="1206" t="s">
        <v>1889</v>
      </c>
      <c r="L271" s="1207">
        <f>[240]!ТКП_Тематика</f>
        <v>0</v>
      </c>
      <c r="M271" s="1208"/>
      <c r="N271" s="1"/>
      <c r="O271" s="1"/>
      <c r="P271" s="1210">
        <f>[240]!Результат_число</f>
        <v>0</v>
      </c>
      <c r="Q271" s="1203"/>
      <c r="R271" s="1203"/>
      <c r="S271" s="1203"/>
      <c r="T271" s="1208"/>
      <c r="U271" s="1208"/>
      <c r="V271" s="1208"/>
      <c r="W271" s="1208"/>
      <c r="X271" s="1208"/>
      <c r="Y271" s="1208"/>
      <c r="Z271" s="1208"/>
    </row>
    <row r="272" spans="2:26" ht="84" hidden="1" x14ac:dyDescent="0.25">
      <c r="B272" s="1222">
        <f>ROW()-ROW($B$5)</f>
        <v>267</v>
      </c>
      <c r="C272" s="1714"/>
      <c r="D272" s="1232" t="s">
        <v>1899</v>
      </c>
      <c r="E272" s="1222"/>
      <c r="F272" s="1223" t="s">
        <v>1907</v>
      </c>
      <c r="G272" s="1223" t="s">
        <v>27</v>
      </c>
      <c r="H272" s="1224"/>
      <c r="I272" s="1222"/>
      <c r="J272" s="1253" t="str">
        <f>[241]!Статус</f>
        <v>31.01.25_x000D_
Отправлено?</v>
      </c>
      <c r="K272" s="1225" t="s">
        <v>1918</v>
      </c>
      <c r="L272" s="1226" t="str">
        <f>[241]!ТКП_Тематика</f>
        <v>DF</v>
      </c>
      <c r="M272" s="1227"/>
      <c r="N272" s="1"/>
      <c r="O272" s="1"/>
      <c r="P272" s="1231">
        <f>[241]!Результат_число</f>
        <v>0</v>
      </c>
      <c r="Q272" s="1222"/>
      <c r="R272" s="1222"/>
      <c r="S272" s="1222"/>
      <c r="T272" s="1227"/>
      <c r="U272" s="1227"/>
      <c r="V272" s="1227"/>
      <c r="W272" s="1227"/>
      <c r="X272" s="1227"/>
      <c r="Y272" s="1227"/>
      <c r="Z272" s="1227"/>
    </row>
    <row r="273" spans="2:26" ht="96" hidden="1" x14ac:dyDescent="0.25">
      <c r="B273" s="1217">
        <f>ROW()-ROW($B$5)</f>
        <v>268</v>
      </c>
      <c r="C273" s="1714"/>
      <c r="D273" s="1233" t="s">
        <v>1900</v>
      </c>
      <c r="E273" s="1217"/>
      <c r="F273" s="1218" t="s">
        <v>1908</v>
      </c>
      <c r="G273" s="1218" t="s">
        <v>1901</v>
      </c>
      <c r="H273" s="1256"/>
      <c r="I273" s="1217" t="s">
        <v>1318</v>
      </c>
      <c r="J273" s="1252" t="str">
        <f>[242]!Статус</f>
        <v>15.09.25_x000D_
ТЗ написано под ZetLab. Связались с ZetLab предложили выступить интегратором. Получили сообщение - "мы отправили свое ТКП, при необходимости вас позовем"_x000D_
ОМ: ответить вежливым отказом, при необходимости готовы выступить интегратором ZetLab</v>
      </c>
      <c r="K273" s="1219" t="s">
        <v>1919</v>
      </c>
      <c r="L273" s="1220" t="str">
        <f>[243]!ТКП_Тематика</f>
        <v>BFI</v>
      </c>
      <c r="M273" s="1221"/>
      <c r="N273" s="1"/>
      <c r="O273" s="1"/>
      <c r="P273" s="1230">
        <f>[242]!Результат_число</f>
        <v>-1</v>
      </c>
      <c r="Q273" s="1217"/>
      <c r="R273" s="1217"/>
      <c r="S273" s="1217"/>
      <c r="T273" s="1221"/>
      <c r="U273" s="1221"/>
      <c r="V273" s="1221"/>
      <c r="W273" s="1221"/>
      <c r="X273" s="1221"/>
      <c r="Y273" s="1221"/>
      <c r="Z273" s="1221"/>
    </row>
    <row r="274" spans="2:26" ht="24" hidden="1" x14ac:dyDescent="0.25">
      <c r="B274" s="1217">
        <v>282</v>
      </c>
      <c r="C274" s="174"/>
      <c r="D274" s="1228" t="s">
        <v>1910</v>
      </c>
      <c r="E274" s="1217"/>
      <c r="F274" s="1218" t="s">
        <v>1911</v>
      </c>
      <c r="G274" s="1218" t="s">
        <v>1912</v>
      </c>
      <c r="H274" s="1270"/>
      <c r="I274" s="1217" t="s">
        <v>1915</v>
      </c>
      <c r="J274" s="1252" t="str">
        <f>[243]!Статус</f>
        <v>16.09.25_x000D_
РСС: проработка до 19.09.25</v>
      </c>
      <c r="K274" s="1219" t="s">
        <v>1902</v>
      </c>
      <c r="L274" s="1220" t="str">
        <f>[243]!ТКП_Тематика</f>
        <v>BFI</v>
      </c>
      <c r="M274" s="1221"/>
      <c r="N274" s="1214"/>
      <c r="O274" s="1214"/>
      <c r="P274" s="1230">
        <f>[243]!Результат_число</f>
        <v>0</v>
      </c>
      <c r="Q274" s="1217"/>
      <c r="R274" s="1221"/>
      <c r="S274" s="1221"/>
      <c r="T274" s="1221"/>
      <c r="U274" s="1227"/>
      <c r="V274" s="1227"/>
      <c r="W274" s="1227"/>
      <c r="X274" s="1227"/>
      <c r="Y274" s="1227"/>
      <c r="Z274" s="1227"/>
    </row>
    <row r="275" spans="2:26" ht="96" hidden="1" x14ac:dyDescent="0.25">
      <c r="B275" s="1222">
        <f t="shared" ref="B275:B282" si="14">ROW()-ROW($B$5)</f>
        <v>270</v>
      </c>
      <c r="C275" s="1714"/>
      <c r="D275" s="1232" t="s">
        <v>1903</v>
      </c>
      <c r="E275" s="1222"/>
      <c r="F275" s="1223" t="s">
        <v>1909</v>
      </c>
      <c r="G275" s="1223" t="s">
        <v>1904</v>
      </c>
      <c r="H275" s="1271">
        <v>20000000</v>
      </c>
      <c r="I275" s="1222" t="s">
        <v>1318</v>
      </c>
      <c r="J275" s="1253" t="str">
        <f>[243]!Статус</f>
        <v>16.09.25_x000D_
РСС: проработка до 19.09.25</v>
      </c>
      <c r="K275" s="1225" t="s">
        <v>1933</v>
      </c>
      <c r="L275" s="1226" t="str">
        <f>[243]!ТКП_Тематика</f>
        <v>BFI</v>
      </c>
      <c r="M275" s="1227"/>
      <c r="N275" s="1"/>
      <c r="O275" s="1"/>
      <c r="P275" s="1231">
        <f>[243]!Результат_число</f>
        <v>0</v>
      </c>
      <c r="Q275" s="1222"/>
      <c r="R275" s="1222"/>
      <c r="S275" s="1222"/>
      <c r="T275" s="1227"/>
      <c r="U275" s="1227"/>
      <c r="V275" s="1227"/>
      <c r="W275" s="1227"/>
      <c r="X275" s="1227"/>
      <c r="Y275" s="1227"/>
      <c r="Z275" s="1227"/>
    </row>
    <row r="276" spans="2:26" ht="300" hidden="1" x14ac:dyDescent="0.25">
      <c r="B276" s="1234">
        <f t="shared" si="14"/>
        <v>271</v>
      </c>
      <c r="C276" s="1714"/>
      <c r="D276" s="1395" t="s">
        <v>1917</v>
      </c>
      <c r="E276" s="1234"/>
      <c r="F276" s="1235"/>
      <c r="G276" s="1235" t="s">
        <v>205</v>
      </c>
      <c r="H276" s="1257">
        <v>166063861.74000001</v>
      </c>
      <c r="I276" s="1234"/>
      <c r="J276" s="1254">
        <f>[244]!Статус</f>
        <v>0</v>
      </c>
      <c r="K276" s="1236" t="s">
        <v>2173</v>
      </c>
      <c r="L276" s="1237">
        <f>[244]!ТКП_Тематика</f>
        <v>0</v>
      </c>
      <c r="M276" s="1238"/>
      <c r="N276" s="1"/>
      <c r="O276" s="1"/>
      <c r="P276" s="1250">
        <f>[244]!Результат_число</f>
        <v>-1</v>
      </c>
      <c r="Q276" s="1234"/>
      <c r="R276" s="1234"/>
      <c r="S276" s="1234"/>
      <c r="T276" s="1238"/>
      <c r="U276" s="1238"/>
      <c r="V276" s="1238"/>
      <c r="W276" s="1238"/>
      <c r="X276" s="1238"/>
      <c r="Y276" s="1238"/>
      <c r="Z276" s="1238"/>
    </row>
    <row r="277" spans="2:26" ht="36" hidden="1" x14ac:dyDescent="0.25">
      <c r="B277" s="1239">
        <f t="shared" si="14"/>
        <v>272</v>
      </c>
      <c r="C277" s="543"/>
      <c r="D277" s="1323" t="s">
        <v>1920</v>
      </c>
      <c r="E277" s="1239"/>
      <c r="F277" s="1240" t="s">
        <v>1925</v>
      </c>
      <c r="G277" s="1240" t="s">
        <v>8</v>
      </c>
      <c r="H277" s="1272">
        <v>469753</v>
      </c>
      <c r="I277" s="1239" t="s">
        <v>39</v>
      </c>
      <c r="J277" s="1255">
        <f>[245]!Статус</f>
        <v>0</v>
      </c>
      <c r="K277" s="1241" t="s">
        <v>1928</v>
      </c>
      <c r="L277" s="1242">
        <f>[245]!ТКП_Тематика</f>
        <v>0</v>
      </c>
      <c r="M277" s="1243"/>
      <c r="N277" s="1"/>
      <c r="O277" s="1"/>
      <c r="P277" s="1251">
        <f>[245]!Результат_число</f>
        <v>0</v>
      </c>
      <c r="Q277" s="1239"/>
      <c r="R277" s="1239"/>
      <c r="S277" s="1239"/>
      <c r="T277" s="1243"/>
      <c r="U277" s="1243"/>
      <c r="V277" s="1243"/>
      <c r="W277" s="1243"/>
      <c r="X277" s="1243"/>
      <c r="Y277" s="1243"/>
      <c r="Z277" s="1243"/>
    </row>
    <row r="278" spans="2:26" ht="36" hidden="1" x14ac:dyDescent="0.25">
      <c r="B278" s="1239">
        <f t="shared" si="14"/>
        <v>273</v>
      </c>
      <c r="C278" s="1714"/>
      <c r="D278" s="1326" t="s">
        <v>1931</v>
      </c>
      <c r="E278" s="1274"/>
      <c r="F278" s="1275" t="s">
        <v>1937</v>
      </c>
      <c r="G278" s="1275" t="s">
        <v>1941</v>
      </c>
      <c r="H278" s="1350">
        <v>8000000</v>
      </c>
      <c r="I278" s="1274" t="s">
        <v>1772</v>
      </c>
      <c r="J278" s="1302" t="str">
        <f>[246]!Статус</f>
        <v>06.10.25_x000D_
В проработке до 20.10.25</v>
      </c>
      <c r="K278" s="1276" t="s">
        <v>1964</v>
      </c>
      <c r="L278" s="1277" t="str">
        <f>[246]!ТКП_Тематика</f>
        <v>FN</v>
      </c>
      <c r="M278" s="1278"/>
      <c r="N278" s="1"/>
      <c r="O278" s="1"/>
      <c r="P278" s="1297">
        <f>[246]!Результат_число</f>
        <v>0</v>
      </c>
      <c r="Q278" s="1274"/>
      <c r="R278" s="1274"/>
      <c r="S278" s="1274"/>
      <c r="T278" s="1278"/>
      <c r="U278" s="1278"/>
      <c r="V278" s="1278"/>
      <c r="W278" s="1278"/>
      <c r="X278" s="1278"/>
      <c r="Y278" s="1278"/>
      <c r="Z278" s="1278"/>
    </row>
    <row r="279" spans="2:26" ht="24" hidden="1" x14ac:dyDescent="0.25">
      <c r="B279" s="1234">
        <f t="shared" si="14"/>
        <v>274</v>
      </c>
      <c r="C279" s="1714"/>
      <c r="D279" s="1266" t="s">
        <v>1921</v>
      </c>
      <c r="E279" s="1234"/>
      <c r="F279" s="1235" t="s">
        <v>1924</v>
      </c>
      <c r="G279" s="1235" t="s">
        <v>558</v>
      </c>
      <c r="H279" s="1273"/>
      <c r="I279" s="1234"/>
      <c r="J279" s="1254" t="str">
        <f>[247]!Статус</f>
        <v>16.09.25_x000D_
ОМ: отправка ТКП до 17.09.25</v>
      </c>
      <c r="K279" s="1236" t="s">
        <v>1929</v>
      </c>
      <c r="L279" s="1237">
        <f>[247]!ТКП_Тематика</f>
        <v>0</v>
      </c>
      <c r="M279" s="1238"/>
      <c r="N279" s="1"/>
      <c r="O279" s="1"/>
      <c r="P279" s="1250">
        <f>[247]!Результат_число</f>
        <v>0</v>
      </c>
      <c r="Q279" s="1234"/>
      <c r="R279" s="1234"/>
      <c r="S279" s="1234"/>
      <c r="T279" s="1238"/>
      <c r="U279" s="1238"/>
      <c r="V279" s="1238"/>
      <c r="W279" s="1238"/>
      <c r="X279" s="1238"/>
      <c r="Y279" s="1238"/>
      <c r="Z279" s="1238"/>
    </row>
    <row r="280" spans="2:26" ht="84" hidden="1" x14ac:dyDescent="0.25">
      <c r="B280" s="1259">
        <f t="shared" si="14"/>
        <v>275</v>
      </c>
      <c r="C280" s="1725"/>
      <c r="D280" s="1268" t="s">
        <v>1930</v>
      </c>
      <c r="E280" s="1259"/>
      <c r="F280" s="1260"/>
      <c r="G280" s="604" t="s">
        <v>2197</v>
      </c>
      <c r="H280" s="1261">
        <v>66052710.549999997</v>
      </c>
      <c r="I280" s="1259"/>
      <c r="J280" s="1265"/>
      <c r="K280" s="1262" t="s">
        <v>2150</v>
      </c>
      <c r="L280" s="1263"/>
      <c r="M280" s="1264"/>
      <c r="N280" s="1"/>
      <c r="O280" s="1"/>
      <c r="P280" s="1259"/>
      <c r="Q280" s="1259"/>
      <c r="R280" s="1259"/>
      <c r="S280" s="1259"/>
      <c r="T280" s="1264"/>
      <c r="U280" s="1264"/>
      <c r="V280" s="1264"/>
      <c r="W280" s="1264"/>
      <c r="X280" s="1264"/>
      <c r="Y280" s="1264"/>
      <c r="Z280" s="1264"/>
    </row>
    <row r="281" spans="2:26" ht="60" hidden="1" x14ac:dyDescent="0.25">
      <c r="B281" s="1596">
        <f t="shared" si="14"/>
        <v>276</v>
      </c>
      <c r="C281" s="1724"/>
      <c r="D281" s="1460" t="s">
        <v>1932</v>
      </c>
      <c r="E281" s="1596"/>
      <c r="F281" s="1597" t="s">
        <v>1939</v>
      </c>
      <c r="G281" s="1597" t="s">
        <v>60</v>
      </c>
      <c r="H281" s="1598">
        <v>82400013</v>
      </c>
      <c r="I281" s="1596" t="s">
        <v>54</v>
      </c>
      <c r="J281" s="1599" t="str">
        <f>[117]!Статус</f>
        <v>04.07.25_x000D_
Согласно созвону от 04.07.25 ОКБ Африкантова ожидает что мы запускаем по одному экземпляру оборудования. Гарантийное письмо до 20.07.25</v>
      </c>
      <c r="K281" s="1600" t="s">
        <v>2138</v>
      </c>
      <c r="L281" s="1601" t="str">
        <f>[117]!ТКП_Тематика</f>
        <v>KFN</v>
      </c>
      <c r="M281" s="1602"/>
      <c r="N281" s="12"/>
      <c r="O281" s="12"/>
      <c r="P281" s="1596">
        <f>[117]!Результат_число</f>
        <v>0</v>
      </c>
      <c r="Q281" s="1596"/>
      <c r="R281" s="1596"/>
      <c r="S281" s="1596"/>
      <c r="T281" s="1602"/>
      <c r="U281" s="1602"/>
      <c r="V281" s="1602"/>
      <c r="W281" s="1602"/>
      <c r="X281" s="1602"/>
      <c r="Y281" s="1602"/>
      <c r="Z281" s="1602"/>
    </row>
    <row r="282" spans="2:26" ht="24" hidden="1" x14ac:dyDescent="0.25">
      <c r="B282" s="1284">
        <f t="shared" si="14"/>
        <v>277</v>
      </c>
      <c r="C282" s="1714">
        <v>1</v>
      </c>
      <c r="D282" s="1327" t="s">
        <v>537</v>
      </c>
      <c r="E282" s="1284"/>
      <c r="F282" s="1285" t="s">
        <v>1938</v>
      </c>
      <c r="G282" s="604" t="s">
        <v>1449</v>
      </c>
      <c r="H282" s="1294">
        <v>60000000</v>
      </c>
      <c r="I282" s="1284" t="s">
        <v>378</v>
      </c>
      <c r="J282" s="745">
        <f>[248]!Статус</f>
        <v>0</v>
      </c>
      <c r="K282" s="1286" t="s">
        <v>1983</v>
      </c>
      <c r="L282" s="1287">
        <f>[248]!ТКП_Тематика</f>
        <v>0</v>
      </c>
      <c r="M282" s="1288"/>
      <c r="N282" s="1"/>
      <c r="O282" s="1"/>
      <c r="P282" s="1320">
        <f>[248]!Результат_число</f>
        <v>0</v>
      </c>
      <c r="Q282" s="1284"/>
      <c r="R282" s="1284"/>
      <c r="S282" s="1284"/>
      <c r="T282" s="1288"/>
      <c r="U282" s="1288"/>
      <c r="V282" s="1288"/>
      <c r="W282" s="1288"/>
      <c r="X282" s="1288"/>
      <c r="Y282" s="1288"/>
      <c r="Z282" s="1288"/>
    </row>
    <row r="283" spans="2:26" ht="36" hidden="1" x14ac:dyDescent="0.25">
      <c r="B283" s="1279">
        <v>290</v>
      </c>
      <c r="C283" s="174"/>
      <c r="D283" s="319" t="s">
        <v>1880</v>
      </c>
      <c r="E283" s="1279"/>
      <c r="F283" s="1280" t="s">
        <v>1943</v>
      </c>
      <c r="G283" s="1280" t="s">
        <v>1890</v>
      </c>
      <c r="H283" s="1295">
        <v>24000000</v>
      </c>
      <c r="I283" s="1279" t="s">
        <v>1318</v>
      </c>
      <c r="J283" s="1296" t="str">
        <f>[235]!Статус</f>
        <v>07.10.25_x000D_
ОП: согласование и отправка до 10.10.25</v>
      </c>
      <c r="K283" s="1281" t="s">
        <v>1936</v>
      </c>
      <c r="L283" s="1282" t="str">
        <f>[235]!ТКП_Тематика</f>
        <v>FB</v>
      </c>
      <c r="M283" s="1283"/>
      <c r="N283" s="1279">
        <v>1</v>
      </c>
      <c r="O283" s="1279"/>
      <c r="P283" s="1274">
        <f>[235]!Результат_число</f>
        <v>-1</v>
      </c>
      <c r="Q283" s="1279"/>
      <c r="R283" s="1284"/>
      <c r="S283" s="1284"/>
      <c r="T283" s="1288"/>
      <c r="U283" s="1288"/>
      <c r="V283" s="1288"/>
      <c r="W283" s="1288"/>
      <c r="X283" s="1288"/>
      <c r="Y283" s="1288"/>
      <c r="Z283" s="1288"/>
    </row>
    <row r="284" spans="2:26" ht="24" hidden="1" x14ac:dyDescent="0.25">
      <c r="B284" s="1239">
        <f>ROW()-ROW($B$5)</f>
        <v>279</v>
      </c>
      <c r="C284" s="174"/>
      <c r="D284" s="319" t="s">
        <v>1948</v>
      </c>
      <c r="E284" s="1284"/>
      <c r="F284" s="1285" t="s">
        <v>1950</v>
      </c>
      <c r="G284" s="1285" t="s">
        <v>1949</v>
      </c>
      <c r="H284" s="1294">
        <v>22000000</v>
      </c>
      <c r="I284" s="1284" t="s">
        <v>88</v>
      </c>
      <c r="J284" s="1303">
        <v>0</v>
      </c>
      <c r="K284" s="1286" t="s">
        <v>1955</v>
      </c>
      <c r="L284" s="1287" t="s">
        <v>1947</v>
      </c>
      <c r="M284" s="1288"/>
      <c r="N284" s="1297">
        <v>1</v>
      </c>
      <c r="O284" s="1284"/>
      <c r="P284" s="1284"/>
      <c r="Q284" s="1284"/>
      <c r="R284" s="1288"/>
      <c r="S284" s="1284"/>
      <c r="T284" s="1288"/>
      <c r="U284" s="1288"/>
      <c r="V284" s="1288"/>
      <c r="W284" s="1288"/>
      <c r="X284" s="1288"/>
      <c r="Y284" s="1288"/>
      <c r="Z284" s="1288"/>
    </row>
    <row r="285" spans="2:26" ht="84" hidden="1" x14ac:dyDescent="0.25">
      <c r="B285" s="1239">
        <f>ROW()-ROW($B$5)</f>
        <v>280</v>
      </c>
      <c r="C285" s="1714"/>
      <c r="D285" s="1324" t="s">
        <v>1945</v>
      </c>
      <c r="E285" s="1284"/>
      <c r="F285" s="1285" t="s">
        <v>1946</v>
      </c>
      <c r="G285" s="1285" t="s">
        <v>1281</v>
      </c>
      <c r="H285" s="1437">
        <v>30000000</v>
      </c>
      <c r="I285" s="1284" t="s">
        <v>1318</v>
      </c>
      <c r="J285" s="1303" t="str">
        <f>[249]!Статус</f>
        <v>12.11.25_x000D_
Требуется согласование и отправка ТКП/ Конкурс 28.11.25</v>
      </c>
      <c r="K285" s="1286" t="s">
        <v>1984</v>
      </c>
      <c r="L285" s="1287" t="str">
        <f>[249]!ТКП_Тематика</f>
        <v>FLN</v>
      </c>
      <c r="M285" s="1288"/>
      <c r="N285" s="174"/>
      <c r="O285" s="174"/>
      <c r="P285" s="1297">
        <f>[249]!Результат_число</f>
        <v>-1</v>
      </c>
      <c r="Q285" s="1284"/>
      <c r="R285" s="1284"/>
      <c r="S285" s="1284"/>
      <c r="T285" s="1288"/>
      <c r="U285" s="1288"/>
      <c r="V285" s="1288"/>
      <c r="W285" s="1288"/>
      <c r="X285" s="1288"/>
      <c r="Y285" s="1288"/>
      <c r="Z285" s="1288"/>
    </row>
    <row r="286" spans="2:26" ht="36" hidden="1" x14ac:dyDescent="0.25">
      <c r="B286" s="1279">
        <v>288</v>
      </c>
      <c r="C286" s="174"/>
      <c r="D286" s="319" t="s">
        <v>1961</v>
      </c>
      <c r="E286" s="1279"/>
      <c r="F286" s="1285" t="s">
        <v>1975</v>
      </c>
      <c r="G286" s="1280" t="s">
        <v>1962</v>
      </c>
      <c r="H286" s="1295">
        <v>20000000</v>
      </c>
      <c r="I286" s="1279" t="s">
        <v>92</v>
      </c>
      <c r="J286" s="1340" t="str">
        <f>[250]!Статус</f>
        <v xml:space="preserve">создана эскиз схемы отправлено на регистрацию через почту и вениамину </v>
      </c>
      <c r="K286" s="1281" t="s">
        <v>1986</v>
      </c>
      <c r="L286" s="1282" t="str">
        <f>[250]!ТКП_Тематика</f>
        <v>L</v>
      </c>
      <c r="M286" s="1283"/>
      <c r="N286" s="1298">
        <v>1</v>
      </c>
      <c r="O286" s="1279"/>
      <c r="P286" s="1298">
        <f>[250]!Результат_число</f>
        <v>0</v>
      </c>
      <c r="Q286" s="1279"/>
      <c r="R286" s="1312"/>
      <c r="S286" s="1312"/>
      <c r="T286" s="1317"/>
      <c r="U286" s="1317"/>
      <c r="V286" s="1317"/>
      <c r="W286" s="1317"/>
      <c r="X286" s="1317"/>
      <c r="Y286" s="1317"/>
      <c r="Z286" s="1317"/>
    </row>
    <row r="287" spans="2:26" ht="228" x14ac:dyDescent="0.25">
      <c r="B287" s="1279">
        <f t="shared" ref="B287:B298" si="15">ROW()-ROW($B$5)</f>
        <v>282</v>
      </c>
      <c r="C287" s="1714">
        <v>0</v>
      </c>
      <c r="D287" s="1305" t="s">
        <v>1934</v>
      </c>
      <c r="E287" s="1279"/>
      <c r="F287" s="1280" t="s">
        <v>1940</v>
      </c>
      <c r="G287" s="1280" t="s">
        <v>1935</v>
      </c>
      <c r="H287" s="1438">
        <v>40000000</v>
      </c>
      <c r="I287" s="1448" t="s">
        <v>2008</v>
      </c>
      <c r="J287" s="1296" t="str">
        <f>[251]!Статус</f>
        <v xml:space="preserve">08.06.26_x000D_
ТКП направлено на согласование внутри МЕРА 04.06.2026_x000D_
Подготовлена схема и трудоемкости, готово к оформлению с 26.01.2026. Заказчику направлен проект ТЗ на согласование 18.02.2026_x000D_
</v>
      </c>
      <c r="K287" s="1281" t="s">
        <v>2203</v>
      </c>
      <c r="L287" s="1282" t="str">
        <f>[251]!ТКП_Тематика</f>
        <v>B</v>
      </c>
      <c r="M287" s="1283"/>
      <c r="N287" s="1"/>
      <c r="O287" s="1"/>
      <c r="P287" s="1298">
        <f>[251]!Результат_число</f>
        <v>1</v>
      </c>
      <c r="Q287" s="1279"/>
      <c r="R287" s="1279"/>
      <c r="S287" s="1279"/>
      <c r="T287" s="1283"/>
      <c r="U287" s="1283"/>
      <c r="V287" s="1283"/>
      <c r="W287" s="1283"/>
      <c r="X287" s="1283"/>
      <c r="Y287" s="1283"/>
      <c r="Z287" s="1283"/>
    </row>
    <row r="288" spans="2:26" ht="84" hidden="1" x14ac:dyDescent="0.25">
      <c r="B288" s="1306">
        <f t="shared" si="15"/>
        <v>283</v>
      </c>
      <c r="C288" s="1714"/>
      <c r="D288" s="1328" t="s">
        <v>1697</v>
      </c>
      <c r="E288" s="1306"/>
      <c r="F288" s="1307"/>
      <c r="G288" s="1307" t="s">
        <v>1698</v>
      </c>
      <c r="H288" s="1308" t="s">
        <v>49</v>
      </c>
      <c r="I288" s="1306"/>
      <c r="J288" s="1412" t="str">
        <f>[182]!Статус</f>
        <v>05.03.25_x000D_
_x000D_ Созвонились с представителем заказчика - Болотов А.В., модернизируют стоечную систему. Ждем данные по частотам опроса, предварительно подсказали заказчику о возможности использовать каналы MR-114 с клемника XT01</v>
      </c>
      <c r="K288" s="1309" t="s">
        <v>1726</v>
      </c>
      <c r="L288" s="1310">
        <f>[182]!ТКП_Тематика</f>
        <v>0</v>
      </c>
      <c r="M288" s="1311"/>
      <c r="N288" s="1"/>
      <c r="O288" s="1"/>
      <c r="P288" s="1306">
        <f>[182]!Результат_число</f>
        <v>-1</v>
      </c>
      <c r="Q288" s="1306"/>
      <c r="R288" s="1306"/>
      <c r="S288" s="1306"/>
      <c r="T288" s="1311"/>
      <c r="U288" s="1311"/>
      <c r="V288" s="1311"/>
      <c r="W288" s="1311"/>
      <c r="X288" s="1311"/>
      <c r="Y288" s="1311"/>
      <c r="Z288" s="1311"/>
    </row>
    <row r="289" spans="2:26" ht="60" hidden="1" x14ac:dyDescent="0.25">
      <c r="B289" s="1312">
        <f t="shared" si="15"/>
        <v>284</v>
      </c>
      <c r="C289" s="1714"/>
      <c r="D289" s="1329" t="s">
        <v>1953</v>
      </c>
      <c r="E289" s="1312"/>
      <c r="F289" s="1313" t="s">
        <v>1956</v>
      </c>
      <c r="G289" s="1313" t="s">
        <v>78</v>
      </c>
      <c r="H289" s="1314">
        <v>9939084</v>
      </c>
      <c r="I289" s="1312" t="s">
        <v>88</v>
      </c>
      <c r="J289" s="1322" t="str">
        <f>[252]!Статус</f>
        <v>19.03.25_x000D_
Согласован с ГД - 18.03.25</v>
      </c>
      <c r="K289" s="1315" t="s">
        <v>2098</v>
      </c>
      <c r="L289" s="1316">
        <f>[252]!ТКП_Тематика</f>
        <v>0</v>
      </c>
      <c r="M289" s="1317"/>
      <c r="N289" s="1"/>
      <c r="O289" s="1"/>
      <c r="P289" s="1318">
        <f>[252]!Результат_число</f>
        <v>0</v>
      </c>
      <c r="Q289" s="1312"/>
      <c r="R289" s="1312"/>
      <c r="S289" s="1312"/>
      <c r="T289" s="1317"/>
      <c r="U289" s="1317"/>
      <c r="V289" s="1317"/>
      <c r="W289" s="1317"/>
      <c r="X289" s="1317"/>
      <c r="Y289" s="1317"/>
      <c r="Z289" s="1317"/>
    </row>
    <row r="290" spans="2:26" ht="84" hidden="1" x14ac:dyDescent="0.25">
      <c r="B290" s="1306">
        <f t="shared" si="15"/>
        <v>285</v>
      </c>
      <c r="C290" s="174"/>
      <c r="D290" s="319" t="s">
        <v>1954</v>
      </c>
      <c r="E290" s="1306"/>
      <c r="F290" s="1307" t="s">
        <v>1957</v>
      </c>
      <c r="G290" s="1307" t="s">
        <v>8</v>
      </c>
      <c r="H290" s="1308">
        <v>11000000</v>
      </c>
      <c r="I290" s="1306" t="s">
        <v>1318</v>
      </c>
      <c r="J290" s="858">
        <f>[253]!Статус</f>
        <v>0</v>
      </c>
      <c r="K290" s="1309" t="s">
        <v>1965</v>
      </c>
      <c r="L290" s="1310" t="str">
        <f>[253]!ТКП_Тематика</f>
        <v>DN</v>
      </c>
      <c r="M290" s="1311"/>
      <c r="N290" s="1"/>
      <c r="O290" s="1"/>
      <c r="P290" s="1319">
        <f>[253]!Результат_число</f>
        <v>0</v>
      </c>
      <c r="Q290" s="1306"/>
      <c r="R290" s="1306"/>
      <c r="S290" s="1306"/>
      <c r="T290" s="1311"/>
      <c r="U290" s="1311"/>
      <c r="V290" s="1311"/>
      <c r="W290" s="1311"/>
      <c r="X290" s="1311"/>
      <c r="Y290" s="1311"/>
      <c r="Z290" s="1311"/>
    </row>
    <row r="291" spans="2:26" ht="60" hidden="1" x14ac:dyDescent="0.25">
      <c r="B291" s="1330">
        <f t="shared" si="15"/>
        <v>286</v>
      </c>
      <c r="C291" s="1714"/>
      <c r="D291" s="1358" t="s">
        <v>1966</v>
      </c>
      <c r="E291" s="1330"/>
      <c r="F291" s="1331" t="s">
        <v>1972</v>
      </c>
      <c r="G291" s="1331" t="s">
        <v>73</v>
      </c>
      <c r="H291" s="1351">
        <v>222340.41</v>
      </c>
      <c r="I291" s="1330"/>
      <c r="J291" s="1352">
        <f>[254]!Статус</f>
        <v>0</v>
      </c>
      <c r="K291" s="1332" t="s">
        <v>1967</v>
      </c>
      <c r="L291" s="1333">
        <f>[254]!ТКП_Тематика</f>
        <v>0</v>
      </c>
      <c r="M291" s="1334"/>
      <c r="N291" s="1"/>
      <c r="O291" s="1"/>
      <c r="P291" s="1298">
        <f>[254]!Результат_число</f>
        <v>0</v>
      </c>
      <c r="Q291" s="1330"/>
      <c r="R291" s="1330"/>
      <c r="S291" s="1330"/>
      <c r="T291" s="1334"/>
      <c r="U291" s="1334"/>
      <c r="V291" s="1334"/>
      <c r="W291" s="1334"/>
      <c r="X291" s="1334"/>
      <c r="Y291" s="1334"/>
      <c r="Z291" s="1334"/>
    </row>
    <row r="292" spans="2:26" ht="72" hidden="1" x14ac:dyDescent="0.25">
      <c r="B292" s="1335">
        <f t="shared" si="15"/>
        <v>287</v>
      </c>
      <c r="C292" s="1714"/>
      <c r="D292" s="1359" t="s">
        <v>1968</v>
      </c>
      <c r="E292" s="1335"/>
      <c r="F292" s="1336" t="s">
        <v>1973</v>
      </c>
      <c r="G292" s="1336" t="s">
        <v>78</v>
      </c>
      <c r="H292" s="1439">
        <v>3500000</v>
      </c>
      <c r="I292" s="1335" t="s">
        <v>1349</v>
      </c>
      <c r="J292" s="1352" t="str">
        <f>[255]!Статус</f>
        <v>23.03.26_x000D_
Ждем пока доделают контейнер 3129</v>
      </c>
      <c r="K292" s="1337" t="s">
        <v>2155</v>
      </c>
      <c r="L292" s="1338">
        <f>[255]!ТКП_Тематика</f>
        <v>0</v>
      </c>
      <c r="M292" s="1339"/>
      <c r="N292" s="1"/>
      <c r="O292" s="1"/>
      <c r="P292" s="1298">
        <f>[255]!Результат_число</f>
        <v>0</v>
      </c>
      <c r="Q292" s="1335"/>
      <c r="R292" s="1335"/>
      <c r="S292" s="1335"/>
      <c r="T292" s="1339"/>
      <c r="U292" s="1339"/>
      <c r="V292" s="1339"/>
      <c r="W292" s="1339"/>
      <c r="X292" s="1339"/>
      <c r="Y292" s="1339"/>
      <c r="Z292" s="1339"/>
    </row>
    <row r="293" spans="2:26" ht="36" hidden="1" x14ac:dyDescent="0.25">
      <c r="B293" s="1330">
        <f t="shared" si="15"/>
        <v>288</v>
      </c>
      <c r="C293" s="1714"/>
      <c r="D293" s="1360" t="s">
        <v>1969</v>
      </c>
      <c r="E293" s="1330"/>
      <c r="F293" s="1331" t="s">
        <v>1974</v>
      </c>
      <c r="G293" s="1331" t="s">
        <v>1970</v>
      </c>
      <c r="H293" s="1351"/>
      <c r="I293" s="1330"/>
      <c r="J293" s="1352" t="str">
        <f>[256]!Статус</f>
        <v>20.11.25_x000D_
отказ. Не наша тема</v>
      </c>
      <c r="K293" s="1332" t="s">
        <v>1985</v>
      </c>
      <c r="L293" s="1333">
        <f>[256]!ТКП_Тематика</f>
        <v>0</v>
      </c>
      <c r="M293" s="1334"/>
      <c r="N293" s="1"/>
      <c r="O293" s="1"/>
      <c r="P293" s="1298">
        <f>[256]!Результат_число</f>
        <v>-1</v>
      </c>
      <c r="Q293" s="1330"/>
      <c r="R293" s="1330"/>
      <c r="S293" s="1330"/>
      <c r="T293" s="1334"/>
      <c r="U293" s="1334"/>
      <c r="V293" s="1334"/>
      <c r="W293" s="1334"/>
      <c r="X293" s="1334"/>
      <c r="Y293" s="1334"/>
      <c r="Z293" s="1334"/>
    </row>
    <row r="294" spans="2:26" hidden="1" x14ac:dyDescent="0.25">
      <c r="B294" s="1603">
        <f t="shared" si="15"/>
        <v>289</v>
      </c>
      <c r="C294" s="1724"/>
      <c r="D294" s="1417" t="s">
        <v>1971</v>
      </c>
      <c r="E294" s="1603"/>
      <c r="F294" s="1604"/>
      <c r="G294" s="1604" t="s">
        <v>268</v>
      </c>
      <c r="H294" s="1605">
        <v>44961312</v>
      </c>
      <c r="I294" s="1603"/>
      <c r="J294" s="1606">
        <f>[257]!Статус</f>
        <v>0</v>
      </c>
      <c r="K294" s="1607" t="s">
        <v>2013</v>
      </c>
      <c r="L294" s="1608">
        <f>[257]!ТКП_Тематика</f>
        <v>0</v>
      </c>
      <c r="M294" s="1609"/>
      <c r="N294" s="12"/>
      <c r="O294" s="12"/>
      <c r="P294" s="1596">
        <f>[257]!Результат_число</f>
        <v>-1</v>
      </c>
      <c r="Q294" s="1603"/>
      <c r="R294" s="1603"/>
      <c r="S294" s="1603"/>
      <c r="T294" s="1609"/>
      <c r="U294" s="1609"/>
      <c r="V294" s="1609"/>
      <c r="W294" s="1609"/>
      <c r="X294" s="1609"/>
      <c r="Y294" s="1609"/>
      <c r="Z294" s="1609"/>
    </row>
    <row r="295" spans="2:26" ht="108" hidden="1" x14ac:dyDescent="0.25">
      <c r="B295" s="1335">
        <f t="shared" si="15"/>
        <v>290</v>
      </c>
      <c r="C295" s="1714"/>
      <c r="D295" s="1366" t="s">
        <v>1980</v>
      </c>
      <c r="E295" s="1361"/>
      <c r="F295" s="1363" t="s">
        <v>1990</v>
      </c>
      <c r="G295" s="1363" t="s">
        <v>1977</v>
      </c>
      <c r="H295" s="1390">
        <v>10000000</v>
      </c>
      <c r="I295" s="1369" t="s">
        <v>1981</v>
      </c>
      <c r="J295" s="1376" t="str">
        <f>[258]!Статус</f>
        <v>23.04.26_x000D_
ВКС с заказчиком от 22.04.26. ОМ: требуется обновить ТКП с учетом цифрового управления и опционально аналоговое управление</v>
      </c>
      <c r="K295" s="1364" t="s">
        <v>2012</v>
      </c>
      <c r="L295" s="1365" t="str">
        <f>[258]!ТКП_Тематика</f>
        <v>J</v>
      </c>
      <c r="M295" s="1362"/>
      <c r="N295" s="1"/>
      <c r="O295" s="1"/>
      <c r="P295" s="1367">
        <f>[258]!Результат_число</f>
        <v>0</v>
      </c>
      <c r="Q295" s="1361"/>
      <c r="R295" s="1361"/>
      <c r="S295" s="1361"/>
      <c r="T295" s="1362"/>
      <c r="U295" s="1362"/>
      <c r="V295" s="1362"/>
      <c r="W295" s="1362"/>
      <c r="X295" s="1362"/>
      <c r="Y295" s="1362"/>
      <c r="Z295" s="1362"/>
    </row>
    <row r="296" spans="2:26" ht="24" hidden="1" x14ac:dyDescent="0.25">
      <c r="B296" s="1335">
        <f t="shared" ref="B296" si="16">ROW()-ROW($B$5)</f>
        <v>291</v>
      </c>
      <c r="C296" s="174"/>
      <c r="D296" s="319" t="s">
        <v>676</v>
      </c>
      <c r="E296" s="1506" t="s">
        <v>2112</v>
      </c>
      <c r="F296" s="3" t="s">
        <v>677</v>
      </c>
      <c r="G296" s="604" t="s">
        <v>1449</v>
      </c>
      <c r="H296" s="1505">
        <v>300000000</v>
      </c>
      <c r="I296" s="1490" t="s">
        <v>1507</v>
      </c>
      <c r="J296" s="1498"/>
      <c r="K296" s="1489"/>
      <c r="L296" s="1491"/>
      <c r="M296" s="1476"/>
      <c r="N296" s="1"/>
      <c r="O296" s="1"/>
      <c r="P296" s="1477"/>
      <c r="Q296" s="1488"/>
      <c r="R296" s="1488"/>
      <c r="S296" s="1488"/>
      <c r="T296" s="1476"/>
      <c r="U296" s="1476"/>
      <c r="V296" s="1476"/>
      <c r="W296" s="1476"/>
      <c r="X296" s="1476"/>
      <c r="Y296" s="1476"/>
      <c r="Z296" s="1476"/>
    </row>
    <row r="297" spans="2:26" ht="48" hidden="1" x14ac:dyDescent="0.25">
      <c r="B297" s="1335">
        <f t="shared" si="15"/>
        <v>292</v>
      </c>
      <c r="C297" s="1714">
        <v>1</v>
      </c>
      <c r="D297" s="1366" t="s">
        <v>1976</v>
      </c>
      <c r="E297" s="1361"/>
      <c r="F297" s="1373" t="s">
        <v>1994</v>
      </c>
      <c r="G297" s="604" t="s">
        <v>1449</v>
      </c>
      <c r="H297" s="1390">
        <v>50000000</v>
      </c>
      <c r="I297" s="1369" t="s">
        <v>1995</v>
      </c>
      <c r="J297" s="1385" t="str">
        <f>[259]!Статус</f>
        <v>08.07.26_x000D_
- отправлено 30.06.26</v>
      </c>
      <c r="K297" s="1364" t="s">
        <v>2202</v>
      </c>
      <c r="L297" s="1365" t="str">
        <f>[259]!ТКП_Тематика</f>
        <v>FBIC</v>
      </c>
      <c r="M297" s="1362"/>
      <c r="N297" s="199"/>
      <c r="O297" s="199"/>
      <c r="P297" s="1298">
        <f>[259]!Результат_число</f>
        <v>0</v>
      </c>
      <c r="Q297" s="1361"/>
      <c r="R297" s="1361"/>
      <c r="S297" s="1361"/>
      <c r="T297" s="1362"/>
      <c r="U297" s="1362"/>
      <c r="V297" s="1362"/>
      <c r="W297" s="1362"/>
      <c r="X297" s="1362"/>
      <c r="Y297" s="1362"/>
      <c r="Z297" s="1362"/>
    </row>
    <row r="298" spans="2:26" ht="48" hidden="1" x14ac:dyDescent="0.25">
      <c r="B298" s="1335">
        <f t="shared" si="15"/>
        <v>293</v>
      </c>
      <c r="C298" s="1714"/>
      <c r="D298" s="1366" t="s">
        <v>1978</v>
      </c>
      <c r="E298" s="1368"/>
      <c r="F298" s="1368" t="s">
        <v>1979</v>
      </c>
      <c r="G298" s="1368" t="s">
        <v>78</v>
      </c>
      <c r="H298" s="1440">
        <v>25000000</v>
      </c>
      <c r="I298" s="1361" t="s">
        <v>826</v>
      </c>
      <c r="J298" s="1385" t="str">
        <f>[260]!Статус</f>
        <v>13.01.26_x000D_
РСС: отправлен опросник к ТЗ заказчику (09.12.25)/_x000D_
Заказчик корректирует ТЗ</v>
      </c>
      <c r="K298" s="1364"/>
      <c r="L298" s="1365" t="str">
        <f>[260]!ТКП_Тематика</f>
        <v>O</v>
      </c>
      <c r="M298" s="1362"/>
      <c r="N298" s="1"/>
      <c r="O298" s="1"/>
      <c r="P298" s="1298">
        <f>[260]!Результат_число</f>
        <v>0</v>
      </c>
      <c r="Q298" s="1362"/>
      <c r="R298" s="1362"/>
      <c r="S298" s="1362"/>
      <c r="T298" s="1362"/>
      <c r="U298" s="1362"/>
      <c r="V298" s="1362"/>
      <c r="W298" s="1362"/>
      <c r="X298" s="1362"/>
      <c r="Y298" s="1362"/>
      <c r="Z298" s="1362"/>
    </row>
    <row r="299" spans="2:26" ht="24" hidden="1" x14ac:dyDescent="0.25">
      <c r="B299" s="1370">
        <v>300</v>
      </c>
      <c r="C299" s="1714"/>
      <c r="D299" s="1371" t="s">
        <v>1987</v>
      </c>
      <c r="E299" s="1372"/>
      <c r="F299" s="1373" t="s">
        <v>1989</v>
      </c>
      <c r="G299" s="1372" t="s">
        <v>27</v>
      </c>
      <c r="H299" s="1374">
        <v>20000000</v>
      </c>
      <c r="I299" s="1370" t="s">
        <v>92</v>
      </c>
      <c r="J299" s="1386">
        <v>0</v>
      </c>
      <c r="K299" s="1373" t="s">
        <v>1988</v>
      </c>
      <c r="L299" s="1365" t="s">
        <v>1991</v>
      </c>
      <c r="M299" s="1372"/>
      <c r="N299" s="1298">
        <v>1</v>
      </c>
      <c r="O299" s="1372"/>
      <c r="P299" s="1375"/>
      <c r="Q299" s="1372"/>
      <c r="R299" s="1372"/>
      <c r="S299" s="1372"/>
      <c r="T299" s="1372"/>
      <c r="U299" s="1372"/>
      <c r="V299" s="1372"/>
      <c r="W299" s="1372"/>
      <c r="X299" s="1372"/>
      <c r="Y299" s="1372"/>
      <c r="Z299" s="1372"/>
    </row>
    <row r="300" spans="2:26" ht="300" hidden="1" x14ac:dyDescent="0.25">
      <c r="B300" s="1370">
        <v>295</v>
      </c>
      <c r="C300" s="174"/>
      <c r="D300" s="319" t="s">
        <v>2154</v>
      </c>
      <c r="E300" s="1372"/>
      <c r="F300" s="1373" t="s">
        <v>1998</v>
      </c>
      <c r="G300" s="1373" t="s">
        <v>1997</v>
      </c>
      <c r="H300" s="1441">
        <v>300000000</v>
      </c>
      <c r="I300" s="1384" t="s">
        <v>1318</v>
      </c>
      <c r="J300" s="1386" t="str">
        <f>[261]!Статус</f>
        <v>08.06.26_x000D_
Отправлено 03.06.26</v>
      </c>
      <c r="K300" s="1373" t="s">
        <v>2177</v>
      </c>
      <c r="L300" s="1365" t="str">
        <f>[261]!ТКП_Тематика</f>
        <v>BFN</v>
      </c>
      <c r="M300" s="1372"/>
      <c r="N300" s="1298">
        <v>1</v>
      </c>
      <c r="O300" s="1372"/>
      <c r="P300" s="1375">
        <f>[261]!Результат_число</f>
        <v>0</v>
      </c>
      <c r="Q300" s="1372"/>
      <c r="R300" s="1372"/>
      <c r="S300" s="1372"/>
      <c r="T300" s="1372"/>
      <c r="U300" s="1372"/>
      <c r="V300" s="1372"/>
      <c r="W300" s="1372"/>
      <c r="X300" s="1372"/>
      <c r="Y300" s="1372"/>
      <c r="Z300" s="1372"/>
    </row>
    <row r="301" spans="2:26" ht="84" hidden="1" x14ac:dyDescent="0.25">
      <c r="B301" s="1370">
        <v>295</v>
      </c>
      <c r="C301" s="1714"/>
      <c r="D301" s="1473" t="s">
        <v>2108</v>
      </c>
      <c r="E301" s="1372"/>
      <c r="F301" s="1373" t="s">
        <v>1999</v>
      </c>
      <c r="G301" s="3" t="s">
        <v>2139</v>
      </c>
      <c r="H301" s="1">
        <v>10603234</v>
      </c>
      <c r="I301" s="1384" t="s">
        <v>1296</v>
      </c>
      <c r="J301" s="1386" t="str">
        <f>[262]!Статус</f>
        <v>22.04.26_x000D_
21.04.26 - ушло заказчику</v>
      </c>
      <c r="K301" s="1373" t="s">
        <v>2140</v>
      </c>
      <c r="L301" s="1365" t="str">
        <f>[262]!ТКП_Тематика</f>
        <v>NFBI</v>
      </c>
      <c r="M301" s="1372"/>
      <c r="N301" s="1388">
        <v>1</v>
      </c>
      <c r="O301" s="1372"/>
      <c r="P301" s="1375">
        <f>[262]!Результат_число</f>
        <v>0</v>
      </c>
      <c r="Q301" s="1372"/>
      <c r="R301" s="1372"/>
      <c r="S301" s="1372"/>
      <c r="T301" s="1372"/>
      <c r="U301" s="1372"/>
      <c r="V301" s="1372"/>
      <c r="W301" s="1372"/>
      <c r="X301" s="1372"/>
      <c r="Y301" s="1372"/>
      <c r="Z301" s="1372"/>
    </row>
    <row r="302" spans="2:26" ht="60" hidden="1" x14ac:dyDescent="0.25">
      <c r="B302" s="1370">
        <v>295</v>
      </c>
      <c r="C302" s="174"/>
      <c r="D302" s="319" t="s">
        <v>2004</v>
      </c>
      <c r="E302" s="1403"/>
      <c r="F302" s="1404" t="s">
        <v>2006</v>
      </c>
      <c r="G302" s="1404" t="s">
        <v>2005</v>
      </c>
      <c r="H302" s="1405">
        <v>200000000</v>
      </c>
      <c r="I302" s="1406" t="s">
        <v>2007</v>
      </c>
      <c r="J302" s="1413" t="str">
        <f>[263]!Статус</f>
        <v>23.03.26_x000D_
- составлен список вопросов и созвон с заказчиком. Направлен был запрос нам для примера, фактически сейчас не актуально.</v>
      </c>
      <c r="K302" s="1404"/>
      <c r="L302" s="1407" t="str">
        <f>[263]!ТКП_Тематика</f>
        <v>FBRJ</v>
      </c>
      <c r="M302" s="1403"/>
      <c r="N302" s="1410"/>
      <c r="O302" s="98"/>
      <c r="P302" s="1411">
        <f>[263]!Результат_число</f>
        <v>-1</v>
      </c>
      <c r="Q302" s="1403"/>
      <c r="R302" s="1403"/>
      <c r="S302" s="1403"/>
      <c r="T302" s="1403"/>
      <c r="U302" s="1403"/>
      <c r="V302" s="1403"/>
      <c r="W302" s="1403"/>
      <c r="X302" s="1403"/>
      <c r="Y302" s="1403"/>
      <c r="Z302" s="1403"/>
    </row>
    <row r="303" spans="2:26" ht="132" hidden="1" x14ac:dyDescent="0.25">
      <c r="B303" s="1370">
        <v>298</v>
      </c>
      <c r="C303" s="1714">
        <v>1</v>
      </c>
      <c r="D303" s="1507" t="s">
        <v>2017</v>
      </c>
      <c r="E303" s="1372"/>
      <c r="F303" s="1373" t="s">
        <v>2082</v>
      </c>
      <c r="G303" s="1372" t="s">
        <v>8</v>
      </c>
      <c r="H303" s="1441">
        <v>12437795</v>
      </c>
      <c r="I303" s="1384" t="s">
        <v>1296</v>
      </c>
      <c r="J303" s="1389" t="str">
        <f>[264]!Статус</f>
        <v>10.08.26_x000D_
Отправлен 11/06/26</v>
      </c>
      <c r="K303" s="1373" t="s">
        <v>2113</v>
      </c>
      <c r="L303" s="1365" t="str">
        <f>[265]!ТКП_Тематика</f>
        <v>S</v>
      </c>
      <c r="M303" s="1372"/>
      <c r="N303" s="1298">
        <v>1</v>
      </c>
      <c r="O303" s="1372"/>
      <c r="P303" s="1375">
        <f>[265]!Результат_число</f>
        <v>0</v>
      </c>
      <c r="Q303" s="1372"/>
      <c r="R303" s="1416"/>
      <c r="S303" s="1416"/>
      <c r="T303" s="1416"/>
      <c r="U303" s="1416"/>
      <c r="V303" s="1416"/>
      <c r="W303" s="1416"/>
      <c r="X303" s="1416"/>
      <c r="Y303" s="1416"/>
      <c r="Z303" s="1416"/>
    </row>
    <row r="304" spans="2:26" ht="168" hidden="1" x14ac:dyDescent="0.25">
      <c r="B304" s="1370">
        <f t="shared" ref="B304:B320" si="17">ROW()-ROW($B$5)</f>
        <v>299</v>
      </c>
      <c r="C304" s="174"/>
      <c r="D304" s="489" t="s">
        <v>1992</v>
      </c>
      <c r="E304" s="1372"/>
      <c r="F304" s="1373" t="s">
        <v>2000</v>
      </c>
      <c r="G304" s="1372" t="s">
        <v>1890</v>
      </c>
      <c r="H304" s="1441">
        <v>61524923</v>
      </c>
      <c r="I304" s="1384" t="s">
        <v>1996</v>
      </c>
      <c r="J304" s="1389" t="str">
        <f>[266]!Статус</f>
        <v>08.06.26_x000D_
Отправлено 05.06.26</v>
      </c>
      <c r="K304" s="1373" t="s">
        <v>2151</v>
      </c>
      <c r="L304" s="1365" t="str">
        <f>[266]!ТКП_Тематика</f>
        <v>MFBS</v>
      </c>
      <c r="M304" s="1372"/>
      <c r="N304" s="1"/>
      <c r="O304" s="1"/>
      <c r="P304" s="1298">
        <f>[266]!Результат_число</f>
        <v>0</v>
      </c>
      <c r="Q304" s="1372"/>
      <c r="R304" s="1372"/>
      <c r="S304" s="1372"/>
      <c r="T304" s="1372"/>
      <c r="U304" s="1372"/>
      <c r="V304" s="1372"/>
      <c r="W304" s="1372"/>
      <c r="X304" s="1372"/>
      <c r="Y304" s="1372"/>
      <c r="Z304" s="1372"/>
    </row>
    <row r="305" spans="2:26" ht="48" hidden="1" x14ac:dyDescent="0.25">
      <c r="B305" s="1396">
        <f t="shared" si="17"/>
        <v>300</v>
      </c>
      <c r="C305" s="1714"/>
      <c r="D305" s="1408" t="s">
        <v>334</v>
      </c>
      <c r="E305" s="1397"/>
      <c r="F305" s="1398"/>
      <c r="G305" s="1398" t="s">
        <v>2003</v>
      </c>
      <c r="H305" s="1399" t="s">
        <v>49</v>
      </c>
      <c r="I305" s="1400"/>
      <c r="J305" s="1414">
        <f>[267]!Статус</f>
        <v>0</v>
      </c>
      <c r="K305" s="1398" t="s">
        <v>2010</v>
      </c>
      <c r="L305" s="1401" t="str">
        <f>[267]!ТКП_Тематика</f>
        <v>ДФМ</v>
      </c>
      <c r="M305" s="1397"/>
      <c r="N305" s="1"/>
      <c r="O305" s="1"/>
      <c r="P305" s="1396">
        <f>[267]!Результат_число</f>
        <v>0</v>
      </c>
      <c r="Q305" s="1397"/>
      <c r="R305" s="1397"/>
      <c r="S305" s="1397"/>
      <c r="T305" s="1397"/>
      <c r="U305" s="1397"/>
      <c r="V305" s="1397"/>
      <c r="W305" s="1397"/>
      <c r="X305" s="1397"/>
      <c r="Y305" s="1397"/>
      <c r="Z305" s="1397"/>
    </row>
    <row r="306" spans="2:26" ht="48" hidden="1" x14ac:dyDescent="0.25">
      <c r="B306" s="1402">
        <f t="shared" si="17"/>
        <v>301</v>
      </c>
      <c r="C306" s="1714"/>
      <c r="D306" s="1409" t="s">
        <v>1482</v>
      </c>
      <c r="E306" s="1403"/>
      <c r="F306" s="1404"/>
      <c r="G306" s="1404" t="s">
        <v>2003</v>
      </c>
      <c r="H306" s="1405" t="s">
        <v>49</v>
      </c>
      <c r="I306" s="1406"/>
      <c r="J306" s="1415" t="str">
        <f>[268]!Статус</f>
        <v>08.07.24</v>
      </c>
      <c r="K306" s="1404" t="s">
        <v>2011</v>
      </c>
      <c r="L306" s="1407" t="str">
        <f>[268]!ТКП_Тематика</f>
        <v>O</v>
      </c>
      <c r="M306" s="1403"/>
      <c r="N306" s="1"/>
      <c r="O306" s="1"/>
      <c r="P306" s="1402">
        <f>[268]!Результат_число</f>
        <v>0</v>
      </c>
      <c r="Q306" s="1403"/>
      <c r="R306" s="1403"/>
      <c r="S306" s="1403"/>
      <c r="T306" s="1403"/>
      <c r="U306" s="1403"/>
      <c r="V306" s="1403"/>
      <c r="W306" s="1403"/>
      <c r="X306" s="1403"/>
      <c r="Y306" s="1403"/>
      <c r="Z306" s="1403"/>
    </row>
    <row r="307" spans="2:26" ht="96" hidden="1" x14ac:dyDescent="0.25">
      <c r="B307" s="1402">
        <f t="shared" si="17"/>
        <v>302</v>
      </c>
      <c r="C307" s="1714"/>
      <c r="D307" s="1418" t="s">
        <v>2014</v>
      </c>
      <c r="E307" s="1403"/>
      <c r="F307" s="1403"/>
      <c r="G307" s="1403" t="s">
        <v>2015</v>
      </c>
      <c r="H307" s="1402">
        <v>287048106</v>
      </c>
      <c r="I307" s="1403"/>
      <c r="J307" s="1474" t="str">
        <f>[269]!Статус</f>
        <v>13.01.26_x000D_
Конкурс после 15.01.26. Предполагается отказ с аргументацией, чтобы несостоялся конкурс и было изменено ТЗ.</v>
      </c>
      <c r="K307" s="1404" t="s">
        <v>2061</v>
      </c>
      <c r="L307" s="1403">
        <f>[269]!ТКП_Тематика</f>
        <v>0</v>
      </c>
      <c r="M307" s="1403"/>
      <c r="N307" s="1403"/>
      <c r="O307" s="1403"/>
      <c r="P307" s="1444">
        <f>[269]!Результат_число</f>
        <v>0</v>
      </c>
      <c r="Q307" s="1403"/>
      <c r="R307" s="1403"/>
      <c r="S307" s="1403"/>
      <c r="T307" s="1403"/>
      <c r="U307" s="1403"/>
      <c r="V307" s="1403"/>
      <c r="W307" s="1403"/>
      <c r="X307" s="1403"/>
      <c r="Y307" s="1403"/>
      <c r="Z307" s="1403"/>
    </row>
    <row r="308" spans="2:26" ht="108" hidden="1" x14ac:dyDescent="0.25">
      <c r="B308" s="1402">
        <f t="shared" si="17"/>
        <v>303</v>
      </c>
      <c r="C308" s="1714"/>
      <c r="D308" s="1419" t="s">
        <v>2016</v>
      </c>
      <c r="E308" s="1403"/>
      <c r="F308" s="1403"/>
      <c r="G308" s="1403" t="s">
        <v>2015</v>
      </c>
      <c r="H308" s="1402">
        <v>49356004</v>
      </c>
      <c r="I308" s="1403"/>
      <c r="J308" s="1475" t="str">
        <f>[270]!Статус</f>
        <v>13.01.26_x000D_
Конкурс после 15.01.26. Предполагается отказ с аргументацией, чтобы несостоялся конкурс и было изменено ТЗ.</v>
      </c>
      <c r="K308" s="1404" t="s">
        <v>2062</v>
      </c>
      <c r="L308" s="1403">
        <f>[270]!ТКП_Тематика</f>
        <v>0</v>
      </c>
      <c r="M308" s="1403"/>
      <c r="N308" s="1403"/>
      <c r="O308" s="1403"/>
      <c r="P308" s="1444">
        <f>[270]!Результат_число</f>
        <v>0</v>
      </c>
      <c r="Q308" s="1403"/>
      <c r="R308" s="1403"/>
      <c r="S308" s="1403"/>
      <c r="T308" s="1403"/>
      <c r="U308" s="1403"/>
      <c r="V308" s="1403"/>
      <c r="W308" s="1403"/>
      <c r="X308" s="1403"/>
      <c r="Y308" s="1403"/>
      <c r="Z308" s="1403"/>
    </row>
    <row r="309" spans="2:26" ht="36" hidden="1" x14ac:dyDescent="0.25">
      <c r="B309" s="1420">
        <f t="shared" si="17"/>
        <v>304</v>
      </c>
      <c r="C309" s="1714"/>
      <c r="D309" s="1445" t="s">
        <v>2018</v>
      </c>
      <c r="E309" s="1421"/>
      <c r="F309" s="1422"/>
      <c r="G309" s="1422" t="s">
        <v>60</v>
      </c>
      <c r="H309" s="1442" t="s">
        <v>49</v>
      </c>
      <c r="I309" s="1423" t="s">
        <v>92</v>
      </c>
      <c r="J309" s="1432" t="str">
        <f>[271]!Статус</f>
        <v>06.02.26_x000D_
Отказ хотят штучное оборудование Gtlab</v>
      </c>
      <c r="K309" s="1422" t="s">
        <v>2019</v>
      </c>
      <c r="L309" s="1424">
        <f>[271]!ТКП_Тематика</f>
        <v>0</v>
      </c>
      <c r="M309" s="1421"/>
      <c r="N309" s="1"/>
      <c r="O309" s="1"/>
      <c r="P309" s="1420">
        <f>[271]!Результат_число</f>
        <v>-1</v>
      </c>
      <c r="Q309" s="1421"/>
      <c r="R309" s="1421"/>
      <c r="S309" s="1421"/>
      <c r="T309" s="1421"/>
      <c r="U309" s="1421"/>
      <c r="V309" s="1421"/>
      <c r="W309" s="1421"/>
      <c r="X309" s="1421"/>
      <c r="Y309" s="1421"/>
      <c r="Z309" s="1421"/>
    </row>
    <row r="310" spans="2:26" ht="84" hidden="1" x14ac:dyDescent="0.25">
      <c r="B310" s="1425">
        <f t="shared" si="17"/>
        <v>305</v>
      </c>
      <c r="C310" s="1714"/>
      <c r="D310" s="1446" t="s">
        <v>2087</v>
      </c>
      <c r="E310" s="1426"/>
      <c r="F310" s="1427" t="s">
        <v>2038</v>
      </c>
      <c r="G310" s="42" t="s">
        <v>47</v>
      </c>
      <c r="H310" s="1443">
        <v>616106783</v>
      </c>
      <c r="I310" s="1429" t="s">
        <v>423</v>
      </c>
      <c r="J310" s="1433" t="str">
        <f>[272]!Статус</f>
        <v>18.02.26_x000D_
Отправлено</v>
      </c>
      <c r="K310" s="1427" t="s">
        <v>2141</v>
      </c>
      <c r="L310" s="1430" t="str">
        <f>[272]!ТКП_Тематика</f>
        <v>BFIR</v>
      </c>
      <c r="M310" s="1426"/>
      <c r="N310" s="1"/>
      <c r="O310" s="1"/>
      <c r="P310" s="1425">
        <f>[272]!Результат_число</f>
        <v>0</v>
      </c>
      <c r="Q310" s="1426"/>
      <c r="R310" s="1426"/>
      <c r="S310" s="1426"/>
      <c r="T310" s="1426"/>
      <c r="U310" s="1426"/>
      <c r="V310" s="1426"/>
      <c r="W310" s="1426"/>
      <c r="X310" s="1426"/>
      <c r="Y310" s="1426"/>
      <c r="Z310" s="1426"/>
    </row>
    <row r="311" spans="2:26" ht="72" hidden="1" x14ac:dyDescent="0.25">
      <c r="B311" s="1420">
        <f t="shared" si="17"/>
        <v>306</v>
      </c>
      <c r="C311" s="1714"/>
      <c r="D311" s="1450" t="s">
        <v>2020</v>
      </c>
      <c r="E311" s="1421"/>
      <c r="F311" s="1422" t="s">
        <v>1405</v>
      </c>
      <c r="G311" s="1422" t="s">
        <v>2021</v>
      </c>
      <c r="H311" s="1442">
        <v>30596619</v>
      </c>
      <c r="I311" s="1423" t="s">
        <v>2042</v>
      </c>
      <c r="J311" s="1449" t="str">
        <f>[273]!Статус</f>
        <v>17.02.26_x000D_
ОП: требуется оформление ТКП и отпрвка заказчику</v>
      </c>
      <c r="K311" s="1422" t="s">
        <v>2047</v>
      </c>
      <c r="L311" s="1424" t="str">
        <f>[273]!ТКП_Тематика</f>
        <v>S</v>
      </c>
      <c r="M311" s="1421"/>
      <c r="N311" s="1"/>
      <c r="O311" s="1"/>
      <c r="P311" s="1444">
        <f>[273]!Результат_число</f>
        <v>0</v>
      </c>
      <c r="Q311" s="1421"/>
      <c r="R311" s="1421"/>
      <c r="S311" s="1421"/>
      <c r="T311" s="1421"/>
      <c r="U311" s="1421"/>
      <c r="V311" s="1421"/>
      <c r="W311" s="1421"/>
      <c r="X311" s="1421"/>
      <c r="Y311" s="1421"/>
      <c r="Z311" s="1421"/>
    </row>
    <row r="312" spans="2:26" ht="48" hidden="1" x14ac:dyDescent="0.25">
      <c r="B312" s="1420">
        <f t="shared" si="17"/>
        <v>307</v>
      </c>
      <c r="C312" s="1714"/>
      <c r="D312" s="1450" t="s">
        <v>2039</v>
      </c>
      <c r="E312" s="1426"/>
      <c r="F312" s="1427" t="s">
        <v>2040</v>
      </c>
      <c r="G312" s="1427" t="s">
        <v>2041</v>
      </c>
      <c r="H312" s="1443">
        <v>4949558</v>
      </c>
      <c r="I312" s="1429" t="s">
        <v>65</v>
      </c>
      <c r="J312" s="1436" t="str">
        <f>[274]!Статус</f>
        <v>17.02.26_x000D_
РСС: Проработано 13.02.26_x000D_
ОП: требуется согласование/ отправка ТКП</v>
      </c>
      <c r="K312" s="1427" t="s">
        <v>2049</v>
      </c>
      <c r="L312" s="1430" t="str">
        <f>[274]!ТКП_Тематика</f>
        <v>L</v>
      </c>
      <c r="M312" s="1426"/>
      <c r="N312" s="1"/>
      <c r="O312" s="1"/>
      <c r="P312" s="1447">
        <f>[274]!Результат_число</f>
        <v>0</v>
      </c>
      <c r="Q312" s="1426"/>
      <c r="R312" s="1426"/>
      <c r="S312" s="1426"/>
      <c r="T312" s="1426"/>
      <c r="U312" s="1426"/>
      <c r="V312" s="1426"/>
      <c r="W312" s="1426"/>
      <c r="X312" s="1426"/>
      <c r="Y312" s="1426"/>
      <c r="Z312" s="1426"/>
    </row>
    <row r="313" spans="2:26" ht="72" hidden="1" x14ac:dyDescent="0.25">
      <c r="B313" s="1420">
        <f t="shared" si="17"/>
        <v>308</v>
      </c>
      <c r="C313" s="1714">
        <v>0</v>
      </c>
      <c r="D313" s="1446" t="s">
        <v>2032</v>
      </c>
      <c r="E313" s="1426"/>
      <c r="F313" s="1427" t="s">
        <v>2037</v>
      </c>
      <c r="G313" s="1427" t="s">
        <v>2035</v>
      </c>
      <c r="H313" s="1443">
        <v>10000000</v>
      </c>
      <c r="I313" s="1429" t="s">
        <v>2036</v>
      </c>
      <c r="J313" s="1436" t="str">
        <f>[275]!Статус</f>
        <v>10.08.26_x000D_
Отправлен заказчику 21.07.26</v>
      </c>
      <c r="K313" s="1427" t="s">
        <v>2117</v>
      </c>
      <c r="L313" s="1430">
        <f>[275]!ТКП_Тематика</f>
        <v>0</v>
      </c>
      <c r="M313" s="1426"/>
      <c r="N313" s="1"/>
      <c r="O313" s="1"/>
      <c r="P313" s="1447">
        <f>[275]!Результат_число</f>
        <v>0</v>
      </c>
      <c r="Q313" s="1426"/>
      <c r="R313" s="1426"/>
      <c r="S313" s="1426"/>
      <c r="T313" s="1426"/>
      <c r="U313" s="1426"/>
      <c r="V313" s="1426"/>
      <c r="W313" s="1426"/>
      <c r="X313" s="1426"/>
      <c r="Y313" s="1426"/>
      <c r="Z313" s="1426"/>
    </row>
    <row r="314" spans="2:26" ht="60" hidden="1" x14ac:dyDescent="0.25">
      <c r="B314" s="1420">
        <f t="shared" si="17"/>
        <v>309</v>
      </c>
      <c r="C314" s="174">
        <v>0</v>
      </c>
      <c r="D314" s="489" t="s">
        <v>2033</v>
      </c>
      <c r="E314" s="1426"/>
      <c r="F314" s="1427" t="s">
        <v>2084</v>
      </c>
      <c r="G314" s="1427" t="s">
        <v>2035</v>
      </c>
      <c r="H314" s="1443">
        <v>3000000</v>
      </c>
      <c r="I314" s="1429" t="s">
        <v>2044</v>
      </c>
      <c r="J314" s="1436" t="str">
        <f>[276]!Статус</f>
        <v>10.08.26_x000D_
не добрались. Маленький специфичный заказ</v>
      </c>
      <c r="K314" s="1427" t="s">
        <v>2115</v>
      </c>
      <c r="L314" s="1430">
        <f>[276]!ТКП_Тематика</f>
        <v>0</v>
      </c>
      <c r="M314" s="1426"/>
      <c r="N314" s="1"/>
      <c r="O314" s="1"/>
      <c r="P314" s="1447">
        <f>[276]!Результат_число</f>
        <v>-1</v>
      </c>
      <c r="Q314" s="1426"/>
      <c r="R314" s="1426"/>
      <c r="S314" s="1426"/>
      <c r="T314" s="1426"/>
      <c r="U314" s="1426"/>
      <c r="V314" s="1426"/>
      <c r="W314" s="1426"/>
      <c r="X314" s="1426"/>
      <c r="Y314" s="1426"/>
      <c r="Z314" s="1426"/>
    </row>
    <row r="315" spans="2:26" ht="48" hidden="1" x14ac:dyDescent="0.25">
      <c r="B315" s="1420">
        <f t="shared" si="17"/>
        <v>310</v>
      </c>
      <c r="C315" s="1714" t="e">
        <f>[277]!c_Control</f>
        <v>#NAME?</v>
      </c>
      <c r="D315" s="1435" t="s">
        <v>2034</v>
      </c>
      <c r="E315" s="1426"/>
      <c r="F315" s="1427" t="s">
        <v>2083</v>
      </c>
      <c r="G315" s="1427" t="s">
        <v>2035</v>
      </c>
      <c r="H315" s="1443">
        <v>5000000</v>
      </c>
      <c r="I315" s="1429" t="s">
        <v>2044</v>
      </c>
      <c r="J315" s="1697" t="str">
        <f>[277]!Статус</f>
        <v>10.08.26_x000D_
не добрались. Маленький специфичный заказ</v>
      </c>
      <c r="K315" s="1427" t="s">
        <v>2116</v>
      </c>
      <c r="L315" s="1430">
        <f>[277]!ТКП_Тематика</f>
        <v>0</v>
      </c>
      <c r="M315" s="1426"/>
      <c r="N315" s="1"/>
      <c r="O315" s="1"/>
      <c r="P315" s="1447">
        <f>[277]!Результат_число</f>
        <v>-1</v>
      </c>
      <c r="Q315" s="1426"/>
      <c r="R315" s="1426"/>
      <c r="S315" s="1426"/>
      <c r="T315" s="1426"/>
      <c r="U315" s="1426"/>
      <c r="V315" s="1426"/>
      <c r="W315" s="1426"/>
      <c r="X315" s="1426"/>
      <c r="Y315" s="1426"/>
      <c r="Z315" s="1426"/>
    </row>
    <row r="316" spans="2:26" ht="48" x14ac:dyDescent="0.25">
      <c r="B316" s="1420">
        <v>309</v>
      </c>
      <c r="C316" s="1714">
        <v>1</v>
      </c>
      <c r="D316" s="1446" t="s">
        <v>2085</v>
      </c>
      <c r="E316" s="1426"/>
      <c r="F316" s="1427" t="s">
        <v>2086</v>
      </c>
      <c r="G316" s="1427" t="s">
        <v>2035</v>
      </c>
      <c r="H316" s="1443">
        <v>200000000</v>
      </c>
      <c r="I316" s="1429" t="s">
        <v>2044</v>
      </c>
      <c r="J316" s="1478" t="str">
        <f>[278]!Статус</f>
        <v>10.08.26_x000D_
Отправлено. Требуется созвон/организация встречи</v>
      </c>
      <c r="K316" s="1427" t="s">
        <v>2119</v>
      </c>
      <c r="L316" s="1430">
        <f>[278]!ТКП_Тематика</f>
        <v>0</v>
      </c>
      <c r="M316" s="1426"/>
      <c r="N316" s="1447">
        <v>1</v>
      </c>
      <c r="O316" s="1"/>
      <c r="P316" s="1477">
        <f>[278]!Результат_число</f>
        <v>1</v>
      </c>
      <c r="Q316" s="1476"/>
      <c r="R316" s="1476"/>
      <c r="S316" s="1476"/>
      <c r="T316" s="1476"/>
      <c r="U316" s="1476"/>
      <c r="V316" s="1476"/>
      <c r="W316" s="1476"/>
      <c r="X316" s="1476"/>
      <c r="Y316" s="1476"/>
      <c r="Z316" s="1476"/>
    </row>
    <row r="317" spans="2:26" ht="48" x14ac:dyDescent="0.25">
      <c r="B317" s="1420">
        <f t="shared" si="17"/>
        <v>312</v>
      </c>
      <c r="C317" s="1714">
        <v>0</v>
      </c>
      <c r="D317" s="1435" t="s">
        <v>2029</v>
      </c>
      <c r="E317" s="1426"/>
      <c r="F317" s="1427" t="s">
        <v>2031</v>
      </c>
      <c r="G317" s="1427" t="s">
        <v>2030</v>
      </c>
      <c r="H317" s="1443">
        <v>150000000</v>
      </c>
      <c r="I317" s="1429" t="s">
        <v>1507</v>
      </c>
      <c r="J317" s="1436" t="str">
        <f>[279]!Статус</f>
        <v>08.06.26_x000D_
Судьба проекта будет прояснена осенью. Вопросы отправлены, заказчик в раздумьях делать или нет</v>
      </c>
      <c r="K317" s="1427"/>
      <c r="L317" s="1430" t="str">
        <f>[279]!ТКП_Тематика</f>
        <v>BJR</v>
      </c>
      <c r="M317" s="1426"/>
      <c r="N317" s="1"/>
      <c r="O317" s="1"/>
      <c r="P317" s="1447">
        <f>[279]!Результат_число</f>
        <v>1</v>
      </c>
      <c r="Q317" s="1426"/>
      <c r="R317" s="1426"/>
      <c r="S317" s="1426"/>
      <c r="T317" s="1426"/>
      <c r="U317" s="1426"/>
      <c r="V317" s="1426"/>
      <c r="W317" s="1426"/>
      <c r="X317" s="1426"/>
      <c r="Y317" s="1426"/>
      <c r="Z317" s="1426"/>
    </row>
    <row r="318" spans="2:26" ht="132" hidden="1" x14ac:dyDescent="0.25">
      <c r="B318" s="1420">
        <f t="shared" si="17"/>
        <v>313</v>
      </c>
      <c r="C318" s="1714">
        <v>0</v>
      </c>
      <c r="D318" s="1446" t="s">
        <v>2186</v>
      </c>
      <c r="E318" s="1426"/>
      <c r="F318" s="1427" t="s">
        <v>2027</v>
      </c>
      <c r="G318" s="1427" t="s">
        <v>205</v>
      </c>
      <c r="H318" s="1443">
        <v>53250858</v>
      </c>
      <c r="I318" s="1429" t="s">
        <v>92</v>
      </c>
      <c r="J318" s="1433" t="str">
        <f>[280]!Статус</f>
        <v>10.08.26_x000D_
Требуется отправка с  нашими формулировками</v>
      </c>
      <c r="K318" s="1427" t="s">
        <v>2189</v>
      </c>
      <c r="L318" s="1430" t="str">
        <f>[280]!ТКП_Тематика</f>
        <v>I</v>
      </c>
      <c r="M318" s="1426"/>
      <c r="N318" s="1"/>
      <c r="O318" s="1"/>
      <c r="P318" s="1447">
        <f>[281]!Результат_число</f>
        <v>-1</v>
      </c>
      <c r="Q318" s="1426"/>
      <c r="R318" s="1426"/>
      <c r="S318" s="1426"/>
      <c r="T318" s="1426"/>
      <c r="U318" s="1426"/>
      <c r="V318" s="1426"/>
      <c r="W318" s="1426"/>
      <c r="X318" s="1426"/>
      <c r="Y318" s="1426"/>
      <c r="Z318" s="1426"/>
    </row>
    <row r="319" spans="2:26" ht="24" hidden="1" x14ac:dyDescent="0.25">
      <c r="B319" s="1420">
        <f t="shared" si="17"/>
        <v>314</v>
      </c>
      <c r="C319" s="1714"/>
      <c r="D319" s="1431"/>
      <c r="E319" s="1426"/>
      <c r="F319" s="1427" t="s">
        <v>2023</v>
      </c>
      <c r="G319" s="1427" t="s">
        <v>2024</v>
      </c>
      <c r="H319" s="1428"/>
      <c r="I319" s="1429" t="s">
        <v>2028</v>
      </c>
      <c r="J319" s="1434" t="s">
        <v>2025</v>
      </c>
      <c r="K319" s="1427"/>
      <c r="L319" s="1430"/>
      <c r="M319" s="1426"/>
      <c r="N319" s="1"/>
      <c r="O319" s="1"/>
      <c r="P319" s="1425"/>
      <c r="Q319" s="1426"/>
      <c r="R319" s="1426"/>
      <c r="S319" s="1426"/>
      <c r="T319" s="1426"/>
      <c r="U319" s="1426"/>
      <c r="V319" s="1426"/>
      <c r="W319" s="1426"/>
      <c r="X319" s="1426"/>
      <c r="Y319" s="1426"/>
      <c r="Z319" s="1426"/>
    </row>
    <row r="320" spans="2:26" ht="132" hidden="1" x14ac:dyDescent="0.25">
      <c r="B320" s="1420">
        <f t="shared" si="17"/>
        <v>315</v>
      </c>
      <c r="C320" s="1714">
        <v>1</v>
      </c>
      <c r="D320" s="1446" t="s">
        <v>2017</v>
      </c>
      <c r="E320" s="1426"/>
      <c r="F320" s="1427" t="s">
        <v>2026</v>
      </c>
      <c r="G320" s="1427" t="s">
        <v>8</v>
      </c>
      <c r="H320" s="1443">
        <v>12437795</v>
      </c>
      <c r="I320" s="1429" t="s">
        <v>1296</v>
      </c>
      <c r="J320" s="1433" t="str">
        <f>[265]!Статус</f>
        <v>10.08.26_x000D_
Отправлен 11/06/26</v>
      </c>
      <c r="K320" s="1427" t="s">
        <v>2113</v>
      </c>
      <c r="L320" s="1430" t="str">
        <f>[265]!ТКП_Тематика</f>
        <v>S</v>
      </c>
      <c r="M320" s="1426"/>
      <c r="N320" s="1"/>
      <c r="O320" s="1"/>
      <c r="P320" s="1447">
        <f>[264]!Результат_число</f>
        <v>0</v>
      </c>
      <c r="Q320" s="1426"/>
      <c r="R320" s="1426"/>
      <c r="S320" s="1426"/>
      <c r="T320" s="1426"/>
      <c r="U320" s="1426"/>
      <c r="V320" s="1426"/>
      <c r="W320" s="1426"/>
      <c r="X320" s="1426"/>
      <c r="Y320" s="1426"/>
      <c r="Z320" s="1426"/>
    </row>
    <row r="321" spans="2:26" ht="84" hidden="1" x14ac:dyDescent="0.25">
      <c r="B321" s="1492">
        <f>ROW()-ROW($B$5)</f>
        <v>316</v>
      </c>
      <c r="C321" s="174"/>
      <c r="D321" s="489" t="s">
        <v>2048</v>
      </c>
      <c r="E321" s="1493"/>
      <c r="F321" s="1494" t="s">
        <v>59</v>
      </c>
      <c r="G321" s="655" t="s">
        <v>4</v>
      </c>
      <c r="H321" s="1502">
        <v>22109876</v>
      </c>
      <c r="I321" s="1429" t="s">
        <v>2095</v>
      </c>
      <c r="J321" s="1497" t="str">
        <f>[282]!Статус</f>
        <v>06.04.26
Коррекция ТЗ от РСС и новая специя/ сравнение состава в ТЗ и специи - до 03.04.26
Схема готова, ТКП направлено в УМП для расчётов
09.04.2026</v>
      </c>
      <c r="K321" s="1494" t="s">
        <v>2066</v>
      </c>
      <c r="L321" s="1495" t="str">
        <f>[282]!ТКП_Тематика</f>
        <v>N</v>
      </c>
      <c r="M321" s="1493"/>
      <c r="N321" s="1"/>
      <c r="O321" s="1"/>
      <c r="P321" s="1496">
        <f>[282]!Результат_число</f>
        <v>0</v>
      </c>
      <c r="Q321" s="1493"/>
      <c r="R321" s="1493"/>
      <c r="S321" s="1493"/>
      <c r="T321" s="1493"/>
      <c r="U321" s="1493"/>
      <c r="V321" s="1493"/>
      <c r="W321" s="1493"/>
      <c r="X321" s="1493"/>
      <c r="Y321" s="1493"/>
      <c r="Z321" s="1493"/>
    </row>
    <row r="322" spans="2:26" ht="72" hidden="1" x14ac:dyDescent="0.25">
      <c r="B322" s="1420">
        <f t="shared" ref="B322:B323" si="18">ROW()-ROW($B$5)</f>
        <v>317</v>
      </c>
      <c r="C322" s="1714"/>
      <c r="D322" s="1473" t="s">
        <v>2046</v>
      </c>
      <c r="E322" s="1452"/>
      <c r="F322" s="1479" t="s">
        <v>2050</v>
      </c>
      <c r="G322" s="42" t="s">
        <v>47</v>
      </c>
      <c r="H322" s="1480">
        <v>300000000</v>
      </c>
      <c r="I322" s="1455" t="s">
        <v>423</v>
      </c>
      <c r="J322" s="1486" t="str">
        <f>[283]!Статус</f>
        <v>05.02.26_x000D_
888</v>
      </c>
      <c r="K322" s="1453" t="s">
        <v>2096</v>
      </c>
      <c r="L322" s="1456">
        <f>[283]!ТКП_Тематика</f>
        <v>0</v>
      </c>
      <c r="M322" s="1452"/>
      <c r="N322" s="1"/>
      <c r="O322" s="1"/>
      <c r="P322" s="1457">
        <f>[283]!Результат_число</f>
        <v>-1</v>
      </c>
      <c r="Q322" s="1452"/>
      <c r="R322" s="1452"/>
      <c r="S322" s="1452"/>
      <c r="T322" s="1452"/>
      <c r="U322" s="1452"/>
      <c r="V322" s="1452"/>
      <c r="W322" s="1452"/>
      <c r="X322" s="1452"/>
      <c r="Y322" s="1452"/>
      <c r="Z322" s="1452"/>
    </row>
    <row r="323" spans="2:26" ht="48" hidden="1" x14ac:dyDescent="0.25">
      <c r="B323" s="1420">
        <f t="shared" si="18"/>
        <v>318</v>
      </c>
      <c r="C323" s="1714"/>
      <c r="D323" s="1473" t="s">
        <v>2057</v>
      </c>
      <c r="E323" s="1452"/>
      <c r="F323" s="1453" t="s">
        <v>2059</v>
      </c>
      <c r="G323" s="1453" t="s">
        <v>2058</v>
      </c>
      <c r="H323" s="1454">
        <v>17807143</v>
      </c>
      <c r="I323" s="1455" t="s">
        <v>54</v>
      </c>
      <c r="J323" s="1486" t="str">
        <f>[284]!Статус</f>
        <v>23.03.26_x000D_
отправлено</v>
      </c>
      <c r="K323" s="1453" t="s">
        <v>2080</v>
      </c>
      <c r="L323" s="1456" t="str">
        <f>[284]!ТКП_Тематика</f>
        <v>DFI</v>
      </c>
      <c r="M323" s="1452"/>
      <c r="N323" s="1457">
        <v>1</v>
      </c>
      <c r="O323" s="1452"/>
      <c r="P323" s="1457">
        <f>[284]!Результат_число</f>
        <v>0</v>
      </c>
      <c r="Q323" s="1452"/>
      <c r="R323" s="1452"/>
      <c r="S323" s="1452"/>
      <c r="T323" s="1452"/>
      <c r="U323" s="1452"/>
      <c r="V323" s="1452"/>
      <c r="W323" s="1452"/>
      <c r="X323" s="1452"/>
      <c r="Y323" s="1452"/>
      <c r="Z323" s="1452"/>
    </row>
    <row r="324" spans="2:26" ht="84" hidden="1" x14ac:dyDescent="0.25">
      <c r="B324" s="1420">
        <v>317</v>
      </c>
      <c r="C324" s="1714"/>
      <c r="D324" s="1450" t="s">
        <v>2051</v>
      </c>
      <c r="E324" s="1452"/>
      <c r="F324" s="1453" t="s">
        <v>2073</v>
      </c>
      <c r="G324" s="1453" t="s">
        <v>8</v>
      </c>
      <c r="H324" s="1480">
        <v>6000000</v>
      </c>
      <c r="I324" s="1455" t="s">
        <v>65</v>
      </c>
      <c r="J324" s="1459" t="str">
        <f>[285]!Статус</f>
        <v>12.03.26_x000D_
Требуется пересчет по новому ТЗ (запрос от 03.03.26)_x000D_
Проработано: 10.03.26</v>
      </c>
      <c r="K324" s="1453" t="s">
        <v>2152</v>
      </c>
      <c r="L324" s="1456" t="str">
        <f>[285]!ТКП_Тематика</f>
        <v>FK</v>
      </c>
      <c r="M324" s="1452"/>
      <c r="N324" s="1451">
        <v>1</v>
      </c>
      <c r="O324" s="1452"/>
      <c r="P324" s="1457">
        <f>[285]!Результат_число</f>
        <v>0</v>
      </c>
      <c r="Q324" s="1452"/>
      <c r="R324" s="1452"/>
      <c r="S324" s="1452"/>
      <c r="T324" s="1452"/>
      <c r="U324" s="1452"/>
      <c r="V324" s="1452"/>
      <c r="W324" s="1452"/>
      <c r="X324" s="1452"/>
      <c r="Y324" s="1452"/>
      <c r="Z324" s="1452"/>
    </row>
    <row r="325" spans="2:26" ht="36" hidden="1" x14ac:dyDescent="0.25">
      <c r="B325" s="1420">
        <v>317</v>
      </c>
      <c r="C325" s="1714"/>
      <c r="D325" s="1450" t="s">
        <v>2053</v>
      </c>
      <c r="E325" s="1452"/>
      <c r="F325" s="1453" t="s">
        <v>1946</v>
      </c>
      <c r="G325" s="1453" t="s">
        <v>2089</v>
      </c>
      <c r="H325" s="1454"/>
      <c r="I325" s="1455" t="s">
        <v>65</v>
      </c>
      <c r="J325" s="1487" t="str">
        <f>[286]!Статус</f>
        <v>05.02.26_x000D_
888</v>
      </c>
      <c r="K325" s="1453" t="s">
        <v>2245</v>
      </c>
      <c r="L325" s="1456">
        <f>[286]!ТКП_Тематика</f>
        <v>0</v>
      </c>
      <c r="M325" s="1452"/>
      <c r="N325" s="174"/>
      <c r="O325" s="98"/>
      <c r="P325" s="1457">
        <f>[286]!Результат_число</f>
        <v>-1</v>
      </c>
      <c r="Q325" s="1452"/>
      <c r="R325" s="1452"/>
      <c r="S325" s="1452"/>
      <c r="T325" s="1452"/>
      <c r="U325" s="1452"/>
      <c r="V325" s="1452"/>
      <c r="W325" s="1452"/>
      <c r="X325" s="1452"/>
      <c r="Y325" s="1452"/>
      <c r="Z325" s="1452"/>
    </row>
    <row r="326" spans="2:26" ht="84" hidden="1" x14ac:dyDescent="0.25">
      <c r="B326" s="1451">
        <f t="shared" ref="B326:B333" si="19">ROW()-ROW($B$5)</f>
        <v>321</v>
      </c>
      <c r="C326" s="1714"/>
      <c r="D326" s="1472" t="s">
        <v>2048</v>
      </c>
      <c r="E326" s="1452"/>
      <c r="F326" s="1453" t="s">
        <v>2056</v>
      </c>
      <c r="G326" s="655" t="s">
        <v>4</v>
      </c>
      <c r="H326" s="1480">
        <v>22100000</v>
      </c>
      <c r="I326" s="1455" t="s">
        <v>65</v>
      </c>
      <c r="J326" s="1459" t="str">
        <f>[282]!Статус</f>
        <v>06.04.26
Коррекция ТЗ от РСС и новая специя/ сравнение состава в ТЗ и специи - до 03.04.26
Схема готова, ТКП направлено в УМП для расчётов
09.04.2026</v>
      </c>
      <c r="K326" s="1453" t="s">
        <v>2066</v>
      </c>
      <c r="L326" s="1456" t="str">
        <f>[282]!ТКП_Тематика</f>
        <v>N</v>
      </c>
      <c r="M326" s="1452"/>
      <c r="N326" s="1"/>
      <c r="O326" s="1"/>
      <c r="P326" s="1457">
        <f>[282]!Результат_число</f>
        <v>0</v>
      </c>
      <c r="Q326" s="1452"/>
      <c r="R326" s="1452"/>
      <c r="S326" s="1452"/>
      <c r="T326" s="1452"/>
      <c r="U326" s="1452"/>
      <c r="V326" s="1452"/>
      <c r="W326" s="1452"/>
      <c r="X326" s="1452"/>
      <c r="Y326" s="1452"/>
      <c r="Z326" s="1452"/>
    </row>
    <row r="327" spans="2:26" ht="132" hidden="1" x14ac:dyDescent="0.25">
      <c r="B327" s="1461">
        <f t="shared" si="19"/>
        <v>322</v>
      </c>
      <c r="C327" s="1714"/>
      <c r="D327" s="1462" t="s">
        <v>2060</v>
      </c>
      <c r="E327" s="1463"/>
      <c r="F327" s="1464"/>
      <c r="G327" s="655" t="s">
        <v>4</v>
      </c>
      <c r="H327" s="1465">
        <v>15123856</v>
      </c>
      <c r="I327" s="1466" t="s">
        <v>54</v>
      </c>
      <c r="J327" s="1468" t="str">
        <f>[128]!Статус</f>
        <v>05.12.24_x000D_
_x000D_получены кп от НИЦ_РКП на часть ситемы управления_x000D_ (обновлены длины кабелей, убрана подсистема ПЗ, сегмент на УВК&gt;&gt;кросс панель стенда будет использован существующий)_x000D_
27.11.28 - получены от Голубева ЧТЗ и мелкие правки_x000D_
РСС: сверка с ЧТЗ произведена, ЧТЗ переправлено в ОСП на согласование_x000D_
ОМ: согласование и отправка ТКП</v>
      </c>
      <c r="K327" s="1464" t="s">
        <v>2288</v>
      </c>
      <c r="L327" s="1467" t="str">
        <f>[128]!ТКП_Тематика</f>
        <v>FR</v>
      </c>
      <c r="M327" s="1463"/>
      <c r="N327" s="1"/>
      <c r="O327" s="1"/>
      <c r="P327" s="1457">
        <f>[128]!Результат_число</f>
        <v>0</v>
      </c>
      <c r="Q327" s="1463"/>
      <c r="R327" s="1463"/>
      <c r="S327" s="1463"/>
      <c r="T327" s="1463"/>
      <c r="U327" s="1463"/>
      <c r="V327" s="1463"/>
      <c r="W327" s="1463"/>
      <c r="X327" s="1463"/>
      <c r="Y327" s="1463"/>
      <c r="Z327" s="1463"/>
    </row>
    <row r="328" spans="2:26" ht="36" hidden="1" x14ac:dyDescent="0.25">
      <c r="B328" s="1451">
        <f t="shared" si="19"/>
        <v>323</v>
      </c>
      <c r="C328" s="1714">
        <v>1</v>
      </c>
      <c r="D328" s="1472" t="s">
        <v>2064</v>
      </c>
      <c r="E328" s="1452"/>
      <c r="F328" s="1453" t="s">
        <v>2074</v>
      </c>
      <c r="G328" s="1453" t="s">
        <v>2065</v>
      </c>
      <c r="H328" s="1480">
        <v>3000000</v>
      </c>
      <c r="I328" s="1455" t="s">
        <v>1772</v>
      </c>
      <c r="J328" s="1459" t="str">
        <f>[287]!Статус</f>
        <v>08.06.26_x000D_
Никий приоритет. Проработка до 20.06.26</v>
      </c>
      <c r="K328" s="1453" t="s">
        <v>2114</v>
      </c>
      <c r="L328" s="1456">
        <f>[287]!ТКП_Тематика</f>
        <v>0</v>
      </c>
      <c r="M328" s="1452"/>
      <c r="N328" s="1"/>
      <c r="O328" s="1"/>
      <c r="P328" s="1457">
        <f>[288]!Результат_число</f>
        <v>0</v>
      </c>
      <c r="Q328" s="1452"/>
      <c r="R328" s="1452"/>
      <c r="S328" s="1452"/>
      <c r="T328" s="1452"/>
      <c r="U328" s="1452"/>
      <c r="V328" s="1452"/>
      <c r="W328" s="1452"/>
      <c r="X328" s="1452"/>
      <c r="Y328" s="1452"/>
      <c r="Z328" s="1452"/>
    </row>
    <row r="329" spans="2:26" ht="48" hidden="1" x14ac:dyDescent="0.25">
      <c r="B329" s="1461">
        <f t="shared" si="19"/>
        <v>324</v>
      </c>
      <c r="C329" s="174"/>
      <c r="D329" s="319" t="s">
        <v>2067</v>
      </c>
      <c r="E329" s="1463"/>
      <c r="F329" s="1464" t="s">
        <v>2075</v>
      </c>
      <c r="G329" s="1464" t="s">
        <v>2068</v>
      </c>
      <c r="H329" s="1503">
        <v>1000000</v>
      </c>
      <c r="I329" s="1466" t="s">
        <v>1772</v>
      </c>
      <c r="J329" s="1657" t="str">
        <f>[289]!Статус</f>
        <v>06.04.2026
Заказчику направлдены вопросы 24.03.2026, ответа не поступило. На звонки также нет ответа</v>
      </c>
      <c r="K329" s="1464" t="s">
        <v>2097</v>
      </c>
      <c r="L329" s="1467">
        <f>[289]!ТКП_Тематика</f>
        <v>0</v>
      </c>
      <c r="M329" s="1463"/>
      <c r="N329" s="1"/>
      <c r="O329" s="1"/>
      <c r="P329" s="1457">
        <v>-1</v>
      </c>
      <c r="Q329" s="1463"/>
      <c r="R329" s="1463"/>
      <c r="S329" s="1463"/>
      <c r="T329" s="1463"/>
      <c r="U329" s="1463"/>
      <c r="V329" s="1463"/>
      <c r="W329" s="1463"/>
      <c r="X329" s="1463"/>
      <c r="Y329" s="1463"/>
      <c r="Z329" s="1463"/>
    </row>
    <row r="330" spans="2:26" ht="72" hidden="1" x14ac:dyDescent="0.25">
      <c r="B330" s="1451">
        <f t="shared" si="19"/>
        <v>325</v>
      </c>
      <c r="C330" s="1714">
        <v>1</v>
      </c>
      <c r="D330" s="1472" t="s">
        <v>2069</v>
      </c>
      <c r="E330" s="1452"/>
      <c r="F330" s="1453" t="s">
        <v>2076</v>
      </c>
      <c r="G330" s="1453" t="s">
        <v>2181</v>
      </c>
      <c r="H330" s="1480">
        <v>83000000</v>
      </c>
      <c r="I330" s="1455" t="s">
        <v>1296</v>
      </c>
      <c r="J330" s="1459" t="str">
        <f>[290]!Статус</f>
        <v>10.08.26_x000D_
Отправлено. Требуется созвон</v>
      </c>
      <c r="K330" s="1453" t="s">
        <v>2118</v>
      </c>
      <c r="L330" s="1456" t="str">
        <f>[291]!ТКП_Тематика</f>
        <v>BF</v>
      </c>
      <c r="M330" s="1452"/>
      <c r="N330" s="1"/>
      <c r="O330" s="1"/>
      <c r="P330" s="1457">
        <f>[290]!Результат_число</f>
        <v>0</v>
      </c>
      <c r="Q330" s="1452"/>
      <c r="R330" s="1452"/>
      <c r="S330" s="1452"/>
      <c r="T330" s="1452"/>
      <c r="U330" s="1452"/>
      <c r="V330" s="1452"/>
      <c r="W330" s="1452"/>
      <c r="X330" s="1452"/>
      <c r="Y330" s="1452"/>
      <c r="Z330" s="1452"/>
    </row>
    <row r="331" spans="2:26" ht="72" hidden="1" x14ac:dyDescent="0.25">
      <c r="B331" s="1797">
        <f t="shared" si="19"/>
        <v>326</v>
      </c>
      <c r="C331" s="1724"/>
      <c r="D331" s="1508" t="s">
        <v>2070</v>
      </c>
      <c r="E331" s="1798"/>
      <c r="F331" s="1799" t="s">
        <v>2077</v>
      </c>
      <c r="G331" s="1799" t="s">
        <v>8</v>
      </c>
      <c r="H331" s="1800">
        <v>2057920</v>
      </c>
      <c r="I331" s="1801" t="s">
        <v>1318</v>
      </c>
      <c r="J331" s="1802" t="str">
        <f>[292]!Статус</f>
        <v>23.03.26_x000D_
отправлено 20.03.26</v>
      </c>
      <c r="K331" s="1799" t="s">
        <v>2200</v>
      </c>
      <c r="L331" s="1803" t="str">
        <f>[292]!ТКП_Тематика</f>
        <v>O</v>
      </c>
      <c r="M331" s="1798"/>
      <c r="N331" s="12"/>
      <c r="O331" s="12"/>
      <c r="P331" s="1804">
        <f>[292]!Результат_число</f>
        <v>0</v>
      </c>
      <c r="Q331" s="1798"/>
      <c r="R331" s="1798"/>
      <c r="S331" s="1798"/>
      <c r="T331" s="1798"/>
      <c r="U331" s="1798"/>
      <c r="V331" s="1798"/>
      <c r="W331" s="1798"/>
      <c r="X331" s="1798"/>
      <c r="Y331" s="1798"/>
      <c r="Z331" s="1798"/>
    </row>
    <row r="332" spans="2:26" ht="96" hidden="1" x14ac:dyDescent="0.25">
      <c r="B332" s="1451">
        <v>325</v>
      </c>
      <c r="C332" s="1714">
        <v>1</v>
      </c>
      <c r="D332" s="1450" t="s">
        <v>2081</v>
      </c>
      <c r="E332" s="1452"/>
      <c r="F332" s="1453" t="s">
        <v>2088</v>
      </c>
      <c r="G332" s="1453" t="s">
        <v>60</v>
      </c>
      <c r="H332" s="1480">
        <v>27000000</v>
      </c>
      <c r="I332" s="1455" t="s">
        <v>54</v>
      </c>
      <c r="J332" s="1486" t="str">
        <f>[293]!Статус</f>
        <v>10.08.26_x000D_
Отправлено 21.04.26</v>
      </c>
      <c r="K332" s="1453" t="s">
        <v>2120</v>
      </c>
      <c r="L332" s="1456">
        <f>[293]!ТКП_Тематика</f>
        <v>0</v>
      </c>
      <c r="M332" s="1452"/>
      <c r="N332" s="1457">
        <v>1</v>
      </c>
      <c r="O332" s="1452"/>
      <c r="P332" s="1457">
        <f>[293]!Результат_число</f>
        <v>0</v>
      </c>
      <c r="Q332" s="1452"/>
      <c r="R332" s="1476"/>
      <c r="S332" s="1476"/>
      <c r="T332" s="1476"/>
      <c r="U332" s="1476"/>
      <c r="V332" s="1476"/>
      <c r="W332" s="1476"/>
      <c r="X332" s="1476"/>
      <c r="Y332" s="1476"/>
      <c r="Z332" s="1476"/>
    </row>
    <row r="333" spans="2:26" ht="48" x14ac:dyDescent="0.25">
      <c r="B333" s="1451">
        <f t="shared" si="19"/>
        <v>328</v>
      </c>
      <c r="C333" s="1714">
        <v>0</v>
      </c>
      <c r="D333" s="1472" t="s">
        <v>2071</v>
      </c>
      <c r="E333" s="1452"/>
      <c r="F333" s="1453" t="s">
        <v>2078</v>
      </c>
      <c r="G333" s="1453" t="s">
        <v>721</v>
      </c>
      <c r="H333" s="1480">
        <v>200000</v>
      </c>
      <c r="I333" s="1466" t="s">
        <v>88</v>
      </c>
      <c r="J333" s="1459" t="str">
        <f>[294]!Статус</f>
        <v>10.08.26_x000D_
888</v>
      </c>
      <c r="K333" s="1453" t="s">
        <v>2072</v>
      </c>
      <c r="L333" s="1456">
        <f>[294]!ТКП_Тематика</f>
        <v>0</v>
      </c>
      <c r="M333" s="1452"/>
      <c r="N333" s="1"/>
      <c r="O333" s="1"/>
      <c r="P333" s="1457">
        <f>[294]!Результат_число</f>
        <v>1</v>
      </c>
      <c r="Q333" s="1452"/>
      <c r="R333" s="1452"/>
      <c r="S333" s="1452"/>
      <c r="T333" s="1452"/>
      <c r="U333" s="1452"/>
      <c r="V333" s="1452"/>
      <c r="W333" s="1452"/>
      <c r="X333" s="1452"/>
      <c r="Y333" s="1452"/>
      <c r="Z333" s="1452"/>
    </row>
    <row r="334" spans="2:26" ht="72" hidden="1" x14ac:dyDescent="0.25">
      <c r="B334" s="1488">
        <f t="shared" ref="B334:B340" si="20">ROW()-ROW($B$5)</f>
        <v>329</v>
      </c>
      <c r="C334" s="1714"/>
      <c r="D334" s="1462" t="s">
        <v>2090</v>
      </c>
      <c r="E334" s="1463"/>
      <c r="F334" s="1464" t="s">
        <v>2091</v>
      </c>
      <c r="G334" s="1464" t="s">
        <v>75</v>
      </c>
      <c r="H334" s="1503"/>
      <c r="I334" s="1466" t="s">
        <v>92</v>
      </c>
      <c r="J334" s="1486" t="str">
        <f>[295]!Статус</f>
        <v xml:space="preserve">08.06.26_x000D_
У заказчика определен подрядчик
не актуально </v>
      </c>
      <c r="K334" s="1464"/>
      <c r="L334" s="1467">
        <f>[295]!ТКП_Тематика</f>
        <v>0</v>
      </c>
      <c r="M334" s="1463"/>
      <c r="N334" s="1457">
        <v>1</v>
      </c>
      <c r="O334" s="1463"/>
      <c r="P334" s="1499">
        <f>[295]!Результат_число</f>
        <v>-1</v>
      </c>
      <c r="Q334" s="1463"/>
      <c r="R334" s="98"/>
      <c r="S334" s="98"/>
      <c r="T334" s="98"/>
      <c r="U334" s="98"/>
      <c r="V334" s="98"/>
      <c r="W334" s="98"/>
      <c r="X334" s="98"/>
      <c r="Y334" s="98"/>
      <c r="Z334" s="98"/>
    </row>
    <row r="335" spans="2:26" ht="24" hidden="1" x14ac:dyDescent="0.25">
      <c r="B335" s="1488">
        <f t="shared" si="20"/>
        <v>330</v>
      </c>
      <c r="C335" s="1714"/>
      <c r="D335" s="1473" t="s">
        <v>2099</v>
      </c>
      <c r="E335" s="1476"/>
      <c r="F335" s="1489" t="s">
        <v>2102</v>
      </c>
      <c r="G335" s="1489" t="s">
        <v>2103</v>
      </c>
      <c r="H335" s="1504"/>
      <c r="I335" s="1490" t="s">
        <v>378</v>
      </c>
      <c r="J335" s="1498" t="str">
        <f>[296]!Статус</f>
        <v>05.02.26_x000D_
888</v>
      </c>
      <c r="K335" s="1489"/>
      <c r="L335" s="1491">
        <f>[296]!ТКП_Тематика</f>
        <v>0</v>
      </c>
      <c r="M335" s="1476"/>
      <c r="N335" s="1477"/>
      <c r="O335" s="1476"/>
      <c r="P335" s="1500">
        <f>[296]!Результат_число</f>
        <v>-1</v>
      </c>
      <c r="Q335" s="98"/>
      <c r="R335" s="98"/>
      <c r="S335" s="98"/>
      <c r="T335" s="98"/>
      <c r="U335" s="98"/>
      <c r="V335" s="98"/>
      <c r="W335" s="98"/>
      <c r="X335" s="98"/>
      <c r="Y335" s="98"/>
      <c r="Z335" s="98"/>
    </row>
    <row r="336" spans="2:26" ht="24" hidden="1" x14ac:dyDescent="0.25">
      <c r="B336" s="1488">
        <f t="shared" si="20"/>
        <v>331</v>
      </c>
      <c r="C336" s="1714"/>
      <c r="D336" s="1473" t="s">
        <v>2100</v>
      </c>
      <c r="E336" s="1476"/>
      <c r="F336" s="1489"/>
      <c r="G336" s="1489" t="s">
        <v>2101</v>
      </c>
      <c r="H336" s="1504"/>
      <c r="I336" s="1490" t="s">
        <v>1296</v>
      </c>
      <c r="J336" s="1498" t="str">
        <f>[296]!Статус</f>
        <v>05.02.26_x000D_
888</v>
      </c>
      <c r="K336" s="1489"/>
      <c r="L336" s="1491">
        <f>[296]!ТКП_Тематика</f>
        <v>0</v>
      </c>
      <c r="M336" s="1476"/>
      <c r="N336" s="1477"/>
      <c r="O336" s="1476"/>
      <c r="P336" s="1500">
        <f>[296]!Результат_число</f>
        <v>-1</v>
      </c>
      <c r="Q336" s="98"/>
      <c r="R336" s="98"/>
      <c r="S336" s="98"/>
      <c r="T336" s="98"/>
      <c r="U336" s="98"/>
      <c r="V336" s="98"/>
      <c r="W336" s="98"/>
      <c r="X336" s="98"/>
      <c r="Y336" s="98"/>
      <c r="Z336" s="98"/>
    </row>
    <row r="337" spans="2:26" ht="120" hidden="1" x14ac:dyDescent="0.25">
      <c r="B337" s="1488">
        <f t="shared" si="20"/>
        <v>332</v>
      </c>
      <c r="C337" s="174"/>
      <c r="D337" s="489" t="s">
        <v>2092</v>
      </c>
      <c r="E337" s="1463"/>
      <c r="F337" s="1464" t="s">
        <v>2093</v>
      </c>
      <c r="G337" s="1464" t="s">
        <v>2094</v>
      </c>
      <c r="H337" s="1503">
        <v>2021083</v>
      </c>
      <c r="I337" s="1466" t="s">
        <v>2095</v>
      </c>
      <c r="J337" s="1658" t="str">
        <f>[297]!Статус</f>
        <v>09.04.26
Схема готова, проработана, ТКП просчитано, требуется согласование.
09.07.2026.
По условиям заказчика необходимо поставить одну позицию, поэтому будет разрабатываться БЛИЖ.401203.100.336        Комплекс измерительный на базе ИВК MIC-170 и модулей MIC-M. УМП направили письмо ООО №598 от 02.07.2026</v>
      </c>
      <c r="K337" s="1464" t="s">
        <v>2106</v>
      </c>
      <c r="L337" s="1467">
        <f>[297]!ТКП_Тематика</f>
        <v>0</v>
      </c>
      <c r="M337" s="1463"/>
      <c r="N337" s="1463"/>
      <c r="O337" s="1463"/>
      <c r="P337" s="1500">
        <f>[297]!Результат_число</f>
        <v>0</v>
      </c>
      <c r="Q337" s="98"/>
      <c r="R337" s="98"/>
      <c r="S337" s="98"/>
      <c r="T337" s="98"/>
      <c r="U337" s="98"/>
      <c r="V337" s="98"/>
      <c r="W337" s="98"/>
      <c r="X337" s="98"/>
      <c r="Y337" s="98"/>
      <c r="Z337" s="98"/>
    </row>
    <row r="338" spans="2:26" ht="72" hidden="1" x14ac:dyDescent="0.25">
      <c r="B338" s="1492">
        <v>315</v>
      </c>
      <c r="C338" s="1714"/>
      <c r="D338" s="1469" t="s">
        <v>2107</v>
      </c>
      <c r="E338" s="1493"/>
      <c r="F338" s="1494" t="s">
        <v>59</v>
      </c>
      <c r="G338" s="655" t="s">
        <v>4</v>
      </c>
      <c r="H338" s="1502" t="s">
        <v>49</v>
      </c>
      <c r="I338" s="1466" t="s">
        <v>92</v>
      </c>
      <c r="J338" s="781" t="str">
        <f>[298]!Статус</f>
        <v>22.04.26_x000D_
22.04.26 отправели вопросы по почте + звонок сказали пристрелочное КП</v>
      </c>
      <c r="K338" s="1494" t="s">
        <v>2153</v>
      </c>
      <c r="L338" s="1495" t="str">
        <f>[298]!ТКП_Тематика</f>
        <v>N</v>
      </c>
      <c r="M338" s="1493"/>
      <c r="N338" s="1496">
        <v>1</v>
      </c>
      <c r="O338" s="98"/>
      <c r="P338" s="1500">
        <f>[298]!Результат_число</f>
        <v>0</v>
      </c>
      <c r="Q338" s="98"/>
      <c r="R338" s="98"/>
      <c r="S338" s="98"/>
      <c r="T338" s="98"/>
      <c r="U338" s="98"/>
      <c r="V338" s="98"/>
      <c r="W338" s="98"/>
      <c r="X338" s="98"/>
      <c r="Y338" s="98"/>
      <c r="Z338" s="98"/>
    </row>
    <row r="339" spans="2:26" ht="60" hidden="1" x14ac:dyDescent="0.25">
      <c r="B339" s="1492">
        <v>315</v>
      </c>
      <c r="C339" s="174">
        <v>1</v>
      </c>
      <c r="D339" s="489" t="s">
        <v>2109</v>
      </c>
      <c r="E339" s="1476"/>
      <c r="F339" s="1489" t="s">
        <v>2110</v>
      </c>
      <c r="G339" s="1489" t="s">
        <v>1312</v>
      </c>
      <c r="H339" s="1504" t="s">
        <v>49</v>
      </c>
      <c r="I339" s="1466" t="s">
        <v>92</v>
      </c>
      <c r="J339" s="1498" t="str">
        <f>[299]!Статус</f>
        <v>10.08.26_x000D_
Отправлено 10.07.26</v>
      </c>
      <c r="K339" s="1489" t="s">
        <v>2156</v>
      </c>
      <c r="L339" s="1491" t="str">
        <f>[299]!ТКП_Тематика</f>
        <v>I</v>
      </c>
      <c r="M339" s="1476"/>
      <c r="N339" s="1501"/>
      <c r="O339" s="98"/>
      <c r="P339" s="1500">
        <f>[299]!Результат_число</f>
        <v>0</v>
      </c>
      <c r="Q339" s="98"/>
      <c r="R339" s="98"/>
      <c r="S339" s="98"/>
      <c r="T339" s="98"/>
      <c r="U339" s="98"/>
      <c r="V339" s="98"/>
      <c r="W339" s="98"/>
      <c r="X339" s="98"/>
      <c r="Y339" s="98"/>
      <c r="Z339" s="98"/>
    </row>
    <row r="340" spans="2:26" ht="24" hidden="1" x14ac:dyDescent="0.25">
      <c r="B340" s="1488">
        <f t="shared" si="20"/>
        <v>335</v>
      </c>
      <c r="C340" s="1714"/>
      <c r="D340" s="1469" t="s">
        <v>2105</v>
      </c>
      <c r="E340" s="1463"/>
      <c r="F340" s="1464" t="s">
        <v>2104</v>
      </c>
      <c r="G340" s="1464" t="s">
        <v>75</v>
      </c>
      <c r="H340" s="1503"/>
      <c r="I340" s="1466" t="s">
        <v>1318</v>
      </c>
      <c r="J340" s="1486" t="str">
        <f>[300]!Статус</f>
        <v>05.02.26_x000D_
888</v>
      </c>
      <c r="K340" s="1464"/>
      <c r="L340" s="1467">
        <f>[300]!ТКП_Тематика</f>
        <v>0</v>
      </c>
      <c r="M340" s="1463"/>
      <c r="N340" s="1"/>
      <c r="O340" s="1"/>
      <c r="P340" s="1500">
        <f>[300]!Результат_число</f>
        <v>-1</v>
      </c>
    </row>
    <row r="341" spans="2:26" ht="144" hidden="1" x14ac:dyDescent="0.25">
      <c r="B341" s="1509">
        <f>ROW()-ROW($B$5)</f>
        <v>336</v>
      </c>
      <c r="C341" s="1714"/>
      <c r="D341" s="1559" t="s">
        <v>2190</v>
      </c>
      <c r="E341" s="1510"/>
      <c r="F341" s="1511" t="s">
        <v>2124</v>
      </c>
      <c r="G341" s="1511" t="s">
        <v>2094</v>
      </c>
      <c r="H341" s="1512">
        <v>1318066</v>
      </c>
      <c r="I341" s="1513" t="s">
        <v>92</v>
      </c>
      <c r="J341" s="1524" t="str">
        <f>[301]!Статус</f>
        <v>05.02.26_x000D_
888</v>
      </c>
      <c r="K341" s="1511" t="s">
        <v>2193</v>
      </c>
      <c r="L341" s="1514">
        <f>[301]!ТКП_Тематика</f>
        <v>0</v>
      </c>
      <c r="M341" s="1510"/>
      <c r="N341" s="1"/>
      <c r="O341" s="1"/>
      <c r="P341" s="1521">
        <f>[301]!Результат_число</f>
        <v>0</v>
      </c>
      <c r="Q341" s="1509"/>
      <c r="R341" s="1509"/>
      <c r="S341" s="1509"/>
      <c r="T341" s="1510"/>
      <c r="U341" s="1510"/>
      <c r="V341" s="1510"/>
      <c r="W341" s="1510"/>
      <c r="X341" s="1510"/>
      <c r="Y341" s="1510"/>
      <c r="Z341" s="1510"/>
    </row>
    <row r="342" spans="2:26" ht="60" hidden="1" x14ac:dyDescent="0.25">
      <c r="B342" s="1515">
        <f>ROW()-ROW($B$5)</f>
        <v>337</v>
      </c>
      <c r="C342" s="1714" t="e">
        <f>[302]!c_Control</f>
        <v>#NAME?</v>
      </c>
      <c r="D342" s="489" t="s">
        <v>2121</v>
      </c>
      <c r="E342" s="1516"/>
      <c r="F342" s="1517" t="s">
        <v>677</v>
      </c>
      <c r="G342" s="604" t="s">
        <v>1449</v>
      </c>
      <c r="H342" s="1518">
        <v>500000000</v>
      </c>
      <c r="I342" s="1519" t="s">
        <v>1622</v>
      </c>
      <c r="J342" s="1680" t="str">
        <f>[302]!Статус</f>
        <v>10.08.26_x000D_
отправлено 10.07.26</v>
      </c>
      <c r="K342" s="1517" t="s">
        <v>2122</v>
      </c>
      <c r="L342" s="1520" t="str">
        <f>[302]!ТКП_Тематика</f>
        <v>BEFJM</v>
      </c>
      <c r="M342" s="1516"/>
      <c r="N342" s="1"/>
      <c r="O342" s="1"/>
      <c r="P342" s="1522">
        <f>[302]!Результат_число</f>
        <v>0</v>
      </c>
      <c r="Q342" s="1515"/>
      <c r="R342" s="1515"/>
      <c r="S342" s="1515"/>
      <c r="T342" s="1516"/>
      <c r="U342" s="1516"/>
      <c r="V342" s="1516"/>
      <c r="W342" s="1516"/>
      <c r="X342" s="1516"/>
      <c r="Y342" s="1516"/>
      <c r="Z342" s="1516"/>
    </row>
    <row r="343" spans="2:26" ht="240" hidden="1" x14ac:dyDescent="0.25">
      <c r="B343" s="679">
        <f t="shared" ref="B343" si="21">ROW()-ROW($B$5)</f>
        <v>338</v>
      </c>
      <c r="C343" s="1714">
        <v>1</v>
      </c>
      <c r="D343" s="1560" t="s">
        <v>2125</v>
      </c>
      <c r="E343" s="1516"/>
      <c r="F343" s="1517" t="s">
        <v>2126</v>
      </c>
      <c r="G343" s="655" t="s">
        <v>4</v>
      </c>
      <c r="H343" s="1518">
        <v>80000000</v>
      </c>
      <c r="I343" s="1519" t="s">
        <v>1640</v>
      </c>
      <c r="J343" s="1680" t="str">
        <f>[303]!Статус</f>
        <v>26.06.26_x000D_
Требуется подготовить и согласовать версию ТКП для НИЦ РКП.</v>
      </c>
      <c r="K343" s="1517" t="s">
        <v>2224</v>
      </c>
      <c r="L343" s="1520">
        <f>[303]!ТКП_Тематика</f>
        <v>0</v>
      </c>
      <c r="M343" s="1516"/>
      <c r="N343" s="1"/>
      <c r="O343" s="1"/>
      <c r="P343" s="1522">
        <f>[303]!Результат_число</f>
        <v>0</v>
      </c>
      <c r="Q343" s="1515"/>
      <c r="R343" s="1515"/>
      <c r="S343" s="1515"/>
      <c r="T343" s="1516"/>
      <c r="U343" s="1516"/>
      <c r="V343" s="1516"/>
      <c r="W343" s="1516"/>
      <c r="X343" s="1516"/>
      <c r="Y343" s="1516"/>
      <c r="Z343" s="1516"/>
    </row>
    <row r="344" spans="2:26" ht="84" hidden="1" x14ac:dyDescent="0.25">
      <c r="B344" s="1509">
        <f t="shared" ref="B344:B348" si="22">ROW()-ROW($B$5)</f>
        <v>339</v>
      </c>
      <c r="C344" s="1714"/>
      <c r="D344" s="1621" t="s">
        <v>2123</v>
      </c>
      <c r="E344" s="1510"/>
      <c r="F344" s="1511" t="s">
        <v>1761</v>
      </c>
      <c r="G344" s="1511" t="s">
        <v>1890</v>
      </c>
      <c r="H344" s="1512">
        <v>30000000</v>
      </c>
      <c r="I344" s="1513" t="s">
        <v>92</v>
      </c>
      <c r="J344" s="1523" t="str">
        <f>[304]!Статус</f>
        <v>08.06.26_x000D_
Отправлено - конец мая</v>
      </c>
      <c r="K344" s="1511" t="s">
        <v>2157</v>
      </c>
      <c r="L344" s="1514">
        <f>[304]!ТКП_Тематика</f>
        <v>0</v>
      </c>
      <c r="M344" s="1510"/>
      <c r="N344" s="1"/>
      <c r="O344" s="1"/>
      <c r="P344" s="1521">
        <f>[304]!Результат_число</f>
        <v>0</v>
      </c>
      <c r="Q344" s="1509"/>
      <c r="R344" s="1509"/>
      <c r="S344" s="1509"/>
      <c r="T344" s="1510"/>
      <c r="U344" s="1510"/>
      <c r="V344" s="1510"/>
      <c r="W344" s="1510"/>
      <c r="X344" s="1510"/>
      <c r="Y344" s="1510"/>
      <c r="Z344" s="1510"/>
    </row>
    <row r="345" spans="2:26" ht="144" x14ac:dyDescent="0.25">
      <c r="B345" s="1561">
        <f t="shared" si="22"/>
        <v>340</v>
      </c>
      <c r="C345" s="1714">
        <v>1</v>
      </c>
      <c r="D345" s="1805" t="s">
        <v>2128</v>
      </c>
      <c r="E345" s="1774"/>
      <c r="F345" s="1773" t="s">
        <v>2163</v>
      </c>
      <c r="G345" s="1773" t="s">
        <v>2129</v>
      </c>
      <c r="H345" s="1775">
        <v>400000000</v>
      </c>
      <c r="I345" s="1776" t="s">
        <v>2266</v>
      </c>
      <c r="J345" s="1566" t="str">
        <f>[305]!Статус</f>
        <v>08.06.26_x000D_
Согласовано в РСС_x000D_
ОП: требуется согласование и отправка</v>
      </c>
      <c r="K345" s="1563" t="s">
        <v>2194</v>
      </c>
      <c r="L345" s="1565" t="str">
        <f>[305]!ТКП_Тематика</f>
        <v>RF</v>
      </c>
      <c r="M345" s="1562"/>
      <c r="N345" s="1"/>
      <c r="O345" s="1"/>
      <c r="P345" s="1613">
        <f>[305]!Результат_число</f>
        <v>1</v>
      </c>
      <c r="Q345" s="1561"/>
      <c r="R345" s="1561"/>
      <c r="S345" s="1561"/>
      <c r="T345" s="1562"/>
      <c r="U345" s="1562"/>
      <c r="V345" s="1562"/>
      <c r="W345" s="1562"/>
      <c r="X345" s="1562"/>
      <c r="Y345" s="1562"/>
      <c r="Z345" s="1562"/>
    </row>
    <row r="346" spans="2:26" ht="48" hidden="1" x14ac:dyDescent="0.25">
      <c r="B346" s="1614">
        <f t="shared" si="22"/>
        <v>341</v>
      </c>
      <c r="C346" s="174">
        <v>1</v>
      </c>
      <c r="D346" s="489" t="s">
        <v>2158</v>
      </c>
      <c r="E346" s="1615"/>
      <c r="F346" s="1616" t="s">
        <v>2162</v>
      </c>
      <c r="G346" s="655" t="s">
        <v>4</v>
      </c>
      <c r="H346" s="1617">
        <v>15000000</v>
      </c>
      <c r="I346" s="1513" t="s">
        <v>92</v>
      </c>
      <c r="J346" s="1659" t="str">
        <f>[306]!Статус</f>
        <v>10.08.26_x000D_
Отправлено 19.06.26</v>
      </c>
      <c r="K346" s="1616" t="s">
        <v>2159</v>
      </c>
      <c r="L346" s="1620" t="str">
        <f>[306]!ТКП_Тематика</f>
        <v>FR</v>
      </c>
      <c r="M346" s="1615"/>
      <c r="N346" s="1"/>
      <c r="O346" s="1"/>
      <c r="P346" s="1629">
        <f>[306]!Результат_число</f>
        <v>0</v>
      </c>
      <c r="Q346" s="1614"/>
      <c r="R346" s="1614"/>
      <c r="S346" s="1614"/>
      <c r="T346" s="1615"/>
      <c r="U346" s="1615"/>
      <c r="V346" s="1615"/>
      <c r="W346" s="1615"/>
      <c r="X346" s="1615"/>
      <c r="Y346" s="1615"/>
      <c r="Z346" s="1615"/>
    </row>
    <row r="347" spans="2:26" ht="72" hidden="1" x14ac:dyDescent="0.25">
      <c r="B347" s="1622">
        <f t="shared" si="22"/>
        <v>342</v>
      </c>
      <c r="C347" s="1714"/>
      <c r="D347" s="1638" t="s">
        <v>2160</v>
      </c>
      <c r="E347" s="1623"/>
      <c r="F347" s="1624" t="s">
        <v>2183</v>
      </c>
      <c r="G347" s="1624" t="s">
        <v>1626</v>
      </c>
      <c r="H347" s="1625">
        <v>9604599</v>
      </c>
      <c r="I347" s="1626" t="s">
        <v>2182</v>
      </c>
      <c r="J347" s="1628" t="str">
        <f>[307]!Статус</f>
        <v>08.06.26_x000D_
Отправлено 22.05.26</v>
      </c>
      <c r="K347" s="1624" t="s">
        <v>2165</v>
      </c>
      <c r="L347" s="1627" t="str">
        <f>[307]!ТКП_Тематика</f>
        <v>BI</v>
      </c>
      <c r="M347" s="1623"/>
      <c r="N347" s="1"/>
      <c r="O347" s="1"/>
      <c r="P347" s="1630">
        <f>[307]!Результат_число</f>
        <v>0</v>
      </c>
      <c r="Q347" s="1622"/>
      <c r="R347" s="1622"/>
      <c r="S347" s="1622"/>
      <c r="T347" s="1623"/>
      <c r="U347" s="1623"/>
      <c r="V347" s="1623"/>
      <c r="W347" s="1623"/>
      <c r="X347" s="1623"/>
      <c r="Y347" s="1623"/>
      <c r="Z347" s="1623"/>
    </row>
    <row r="348" spans="2:26" ht="60" x14ac:dyDescent="0.25">
      <c r="B348" s="1614">
        <f t="shared" si="22"/>
        <v>343</v>
      </c>
      <c r="C348" s="1714">
        <v>0</v>
      </c>
      <c r="D348" s="1648" t="s">
        <v>2171</v>
      </c>
      <c r="E348" s="1615"/>
      <c r="F348" s="1616" t="s">
        <v>2184</v>
      </c>
      <c r="G348" s="1616" t="s">
        <v>2161</v>
      </c>
      <c r="H348" s="1617" t="s">
        <v>49</v>
      </c>
      <c r="I348" s="1618" t="s">
        <v>2185</v>
      </c>
      <c r="J348" s="1619" t="str">
        <f>[308]!Статус</f>
        <v>08.07.26_x000D_
нет связи с заказчиком, 26.06.26 направлено письмо с просьбой назначить ответственного и выдать контакты</v>
      </c>
      <c r="K348" s="1616" t="s">
        <v>2178</v>
      </c>
      <c r="L348" s="1620" t="str">
        <f>[308]!ТКП_Тематика</f>
        <v>BS</v>
      </c>
      <c r="M348" s="1615"/>
      <c r="N348" s="1"/>
      <c r="O348" s="1"/>
      <c r="P348" s="1629">
        <f>[308]!Результат_число</f>
        <v>1</v>
      </c>
      <c r="Q348" s="1614"/>
      <c r="R348" s="1614"/>
      <c r="S348" s="1614"/>
      <c r="T348" s="1615"/>
      <c r="U348" s="1615"/>
      <c r="V348" s="1615"/>
      <c r="W348" s="1615"/>
      <c r="X348" s="1615"/>
      <c r="Y348" s="1615"/>
      <c r="Z348" s="1615"/>
    </row>
    <row r="349" spans="2:26" ht="36" hidden="1" x14ac:dyDescent="0.25">
      <c r="B349" s="1632">
        <f t="shared" ref="B349:B356" si="23">ROW()-ROW($B$5)</f>
        <v>344</v>
      </c>
      <c r="C349" s="1714"/>
      <c r="D349" s="1640" t="s">
        <v>2166</v>
      </c>
      <c r="E349" s="1633"/>
      <c r="F349" s="1634" t="s">
        <v>2168</v>
      </c>
      <c r="G349" s="1634" t="s">
        <v>2167</v>
      </c>
      <c r="H349" s="1635" t="s">
        <v>49</v>
      </c>
      <c r="I349" s="1636"/>
      <c r="J349" s="1639" t="str">
        <f>[309]!Статус</f>
        <v>01.06.26_x000D_
Неактуально, заказчик не отвечает по email, других контактов нет</v>
      </c>
      <c r="K349" s="1634" t="s">
        <v>2187</v>
      </c>
      <c r="L349" s="1637">
        <f>[309]!ТКП_Тематика</f>
        <v>0</v>
      </c>
      <c r="M349" s="1633"/>
      <c r="N349" s="1"/>
      <c r="O349" s="1"/>
      <c r="P349" s="1630">
        <f>[309]!Результат_число</f>
        <v>-1</v>
      </c>
      <c r="Q349" s="1632"/>
      <c r="R349" s="1632"/>
      <c r="S349" s="1632"/>
      <c r="T349" s="1633"/>
      <c r="U349" s="1633"/>
      <c r="V349" s="1633"/>
      <c r="W349" s="1633"/>
      <c r="X349" s="1633"/>
      <c r="Y349" s="1633"/>
      <c r="Z349" s="1633"/>
    </row>
    <row r="350" spans="2:26" ht="48" hidden="1" x14ac:dyDescent="0.25">
      <c r="B350" s="1641">
        <f t="shared" si="23"/>
        <v>345</v>
      </c>
      <c r="C350" s="1714"/>
      <c r="D350" s="1649" t="s">
        <v>2170</v>
      </c>
      <c r="E350" s="1642"/>
      <c r="F350" s="1643" t="s">
        <v>2172</v>
      </c>
      <c r="G350" s="1643" t="s">
        <v>205</v>
      </c>
      <c r="H350" s="1644">
        <v>4000000</v>
      </c>
      <c r="I350" s="1645" t="s">
        <v>92</v>
      </c>
      <c r="J350" s="1656" t="str">
        <f>[310]!Статус</f>
        <v>08.06.26_x000D_
отправлено 02.06.26</v>
      </c>
      <c r="K350" s="1643" t="s">
        <v>2174</v>
      </c>
      <c r="L350" s="1646" t="str">
        <f>[310]!ТКП_Тематика</f>
        <v>D</v>
      </c>
      <c r="M350" s="1642"/>
      <c r="N350" s="1"/>
      <c r="O350" s="1"/>
      <c r="P350" s="1647">
        <f>[310]!Результат_число</f>
        <v>0</v>
      </c>
      <c r="Q350" s="1641"/>
      <c r="R350" s="1641"/>
      <c r="S350" s="1641"/>
      <c r="T350" s="1642"/>
      <c r="U350" s="1642"/>
      <c r="V350" s="1642"/>
      <c r="W350" s="1642"/>
      <c r="X350" s="1642"/>
      <c r="Y350" s="1642"/>
      <c r="Z350" s="1642"/>
    </row>
    <row r="351" spans="2:26" ht="72" hidden="1" x14ac:dyDescent="0.25">
      <c r="B351" s="1650">
        <f t="shared" si="23"/>
        <v>346</v>
      </c>
      <c r="C351" s="1714"/>
      <c r="D351" s="1681" t="s">
        <v>2176</v>
      </c>
      <c r="E351" s="1651"/>
      <c r="F351" s="1652" t="s">
        <v>2180</v>
      </c>
      <c r="G351" s="1652" t="s">
        <v>78</v>
      </c>
      <c r="H351" s="1653">
        <v>10000000</v>
      </c>
      <c r="I351" s="1654" t="s">
        <v>88</v>
      </c>
      <c r="J351" s="1656" t="str">
        <f>[311]!Статус</f>
        <v>05.02.26_x000D_
888</v>
      </c>
      <c r="K351" s="1652" t="s">
        <v>2195</v>
      </c>
      <c r="L351" s="1655" t="str">
        <f>[311]!ТКП_Тематика</f>
        <v>O</v>
      </c>
      <c r="M351" s="1651"/>
      <c r="N351" s="1"/>
      <c r="O351" s="1"/>
      <c r="P351" s="1647">
        <f>[311]!Результат_число</f>
        <v>0</v>
      </c>
      <c r="Q351" s="1650"/>
      <c r="R351" s="1650"/>
      <c r="S351" s="1650"/>
      <c r="T351" s="1651"/>
      <c r="U351" s="1651"/>
      <c r="V351" s="1651"/>
      <c r="W351" s="1651"/>
      <c r="X351" s="1651"/>
      <c r="Y351" s="1651"/>
      <c r="Z351" s="1651"/>
    </row>
    <row r="352" spans="2:26" ht="84" x14ac:dyDescent="0.25">
      <c r="B352" s="1660">
        <f t="shared" si="23"/>
        <v>347</v>
      </c>
      <c r="C352" s="1714">
        <v>1</v>
      </c>
      <c r="D352" s="1746" t="s">
        <v>2213</v>
      </c>
      <c r="E352" s="1661"/>
      <c r="F352" s="1652" t="s">
        <v>2214</v>
      </c>
      <c r="G352" s="1662" t="s">
        <v>20</v>
      </c>
      <c r="H352" s="1564">
        <v>80000000</v>
      </c>
      <c r="I352" s="1663" t="s">
        <v>92</v>
      </c>
      <c r="J352" s="1722" t="str">
        <f>[312]!Статус</f>
        <v>05.08.26_x000D_
От заказчика ожидается новое ТЗ после чего надо будет обновить ТКП</v>
      </c>
      <c r="K352" s="1662" t="s">
        <v>2225</v>
      </c>
      <c r="L352" s="1664" t="str">
        <f>[312]!ТКП_Тематика</f>
        <v>IF</v>
      </c>
      <c r="M352" s="1661"/>
      <c r="N352" s="1"/>
      <c r="O352" s="1"/>
      <c r="P352" s="1665">
        <f>[312]!Результат_число</f>
        <v>1</v>
      </c>
      <c r="Q352" s="1660"/>
      <c r="R352" s="1660"/>
      <c r="S352" s="1660"/>
      <c r="T352" s="1661"/>
      <c r="U352" s="1661"/>
      <c r="V352" s="1661"/>
      <c r="W352" s="1661"/>
      <c r="X352" s="1661"/>
      <c r="Y352" s="1661"/>
      <c r="Z352" s="1661"/>
    </row>
    <row r="353" spans="2:26" ht="120" hidden="1" x14ac:dyDescent="0.25">
      <c r="B353" s="1660">
        <f t="shared" si="23"/>
        <v>348</v>
      </c>
      <c r="C353" s="1714">
        <v>0</v>
      </c>
      <c r="D353" s="1746" t="s">
        <v>2198</v>
      </c>
      <c r="E353" s="1691"/>
      <c r="F353" s="1692"/>
      <c r="G353" s="1692" t="s">
        <v>2199</v>
      </c>
      <c r="H353" s="1693" t="s">
        <v>49</v>
      </c>
      <c r="I353" s="1688"/>
      <c r="J353" s="1696" t="str">
        <f>[313]!Статус</f>
        <v>05.02.26_x000D_
888</v>
      </c>
      <c r="K353" s="1692" t="s">
        <v>2246</v>
      </c>
      <c r="L353" s="1694">
        <f>[313]!ТКП_Тематика</f>
        <v>0</v>
      </c>
      <c r="M353" s="1691"/>
      <c r="N353" s="1"/>
      <c r="O353" s="1"/>
      <c r="P353" s="1695">
        <v>-1</v>
      </c>
      <c r="Q353" s="1690"/>
      <c r="R353" s="1690"/>
      <c r="S353" s="1690"/>
      <c r="T353" s="1691"/>
      <c r="U353" s="1691"/>
      <c r="V353" s="1691"/>
      <c r="W353" s="1691"/>
      <c r="X353" s="1691"/>
      <c r="Y353" s="1691"/>
      <c r="Z353" s="1691"/>
    </row>
    <row r="354" spans="2:26" ht="84" x14ac:dyDescent="0.25">
      <c r="B354" s="1667">
        <f t="shared" si="23"/>
        <v>349</v>
      </c>
      <c r="C354" s="1714">
        <v>1</v>
      </c>
      <c r="D354" s="1712" t="s">
        <v>2188</v>
      </c>
      <c r="E354" s="1668"/>
      <c r="F354" s="1669" t="s">
        <v>2226</v>
      </c>
      <c r="G354" s="1669" t="s">
        <v>78</v>
      </c>
      <c r="H354" s="1670">
        <v>12734866</v>
      </c>
      <c r="I354" s="1671" t="s">
        <v>88</v>
      </c>
      <c r="J354" s="1682" t="str">
        <f>[314]!Статус</f>
        <v>05.08.26_x000D_
Комплексное ТКП на всю систему по ДФМ для ГТ65</v>
      </c>
      <c r="K354" s="1669" t="s">
        <v>2201</v>
      </c>
      <c r="L354" s="1672" t="str">
        <f>[314]!ТКП_Тематика</f>
        <v>O</v>
      </c>
      <c r="M354" s="1668"/>
      <c r="N354" s="1"/>
      <c r="O354" s="1"/>
      <c r="P354" s="1666">
        <f>[314]!Результат_число</f>
        <v>1</v>
      </c>
      <c r="Q354" s="1667"/>
      <c r="R354" s="1667"/>
      <c r="S354" s="1667"/>
      <c r="T354" s="1668"/>
      <c r="U354" s="1668"/>
      <c r="V354" s="1668"/>
      <c r="W354" s="1668"/>
      <c r="X354" s="1668"/>
      <c r="Y354" s="1668"/>
      <c r="Z354" s="1668"/>
    </row>
    <row r="355" spans="2:26" ht="48" hidden="1" x14ac:dyDescent="0.25">
      <c r="B355" s="1684">
        <f t="shared" si="23"/>
        <v>350</v>
      </c>
      <c r="C355" s="1714">
        <v>1</v>
      </c>
      <c r="D355" s="1698" t="s">
        <v>2191</v>
      </c>
      <c r="E355" s="1685"/>
      <c r="F355" s="1686" t="s">
        <v>1994</v>
      </c>
      <c r="G355" s="1686" t="s">
        <v>18</v>
      </c>
      <c r="H355" s="1687">
        <v>62000000</v>
      </c>
      <c r="I355" s="1688" t="s">
        <v>423</v>
      </c>
      <c r="J355" s="1683" t="str">
        <f>[315]!Статус</f>
        <v>05.02.26_x000D_
888</v>
      </c>
      <c r="K355" s="1686" t="s">
        <v>2202</v>
      </c>
      <c r="L355" s="1689">
        <f>[315]!ТКП_Тематика</f>
        <v>0</v>
      </c>
      <c r="M355" s="1685"/>
      <c r="N355" s="1676"/>
      <c r="O355" s="1676"/>
      <c r="P355" s="1666">
        <f>[315]!Результат_число</f>
        <v>0</v>
      </c>
      <c r="Q355" s="1684"/>
      <c r="R355" s="1684"/>
      <c r="S355" s="1684"/>
      <c r="T355" s="1685"/>
      <c r="U355" s="1685"/>
      <c r="V355" s="1685"/>
      <c r="W355" s="1685"/>
      <c r="X355" s="1685"/>
      <c r="Y355" s="1685"/>
      <c r="Z355" s="1685"/>
    </row>
    <row r="356" spans="2:26" ht="48" hidden="1" x14ac:dyDescent="0.25">
      <c r="B356" s="1690">
        <f t="shared" si="23"/>
        <v>351</v>
      </c>
      <c r="C356" s="1714">
        <v>1</v>
      </c>
      <c r="D356" s="1679" t="s">
        <v>2192</v>
      </c>
      <c r="E356" s="1691"/>
      <c r="F356" s="1692" t="s">
        <v>2196</v>
      </c>
      <c r="G356" s="1692" t="s">
        <v>18</v>
      </c>
      <c r="H356" s="1693">
        <v>50000000</v>
      </c>
      <c r="I356" s="1688" t="s">
        <v>423</v>
      </c>
      <c r="J356" s="1696" t="str">
        <f>[316]!Статус</f>
        <v>05.02.26_x000D_
888</v>
      </c>
      <c r="K356" s="1692" t="s">
        <v>2202</v>
      </c>
      <c r="L356" s="1694">
        <f>[316]!ТКП_Тематика</f>
        <v>0</v>
      </c>
      <c r="M356" s="1691"/>
      <c r="N356" s="1677"/>
      <c r="O356" s="1677"/>
      <c r="P356" s="1666">
        <f>[316]!Результат_число</f>
        <v>0</v>
      </c>
      <c r="Q356" s="1690"/>
      <c r="R356" s="1690"/>
      <c r="S356" s="1690"/>
      <c r="T356" s="1691"/>
      <c r="U356" s="1691"/>
      <c r="V356" s="1691"/>
      <c r="W356" s="1691"/>
      <c r="X356" s="1691"/>
      <c r="Y356" s="1691"/>
      <c r="Z356" s="1691"/>
    </row>
    <row r="357" spans="2:26" ht="84" hidden="1" x14ac:dyDescent="0.25">
      <c r="B357" s="1701">
        <f>ROW()-ROW($B$5)</f>
        <v>352</v>
      </c>
      <c r="C357" s="1714"/>
      <c r="D357" s="1713" t="s">
        <v>2204</v>
      </c>
      <c r="E357" s="1702"/>
      <c r="F357" s="1703" t="s">
        <v>2252</v>
      </c>
      <c r="G357" s="1703" t="s">
        <v>2205</v>
      </c>
      <c r="H357" s="1704"/>
      <c r="I357" s="1705" t="s">
        <v>1318</v>
      </c>
      <c r="J357" s="1769" t="str">
        <f>[317]!Статус</f>
        <v>23.07.26_x000D_
01.07.26 - направлены вопросы заказчику</v>
      </c>
      <c r="K357" s="1703" t="s">
        <v>2206</v>
      </c>
      <c r="L357" s="1706">
        <f>[317]!ТКП_Тематика</f>
        <v>0</v>
      </c>
      <c r="M357" s="1702"/>
      <c r="N357" s="1702"/>
      <c r="O357" s="1702"/>
      <c r="P357" s="1707">
        <f>[317]!Результат_число</f>
        <v>-1</v>
      </c>
      <c r="Q357" s="1701"/>
      <c r="R357" s="1701"/>
      <c r="S357" s="1701"/>
      <c r="T357" s="1702"/>
      <c r="U357" s="1702"/>
      <c r="V357" s="1702"/>
      <c r="W357" s="1702"/>
      <c r="X357" s="1702"/>
      <c r="Y357" s="1702"/>
      <c r="Z357" s="1702"/>
    </row>
    <row r="358" spans="2:26" ht="120" hidden="1" x14ac:dyDescent="0.25">
      <c r="B358" s="1714">
        <v>356</v>
      </c>
      <c r="C358" s="1714">
        <f>[318]!c_Control</f>
        <v>1</v>
      </c>
      <c r="D358" s="489" t="s">
        <v>2215</v>
      </c>
      <c r="E358" s="1715"/>
      <c r="F358" s="1716" t="s">
        <v>2229</v>
      </c>
      <c r="G358" s="1716" t="s">
        <v>4</v>
      </c>
      <c r="H358" s="1717" t="s">
        <v>49</v>
      </c>
      <c r="I358" s="1718"/>
      <c r="J358" s="1770" t="str">
        <f>[318]!Статус</f>
        <v>05.08.26_x000D_
В проработке РСС до 07.08.26_x000D_
(старые ТКП 037_25, 329_24, 048_23). Заказчмк просит повторить как можно быстрее</v>
      </c>
      <c r="K358" s="1716" t="s">
        <v>2269</v>
      </c>
      <c r="L358" s="1719" t="str">
        <f>[318]!ТКП_Тематика</f>
        <v>FR</v>
      </c>
      <c r="M358" s="1715"/>
      <c r="N358" s="1721">
        <v>1</v>
      </c>
      <c r="O358" s="1714"/>
      <c r="P358" s="1707">
        <f>[318]!Результат_число</f>
        <v>0</v>
      </c>
      <c r="Q358" s="1714"/>
      <c r="R358" s="1714"/>
      <c r="S358" s="1714"/>
      <c r="T358" s="1715"/>
      <c r="U358" s="1715"/>
      <c r="V358" s="1715"/>
      <c r="W358" s="1715"/>
      <c r="X358" s="1715"/>
      <c r="Y358" s="1715"/>
      <c r="Z358" s="1715"/>
    </row>
    <row r="359" spans="2:26" ht="135" x14ac:dyDescent="0.25">
      <c r="B359" s="1714">
        <f t="shared" ref="B359:B366" si="24">ROW()-ROW($B$5)</f>
        <v>354</v>
      </c>
      <c r="C359" s="1714">
        <v>1</v>
      </c>
      <c r="D359" s="1735" t="s">
        <v>2207</v>
      </c>
      <c r="E359" s="1715"/>
      <c r="F359" s="1716" t="s">
        <v>2212</v>
      </c>
      <c r="G359" s="1716" t="s">
        <v>20</v>
      </c>
      <c r="H359" s="1717" t="s">
        <v>49</v>
      </c>
      <c r="I359" s="1718" t="s">
        <v>423</v>
      </c>
      <c r="J359" s="1770" t="str">
        <f>[319]!Статус</f>
        <v>15.09.26_x000D_
Запрос на ТКП от 04.08.26_x000D_
02.09.2026 Организован выезд и сбор исходных данных, проект протокола направлен заказчику. Требуется внутренее совещание для определения порядка работы данным проектом (концепт проект и т.д.)</v>
      </c>
      <c r="K359" s="1716" t="s">
        <v>2208</v>
      </c>
      <c r="L359" s="1719" t="str">
        <f>[319]!ТКП_Тематика</f>
        <v>J</v>
      </c>
      <c r="M359" s="1715"/>
      <c r="N359" s="1715"/>
      <c r="O359" s="1715"/>
      <c r="P359" s="1721">
        <f>[319]!Результат_число</f>
        <v>1</v>
      </c>
      <c r="Q359" s="1714"/>
      <c r="R359" s="1714"/>
      <c r="S359" s="1714"/>
      <c r="T359" s="1715"/>
      <c r="U359" s="1715"/>
      <c r="V359" s="1715"/>
      <c r="W359" s="1715"/>
      <c r="X359" s="1715"/>
      <c r="Y359" s="1715"/>
      <c r="Z359" s="1715"/>
    </row>
    <row r="360" spans="2:26" ht="72" hidden="1" x14ac:dyDescent="0.25">
      <c r="B360" s="1701">
        <f t="shared" si="24"/>
        <v>355</v>
      </c>
      <c r="C360" s="1714"/>
      <c r="D360" s="1736" t="s">
        <v>2209</v>
      </c>
      <c r="E360" s="1702"/>
      <c r="F360" s="1703"/>
      <c r="G360" s="1703" t="s">
        <v>1949</v>
      </c>
      <c r="H360" s="1704">
        <v>0</v>
      </c>
      <c r="I360" s="1705"/>
      <c r="J360" s="1720" t="str">
        <f>[320]!Статус</f>
        <v>23.07.26_x000D_
нас запросили для альтернативки</v>
      </c>
      <c r="K360" s="1703" t="s">
        <v>2211</v>
      </c>
      <c r="L360" s="1706">
        <f>[320]!ТКП_Тематика</f>
        <v>0</v>
      </c>
      <c r="M360" s="1702"/>
      <c r="N360" s="1702"/>
      <c r="O360" s="1702"/>
      <c r="P360" s="1707">
        <f>[320]!Результат_число</f>
        <v>-1</v>
      </c>
      <c r="Q360" s="1701"/>
      <c r="R360" s="1701"/>
      <c r="S360" s="1701"/>
      <c r="T360" s="1702"/>
      <c r="U360" s="1702"/>
      <c r="V360" s="1702"/>
      <c r="W360" s="1702"/>
      <c r="X360" s="1702"/>
      <c r="Y360" s="1702"/>
      <c r="Z360" s="1702"/>
    </row>
    <row r="361" spans="2:26" ht="36" x14ac:dyDescent="0.25">
      <c r="B361" s="1729">
        <f t="shared" si="24"/>
        <v>356</v>
      </c>
      <c r="C361" s="1729">
        <f>[321]!c_Control</f>
        <v>0</v>
      </c>
      <c r="D361" s="489" t="s">
        <v>2218</v>
      </c>
      <c r="E361" s="1730"/>
      <c r="F361" s="1731" t="s">
        <v>2253</v>
      </c>
      <c r="G361" s="1731" t="s">
        <v>1281</v>
      </c>
      <c r="H361" s="1732" t="s">
        <v>49</v>
      </c>
      <c r="I361" s="1743" t="s">
        <v>1318</v>
      </c>
      <c r="J361" s="1814" t="str">
        <f>[321]!Статус</f>
        <v>05.02.26_x000D_
888</v>
      </c>
      <c r="K361" s="1744" t="s">
        <v>2219</v>
      </c>
      <c r="L361" s="1733">
        <f>[321]!ТКП_Тематика</f>
        <v>0</v>
      </c>
      <c r="M361" s="1730"/>
      <c r="N361" s="98"/>
      <c r="O361" s="98"/>
      <c r="P361" s="1734">
        <f>[321]!Результат_число</f>
        <v>1</v>
      </c>
      <c r="Q361" s="1729"/>
      <c r="R361" s="1729"/>
      <c r="S361" s="1729"/>
      <c r="T361" s="1730"/>
      <c r="U361" s="1730"/>
      <c r="V361" s="1730"/>
      <c r="W361" s="1730"/>
      <c r="X361" s="1730"/>
      <c r="Y361" s="1730"/>
      <c r="Z361" s="1730"/>
    </row>
    <row r="362" spans="2:26" ht="45" x14ac:dyDescent="0.25">
      <c r="B362" s="1737">
        <f t="shared" si="24"/>
        <v>357</v>
      </c>
      <c r="C362" s="1737">
        <v>0</v>
      </c>
      <c r="D362" s="1864" t="s">
        <v>2220</v>
      </c>
      <c r="E362" s="1738"/>
      <c r="F362" s="1739" t="s">
        <v>2227</v>
      </c>
      <c r="G362" s="1739" t="s">
        <v>2221</v>
      </c>
      <c r="H362" s="1740" t="s">
        <v>49</v>
      </c>
      <c r="I362" s="1743" t="s">
        <v>1318</v>
      </c>
      <c r="J362" s="1770" t="str">
        <f>[322]!Статус</f>
        <v>15.09.26_x000D_
Делаем ТКП до 21.09.26 (ориентировочно 20-22 млн)</v>
      </c>
      <c r="K362" s="1745" t="s">
        <v>2222</v>
      </c>
      <c r="L362" s="1741">
        <f>[322]!ТКП_Тематика</f>
        <v>0</v>
      </c>
      <c r="M362" s="1738"/>
      <c r="N362" s="98"/>
      <c r="O362" s="98"/>
      <c r="P362" s="1742">
        <f>[322]!Результат_число</f>
        <v>1</v>
      </c>
      <c r="Q362" s="1737"/>
      <c r="R362" s="1737"/>
      <c r="S362" s="1737"/>
      <c r="T362" s="1738"/>
      <c r="U362" s="1738"/>
      <c r="V362" s="1738"/>
      <c r="W362" s="1738"/>
      <c r="X362" s="1738"/>
      <c r="Y362" s="1738"/>
      <c r="Z362" s="1738"/>
    </row>
    <row r="363" spans="2:26" ht="96" x14ac:dyDescent="0.25">
      <c r="B363" s="1729">
        <f t="shared" si="24"/>
        <v>358</v>
      </c>
      <c r="C363" s="1729">
        <f>[323]!c_Control</f>
        <v>1</v>
      </c>
      <c r="D363" s="1761" t="s">
        <v>2223</v>
      </c>
      <c r="E363" s="1730"/>
      <c r="F363" s="1731" t="s">
        <v>2228</v>
      </c>
      <c r="G363" s="1731" t="s">
        <v>78</v>
      </c>
      <c r="H363" s="1732">
        <v>6173122</v>
      </c>
      <c r="I363" s="1743" t="s">
        <v>88</v>
      </c>
      <c r="J363" s="1770" t="str">
        <f>[323]!Статус</f>
        <v>10.08.26_x000D_
10/08/26 - заказчику отправлен состав без денег для согласования</v>
      </c>
      <c r="K363" s="1744" t="s">
        <v>2239</v>
      </c>
      <c r="L363" s="1733" t="str">
        <f>[323]!ТКП_Тематика</f>
        <v>O</v>
      </c>
      <c r="M363" s="1730"/>
      <c r="N363" s="98"/>
      <c r="O363" s="98"/>
      <c r="P363" s="1734">
        <f>[323]!Результат_число</f>
        <v>1</v>
      </c>
      <c r="Q363" s="1729"/>
      <c r="R363" s="1729"/>
      <c r="S363" s="1729"/>
      <c r="T363" s="1730"/>
      <c r="U363" s="1730"/>
      <c r="V363" s="1730"/>
      <c r="W363" s="1730"/>
      <c r="X363" s="1730"/>
      <c r="Y363" s="1730"/>
      <c r="Z363" s="1730"/>
    </row>
    <row r="364" spans="2:26" ht="48" hidden="1" x14ac:dyDescent="0.25">
      <c r="B364" s="1754">
        <f t="shared" si="24"/>
        <v>359</v>
      </c>
      <c r="C364" s="1754">
        <v>0</v>
      </c>
      <c r="D364" s="1762" t="s">
        <v>2230</v>
      </c>
      <c r="E364" s="1756"/>
      <c r="F364" s="1757"/>
      <c r="G364" s="1757" t="s">
        <v>2231</v>
      </c>
      <c r="H364" s="1758" t="s">
        <v>49</v>
      </c>
      <c r="I364" s="1759"/>
      <c r="J364" s="1755" t="str">
        <f>[324]!Статус</f>
        <v>08.07.26_x000D_
см. Nrg 231_26</v>
      </c>
      <c r="K364" s="1757" t="s">
        <v>2232</v>
      </c>
      <c r="L364" s="1760">
        <f>[324]!ТКП_Тематика</f>
        <v>0</v>
      </c>
      <c r="M364" s="1756"/>
      <c r="N364" s="98"/>
      <c r="O364" s="98"/>
      <c r="P364" s="1754">
        <f>[324]!Результат_число</f>
        <v>-1</v>
      </c>
      <c r="Q364" s="1754"/>
      <c r="R364" s="1754"/>
      <c r="S364" s="1754"/>
      <c r="T364" s="1756"/>
      <c r="U364" s="1756"/>
      <c r="V364" s="1756"/>
      <c r="W364" s="1756"/>
      <c r="X364" s="1756"/>
      <c r="Y364" s="1756"/>
      <c r="Z364" s="1756"/>
    </row>
    <row r="365" spans="2:26" ht="132" x14ac:dyDescent="0.25">
      <c r="B365" s="1763">
        <f t="shared" si="24"/>
        <v>360</v>
      </c>
      <c r="C365" s="1763">
        <f>[325]!c_Control</f>
        <v>1</v>
      </c>
      <c r="D365" s="1867" t="s">
        <v>2233</v>
      </c>
      <c r="E365" s="1764"/>
      <c r="F365" s="1765" t="s">
        <v>71</v>
      </c>
      <c r="G365" s="1765" t="s">
        <v>2234</v>
      </c>
      <c r="H365" s="1766" t="s">
        <v>49</v>
      </c>
      <c r="I365" s="1767" t="s">
        <v>65</v>
      </c>
      <c r="J365" s="1815" t="str">
        <f>[326]!Статус</f>
        <v>16.09.26_x000D_
Проработка до 25.09.26</v>
      </c>
      <c r="K365" s="1765" t="s">
        <v>2290</v>
      </c>
      <c r="L365" s="1768">
        <f>[325]!ТКП_Тематика</f>
        <v>0</v>
      </c>
      <c r="M365" s="1764"/>
      <c r="N365" s="98"/>
      <c r="O365" s="98"/>
      <c r="P365" s="1772">
        <f>[325]!Результат_число</f>
        <v>1</v>
      </c>
      <c r="Q365" s="1763"/>
      <c r="R365" s="1763"/>
      <c r="S365" s="1763"/>
      <c r="T365" s="1764"/>
      <c r="U365" s="1764"/>
      <c r="V365" s="1764"/>
      <c r="W365" s="1764"/>
      <c r="X365" s="1764"/>
      <c r="Y365" s="1764"/>
      <c r="Z365" s="1764"/>
    </row>
    <row r="366" spans="2:26" ht="96" hidden="1" x14ac:dyDescent="0.25">
      <c r="B366" s="1747">
        <f t="shared" si="24"/>
        <v>361</v>
      </c>
      <c r="C366" s="1747">
        <f>[327]!c_Control</f>
        <v>1</v>
      </c>
      <c r="D366" s="1762" t="s">
        <v>2236</v>
      </c>
      <c r="E366" s="1748"/>
      <c r="F366" s="1749" t="s">
        <v>2237</v>
      </c>
      <c r="G366" s="1749" t="s">
        <v>2235</v>
      </c>
      <c r="H366" s="1750" t="s">
        <v>49</v>
      </c>
      <c r="I366" s="1751"/>
      <c r="J366" s="1771" t="str">
        <f>[327]!Статус</f>
        <v>10.08.26_x000D_
в каталоге лежитт ТЗ от НИКИЭТ. Ошибка?</v>
      </c>
      <c r="K366" s="1749" t="s">
        <v>2247</v>
      </c>
      <c r="L366" s="1752">
        <f>[327]!ТКП_Тематика</f>
        <v>0</v>
      </c>
      <c r="M366" s="1748"/>
      <c r="N366" s="98"/>
      <c r="O366" s="98"/>
      <c r="P366" s="1753">
        <v>-1</v>
      </c>
      <c r="Q366" s="1747"/>
      <c r="R366" s="1747"/>
      <c r="S366" s="1747"/>
      <c r="T366" s="1748"/>
      <c r="U366" s="1748"/>
      <c r="V366" s="1748"/>
      <c r="W366" s="1748"/>
      <c r="X366" s="1748"/>
      <c r="Y366" s="1748"/>
      <c r="Z366" s="1748"/>
    </row>
    <row r="367" spans="2:26" ht="84" x14ac:dyDescent="0.25">
      <c r="B367" s="1777">
        <f t="shared" ref="B367:B375" si="25">ROW()-ROW($B$5)</f>
        <v>362</v>
      </c>
      <c r="C367" s="1777">
        <f>[328]!c_Control</f>
        <v>1</v>
      </c>
      <c r="D367" s="1816" t="s">
        <v>2240</v>
      </c>
      <c r="E367" s="1778"/>
      <c r="F367" s="1779" t="s">
        <v>2251</v>
      </c>
      <c r="G367" s="1779" t="s">
        <v>4</v>
      </c>
      <c r="H367" s="1780" t="s">
        <v>49</v>
      </c>
      <c r="I367" s="1781" t="s">
        <v>54</v>
      </c>
      <c r="J367" s="1782" t="str">
        <f>[328]!Статус</f>
        <v>16.09.26_x000D_
отправлено?</v>
      </c>
      <c r="K367" s="1779" t="s">
        <v>2248</v>
      </c>
      <c r="L367" s="1783">
        <f>[328]!ТКП_Тематика</f>
        <v>0</v>
      </c>
      <c r="M367" s="1778"/>
      <c r="N367" s="98"/>
      <c r="O367" s="98"/>
      <c r="P367" s="1784">
        <f>[328]!Результат_число</f>
        <v>1</v>
      </c>
      <c r="Q367" s="1777"/>
      <c r="R367" s="1777"/>
      <c r="S367" s="1777"/>
      <c r="T367" s="1778"/>
      <c r="U367" s="1778"/>
      <c r="V367" s="1778"/>
      <c r="W367" s="1778"/>
      <c r="X367" s="1778"/>
      <c r="Y367" s="1778"/>
      <c r="Z367" s="1778"/>
    </row>
    <row r="368" spans="2:26" ht="150" x14ac:dyDescent="0.25">
      <c r="B368" s="1806">
        <f t="shared" si="25"/>
        <v>363</v>
      </c>
      <c r="C368" s="1806">
        <f>[329]!c_Control</f>
        <v>1</v>
      </c>
      <c r="D368" s="1817" t="s">
        <v>2241</v>
      </c>
      <c r="E368" s="1807"/>
      <c r="F368" s="1808" t="s">
        <v>2250</v>
      </c>
      <c r="G368" s="1808" t="s">
        <v>20</v>
      </c>
      <c r="H368" s="1809" t="s">
        <v>49</v>
      </c>
      <c r="I368" s="1810" t="s">
        <v>423</v>
      </c>
      <c r="J368" s="1813" t="str">
        <f>[329]!Статус</f>
        <v>04.09.26_x000D_
Встреча с заказчиком от 02.09.26 (Коленько, Потолочин МП, Потолочин ИМ). Согласно протоколу требуется от заказчика - доработка ТЗ;_x000D_
большой обьем исходных данных;_x000D_
проработка согласно ТКП на проект или концепт проект;(старт после подписания протокола)</v>
      </c>
      <c r="K368" s="1808" t="s">
        <v>2249</v>
      </c>
      <c r="L368" s="1811">
        <f>[329]!ТКП_Тематика</f>
        <v>0</v>
      </c>
      <c r="M368" s="1807"/>
      <c r="N368" s="98"/>
      <c r="O368" s="98"/>
      <c r="P368" s="1812">
        <f>[329]!Результат_число</f>
        <v>1</v>
      </c>
      <c r="Q368" s="1806"/>
      <c r="R368" s="1806"/>
      <c r="S368" s="1806"/>
      <c r="T368" s="1807"/>
      <c r="U368" s="1807"/>
      <c r="V368" s="1807"/>
      <c r="W368" s="1807"/>
      <c r="X368" s="1807"/>
      <c r="Y368" s="1807"/>
      <c r="Z368" s="1807"/>
    </row>
    <row r="369" spans="1:26" ht="36" hidden="1" x14ac:dyDescent="0.25">
      <c r="B369" s="1818">
        <f t="shared" si="25"/>
        <v>364</v>
      </c>
      <c r="C369" s="1818">
        <f>[330]!c_Control</f>
        <v>0</v>
      </c>
      <c r="D369" s="1819" t="s">
        <v>2259</v>
      </c>
      <c r="E369" s="1820"/>
      <c r="F369" s="1821" t="s">
        <v>2257</v>
      </c>
      <c r="G369" s="1821" t="s">
        <v>2254</v>
      </c>
      <c r="H369" s="1822"/>
      <c r="I369" s="1823" t="s">
        <v>92</v>
      </c>
      <c r="J369" s="1831" t="str">
        <f>[330]!Статус</f>
        <v xml:space="preserve">01.09.26_x000D_
В ТЗ вписан срок 6 </v>
      </c>
      <c r="K369" s="1821" t="s">
        <v>2255</v>
      </c>
      <c r="L369" s="1824">
        <f>[330]!ТКП_Тематика</f>
        <v>0</v>
      </c>
      <c r="M369" s="1820"/>
      <c r="N369" s="98"/>
      <c r="O369" s="98"/>
      <c r="P369" s="1806">
        <f>[330]!Результат_число</f>
        <v>0</v>
      </c>
      <c r="Q369" s="1818"/>
      <c r="R369" s="1818"/>
      <c r="S369" s="1818"/>
      <c r="T369" s="1820"/>
      <c r="U369" s="1820"/>
      <c r="V369" s="1820"/>
      <c r="W369" s="1820"/>
      <c r="X369" s="1820"/>
      <c r="Y369" s="1820"/>
      <c r="Z369" s="1820"/>
    </row>
    <row r="370" spans="1:26" ht="15" hidden="1" x14ac:dyDescent="0.25">
      <c r="B370" s="1806">
        <v>366</v>
      </c>
      <c r="C370" s="1806">
        <v>0</v>
      </c>
      <c r="D370" s="1832"/>
      <c r="E370" s="1826"/>
      <c r="F370" s="1827" t="s">
        <v>545</v>
      </c>
      <c r="G370" s="1827"/>
      <c r="H370" s="1828">
        <v>350000000</v>
      </c>
      <c r="I370" s="1829" t="s">
        <v>92</v>
      </c>
      <c r="J370" s="1833"/>
      <c r="K370" s="1827"/>
      <c r="L370" s="1830">
        <v>0</v>
      </c>
      <c r="M370" s="1826"/>
      <c r="N370" s="1825">
        <v>1</v>
      </c>
      <c r="O370" s="1825"/>
      <c r="P370" s="1825"/>
      <c r="Q370" s="1825"/>
      <c r="R370" s="1825"/>
      <c r="S370" s="1825"/>
      <c r="T370" s="1826"/>
      <c r="U370" s="1826"/>
      <c r="V370" s="1826"/>
      <c r="W370" s="1826"/>
      <c r="X370" s="1826"/>
      <c r="Y370" s="1826"/>
      <c r="Z370" s="1826"/>
    </row>
    <row r="371" spans="1:26" ht="48" x14ac:dyDescent="0.25">
      <c r="B371" s="1806">
        <f t="shared" si="25"/>
        <v>366</v>
      </c>
      <c r="C371" s="1806">
        <f>[331]!c_Control</f>
        <v>0</v>
      </c>
      <c r="D371" s="1887" t="s">
        <v>2260</v>
      </c>
      <c r="E371" s="1826"/>
      <c r="F371" s="1827" t="s">
        <v>2267</v>
      </c>
      <c r="G371" s="1827" t="s">
        <v>1557</v>
      </c>
      <c r="H371" s="1828">
        <v>150000000</v>
      </c>
      <c r="I371" s="1829" t="s">
        <v>2266</v>
      </c>
      <c r="J371" s="1889" t="str">
        <f>[331]!Статус</f>
        <v>16.09.26_x000D_
Проработка до 18.09.26</v>
      </c>
      <c r="K371" s="1827" t="s">
        <v>2292</v>
      </c>
      <c r="L371" s="1830" t="str">
        <f>[331]!ТКП_Тематика</f>
        <v>FI</v>
      </c>
      <c r="M371" s="1826"/>
      <c r="N371" s="98"/>
      <c r="O371" s="98"/>
      <c r="P371" s="1825">
        <f>[331]!Результат_число</f>
        <v>1</v>
      </c>
      <c r="Q371" s="1825"/>
      <c r="R371" s="1825"/>
      <c r="S371" s="1825"/>
      <c r="T371" s="1826"/>
      <c r="U371" s="1826"/>
      <c r="V371" s="1826"/>
      <c r="W371" s="1826"/>
      <c r="X371" s="1826"/>
      <c r="Y371" s="1826"/>
      <c r="Z371" s="1826"/>
    </row>
    <row r="372" spans="1:26" ht="48" x14ac:dyDescent="0.25">
      <c r="B372" s="1806">
        <f t="shared" si="25"/>
        <v>367</v>
      </c>
      <c r="C372" s="1806">
        <f>[332]!c_Control</f>
        <v>0</v>
      </c>
      <c r="D372" s="489" t="s">
        <v>2261</v>
      </c>
      <c r="E372" s="1826"/>
      <c r="F372" s="1827" t="s">
        <v>2263</v>
      </c>
      <c r="G372" s="1827" t="s">
        <v>2262</v>
      </c>
      <c r="H372" s="1828" t="s">
        <v>49</v>
      </c>
      <c r="I372" s="1829" t="s">
        <v>1318</v>
      </c>
      <c r="J372" s="1833" t="str">
        <f>[332]!Статус</f>
        <v>15.09.26_x000D_
Подготовлена схема. Требуется оформление ТКП</v>
      </c>
      <c r="K372" s="1827" t="s">
        <v>2280</v>
      </c>
      <c r="L372" s="1830">
        <f>[332]!ТКП_Тематика</f>
        <v>0</v>
      </c>
      <c r="M372" s="1826"/>
      <c r="N372" s="98"/>
      <c r="O372" s="98"/>
      <c r="P372" s="1825">
        <f>[332]!Результат_число</f>
        <v>1</v>
      </c>
      <c r="Q372" s="1825"/>
      <c r="R372" s="1825"/>
      <c r="S372" s="1825"/>
      <c r="T372" s="1826"/>
      <c r="U372" s="1826"/>
      <c r="V372" s="1826"/>
      <c r="W372" s="1826"/>
      <c r="X372" s="1826"/>
      <c r="Y372" s="1826"/>
      <c r="Z372" s="1826"/>
    </row>
    <row r="373" spans="1:26" ht="48" x14ac:dyDescent="0.25">
      <c r="B373" s="1806">
        <f t="shared" si="25"/>
        <v>368</v>
      </c>
      <c r="C373" s="1806">
        <f>[333]!c_Control</f>
        <v>0</v>
      </c>
      <c r="D373" s="1832" t="s">
        <v>2265</v>
      </c>
      <c r="E373" s="1826"/>
      <c r="F373" s="1827" t="s">
        <v>2264</v>
      </c>
      <c r="G373" s="1827" t="s">
        <v>1760</v>
      </c>
      <c r="H373" s="1828" t="s">
        <v>49</v>
      </c>
      <c r="I373" s="1829" t="s">
        <v>1329</v>
      </c>
      <c r="J373" s="1833" t="str">
        <f>[333]!Статус</f>
        <v>15.09.26_x000D_
Проработка до 18.09.26 (Грязнев)</v>
      </c>
      <c r="K373" s="1827" t="s">
        <v>2289</v>
      </c>
      <c r="L373" s="1830">
        <f>[333]!ТКП_Тематика</f>
        <v>0</v>
      </c>
      <c r="M373" s="1826"/>
      <c r="N373" s="98"/>
      <c r="O373" s="98"/>
      <c r="P373" s="1825">
        <f>[333]!Результат_число</f>
        <v>1</v>
      </c>
      <c r="Q373" s="1825"/>
      <c r="R373" s="1825"/>
      <c r="S373" s="1825"/>
      <c r="T373" s="1826"/>
      <c r="U373" s="1826"/>
      <c r="V373" s="1826"/>
      <c r="W373" s="1826"/>
      <c r="X373" s="1826"/>
      <c r="Y373" s="1826"/>
      <c r="Z373" s="1826"/>
    </row>
    <row r="374" spans="1:26" ht="60" x14ac:dyDescent="0.25">
      <c r="B374" s="1825">
        <f t="shared" si="25"/>
        <v>369</v>
      </c>
      <c r="C374" s="1825">
        <f>[334]!c_Control</f>
        <v>1</v>
      </c>
      <c r="D374" s="1865" t="s">
        <v>2256</v>
      </c>
      <c r="E374" s="1826"/>
      <c r="F374" s="1827" t="s">
        <v>2258</v>
      </c>
      <c r="G374" s="1827" t="s">
        <v>1843</v>
      </c>
      <c r="H374" s="1828" t="s">
        <v>49</v>
      </c>
      <c r="I374" s="1829" t="s">
        <v>65</v>
      </c>
      <c r="J374" s="1834" t="str">
        <f>[334]!Статус</f>
        <v>15.09.26_x000D_
отправлено?</v>
      </c>
      <c r="K374" s="1827" t="s">
        <v>2277</v>
      </c>
      <c r="L374" s="1830" t="str">
        <f>[334]!ТКП_Тематика</f>
        <v>L</v>
      </c>
      <c r="M374" s="1826"/>
      <c r="N374" s="98"/>
      <c r="O374" s="98"/>
      <c r="P374" s="1806">
        <f>[334]!Результат_число</f>
        <v>1</v>
      </c>
      <c r="Q374" s="1825"/>
      <c r="R374" s="1825"/>
      <c r="S374" s="1825"/>
      <c r="T374" s="1826"/>
      <c r="U374" s="1826"/>
      <c r="V374" s="1826"/>
      <c r="W374" s="1826"/>
      <c r="X374" s="1826"/>
      <c r="Y374" s="1826"/>
      <c r="Z374" s="1826"/>
    </row>
    <row r="375" spans="1:26" ht="90" x14ac:dyDescent="0.25">
      <c r="B375" s="1825">
        <f t="shared" si="25"/>
        <v>370</v>
      </c>
      <c r="C375" s="1843">
        <f>[335]!c_Control</f>
        <v>1</v>
      </c>
      <c r="D375" s="1887" t="s">
        <v>2270</v>
      </c>
      <c r="E375" s="1844"/>
      <c r="F375" s="1845" t="s">
        <v>2271</v>
      </c>
      <c r="G375" s="1845" t="s">
        <v>2272</v>
      </c>
      <c r="H375" s="1846"/>
      <c r="I375" s="1847" t="s">
        <v>2273</v>
      </c>
      <c r="J375" s="1888" t="str">
        <f>[335]!Статус</f>
        <v>15.09.26_x000D_
Вопросы направлены заказчику 08.09.2026, по результатам звонка 15.09.2026 вопросы переданы техническим специалистам в работу. Ожидаем ответ</v>
      </c>
      <c r="K375" s="1845" t="s">
        <v>2284</v>
      </c>
      <c r="L375" s="1848">
        <f>[335]!ТКП_Тематика</f>
        <v>0</v>
      </c>
      <c r="M375" s="1844"/>
      <c r="N375" s="98"/>
      <c r="O375" s="98"/>
      <c r="P375" s="1843">
        <f>[335]!Результат_число</f>
        <v>1</v>
      </c>
      <c r="Q375" s="1843"/>
      <c r="R375" s="1843"/>
      <c r="S375" s="1843"/>
      <c r="T375" s="1844"/>
      <c r="U375" s="1844"/>
      <c r="V375" s="1844"/>
      <c r="W375" s="1844"/>
      <c r="X375" s="1844"/>
      <c r="Y375" s="1844"/>
      <c r="Z375" s="1844"/>
    </row>
    <row r="376" spans="1:26" ht="36" hidden="1" x14ac:dyDescent="0.25">
      <c r="B376" s="1835">
        <f t="shared" ref="B376:B385" si="26">ROW()-ROW($B$5)</f>
        <v>371</v>
      </c>
      <c r="C376" s="1835"/>
      <c r="D376" s="1841" t="s">
        <v>2259</v>
      </c>
      <c r="E376" s="1836"/>
      <c r="F376" s="1837" t="s">
        <v>2257</v>
      </c>
      <c r="G376" s="1837" t="s">
        <v>2254</v>
      </c>
      <c r="H376" s="1838"/>
      <c r="I376" s="1839" t="s">
        <v>92</v>
      </c>
      <c r="J376" s="1842"/>
      <c r="K376" s="1837" t="s">
        <v>2268</v>
      </c>
      <c r="L376" s="1840"/>
      <c r="M376" s="1836"/>
      <c r="N376" s="98"/>
      <c r="O376" s="98"/>
      <c r="P376" s="1835"/>
      <c r="Q376" s="1835"/>
      <c r="R376" s="1835"/>
      <c r="S376" s="1835"/>
      <c r="T376" s="1836"/>
      <c r="U376" s="1836"/>
      <c r="V376" s="1836"/>
      <c r="W376" s="1836"/>
      <c r="X376" s="1836"/>
      <c r="Y376" s="1836"/>
      <c r="Z376" s="1836"/>
    </row>
    <row r="377" spans="1:26" ht="60" hidden="1" x14ac:dyDescent="0.25">
      <c r="B377" s="1849">
        <f t="shared" si="26"/>
        <v>372</v>
      </c>
      <c r="C377" s="1849"/>
      <c r="D377" s="1856" t="s">
        <v>2275</v>
      </c>
      <c r="E377" s="1850"/>
      <c r="F377" s="1851"/>
      <c r="G377" s="1851" t="s">
        <v>2254</v>
      </c>
      <c r="H377" s="1852"/>
      <c r="I377" s="1853"/>
      <c r="J377" s="1854"/>
      <c r="K377" s="1851" t="s">
        <v>2276</v>
      </c>
      <c r="L377" s="1855"/>
      <c r="M377" s="1850"/>
      <c r="N377" s="98"/>
      <c r="O377" s="98"/>
      <c r="P377" s="1849"/>
      <c r="Q377" s="1849"/>
      <c r="R377" s="1849"/>
      <c r="S377" s="1849"/>
      <c r="T377" s="1850"/>
      <c r="U377" s="1850"/>
      <c r="V377" s="1850"/>
      <c r="W377" s="1850"/>
      <c r="X377" s="1850"/>
      <c r="Y377" s="1850"/>
      <c r="Z377" s="1850"/>
    </row>
    <row r="378" spans="1:26" ht="48" hidden="1" x14ac:dyDescent="0.25">
      <c r="B378" s="1857">
        <f t="shared" si="26"/>
        <v>373</v>
      </c>
      <c r="C378" s="1857"/>
      <c r="D378" s="1866" t="s">
        <v>2278</v>
      </c>
      <c r="E378" s="1858"/>
      <c r="F378" s="1859"/>
      <c r="G378" s="1859" t="s">
        <v>2279</v>
      </c>
      <c r="H378" s="1860">
        <v>1135414</v>
      </c>
      <c r="I378" s="1861"/>
      <c r="J378" s="1862"/>
      <c r="K378" s="1859" t="s">
        <v>2291</v>
      </c>
      <c r="L378" s="1863"/>
      <c r="M378" s="1858"/>
      <c r="N378" s="98"/>
      <c r="O378" s="98"/>
      <c r="P378" s="1857"/>
      <c r="Q378" s="1857"/>
      <c r="R378" s="1857"/>
      <c r="S378" s="1857"/>
      <c r="T378" s="1858"/>
      <c r="U378" s="1858"/>
      <c r="V378" s="1858"/>
      <c r="W378" s="1858"/>
      <c r="X378" s="1858"/>
      <c r="Y378" s="1858"/>
      <c r="Z378" s="1858"/>
    </row>
    <row r="379" spans="1:26" ht="36" hidden="1" x14ac:dyDescent="0.25">
      <c r="B379" s="1849">
        <f t="shared" si="26"/>
        <v>374</v>
      </c>
      <c r="C379" s="1849"/>
      <c r="D379" s="1868" t="s">
        <v>2281</v>
      </c>
      <c r="E379" s="1850"/>
      <c r="F379" s="1851"/>
      <c r="G379" s="1851" t="s">
        <v>2282</v>
      </c>
      <c r="H379" s="1852" t="s">
        <v>49</v>
      </c>
      <c r="I379" s="1853"/>
      <c r="J379" s="1854"/>
      <c r="K379" s="1851" t="s">
        <v>2283</v>
      </c>
      <c r="L379" s="1855"/>
      <c r="M379" s="1850"/>
      <c r="N379" s="98"/>
      <c r="O379" s="98"/>
      <c r="P379" s="1849"/>
      <c r="Q379" s="1849"/>
      <c r="R379" s="1849"/>
      <c r="S379" s="1849"/>
      <c r="T379" s="1850"/>
      <c r="U379" s="1850"/>
      <c r="V379" s="1850"/>
      <c r="W379" s="1850"/>
      <c r="X379" s="1850"/>
      <c r="Y379" s="1850"/>
      <c r="Z379" s="1850"/>
    </row>
    <row r="380" spans="1:26" ht="108" hidden="1" x14ac:dyDescent="0.25">
      <c r="B380" s="1857">
        <f t="shared" si="26"/>
        <v>375</v>
      </c>
      <c r="C380" s="1857"/>
      <c r="D380" s="1866" t="s">
        <v>2285</v>
      </c>
      <c r="E380" s="1858"/>
      <c r="F380" s="1859"/>
      <c r="G380" s="1859" t="s">
        <v>2286</v>
      </c>
      <c r="H380" s="1860">
        <v>20000000</v>
      </c>
      <c r="I380" s="1861"/>
      <c r="J380" s="1862"/>
      <c r="K380" s="1859" t="s">
        <v>2287</v>
      </c>
      <c r="L380" s="1863"/>
      <c r="M380" s="1858"/>
      <c r="N380" s="98"/>
      <c r="O380" s="98"/>
      <c r="P380" s="1857"/>
      <c r="Q380" s="1857"/>
      <c r="R380" s="1857"/>
      <c r="S380" s="1857"/>
      <c r="T380" s="1858"/>
      <c r="U380" s="1858"/>
      <c r="V380" s="1858"/>
      <c r="W380" s="1858"/>
      <c r="X380" s="1858"/>
      <c r="Y380" s="1858"/>
      <c r="Z380" s="1858"/>
    </row>
    <row r="381" spans="1:26" s="1886" customFormat="1" ht="45" x14ac:dyDescent="0.25">
      <c r="A381" s="1869"/>
      <c r="B381" s="1878">
        <f>ROW()-ROW($B$5)</f>
        <v>376</v>
      </c>
      <c r="C381" s="1878">
        <f>[336]!c_Control</f>
        <v>1</v>
      </c>
      <c r="D381" s="1879" t="s">
        <v>2305</v>
      </c>
      <c r="E381" s="1880"/>
      <c r="F381" s="1881" t="s">
        <v>2023</v>
      </c>
      <c r="G381" s="1881" t="s">
        <v>8</v>
      </c>
      <c r="H381" s="1882"/>
      <c r="I381" s="1883"/>
      <c r="J381" s="1884" t="str">
        <f>[336]!Статус</f>
        <v>16.09.26_x000D_
Схема подготовлена, требуется оформление ТКП</v>
      </c>
      <c r="K381" s="1881"/>
      <c r="L381" s="1885">
        <f>[336]!ТКП_Тематика</f>
        <v>0</v>
      </c>
      <c r="M381" s="1880"/>
      <c r="N381" s="98"/>
      <c r="O381" s="98"/>
      <c r="P381" s="1878">
        <f>[336]!Результат_число</f>
        <v>1</v>
      </c>
      <c r="Q381" s="1878"/>
      <c r="R381" s="1878"/>
      <c r="S381" s="1878"/>
      <c r="T381" s="1880"/>
      <c r="U381" s="1880"/>
      <c r="V381" s="1880"/>
      <c r="W381" s="1880"/>
      <c r="X381" s="1880"/>
      <c r="Y381" s="1880"/>
      <c r="Z381" s="1880"/>
    </row>
    <row r="382" spans="1:26" s="1886" customFormat="1" ht="15" x14ac:dyDescent="0.25">
      <c r="A382" s="1869"/>
      <c r="B382" s="1878"/>
      <c r="C382" s="1878"/>
      <c r="D382" s="1879"/>
      <c r="E382" s="1880"/>
      <c r="F382" s="1881"/>
      <c r="G382" s="1881"/>
      <c r="H382" s="1882"/>
      <c r="I382" s="1883"/>
      <c r="J382" s="1879"/>
      <c r="K382" s="1881"/>
      <c r="L382" s="1885"/>
      <c r="M382" s="1880"/>
      <c r="N382" s="98"/>
      <c r="O382" s="98"/>
      <c r="P382" s="1878"/>
      <c r="Q382" s="1878"/>
      <c r="R382" s="1878"/>
      <c r="S382" s="1878"/>
      <c r="T382" s="1880"/>
      <c r="U382" s="1880"/>
      <c r="V382" s="1880"/>
      <c r="W382" s="1880"/>
      <c r="X382" s="1880"/>
      <c r="Y382" s="1880"/>
      <c r="Z382" s="1880"/>
    </row>
    <row r="383" spans="1:26" s="1886" customFormat="1" ht="48.75" customHeight="1" x14ac:dyDescent="0.25">
      <c r="A383" s="1869"/>
      <c r="B383" s="1870">
        <f t="shared" si="26"/>
        <v>378</v>
      </c>
      <c r="C383" s="1870">
        <f>[337]!c_Control</f>
        <v>0</v>
      </c>
      <c r="D383" s="1871" t="s">
        <v>2294</v>
      </c>
      <c r="E383" s="1872"/>
      <c r="F383" s="1873" t="s">
        <v>2302</v>
      </c>
      <c r="G383" s="1873" t="s">
        <v>205</v>
      </c>
      <c r="H383" s="1874"/>
      <c r="I383" s="1875" t="s">
        <v>39</v>
      </c>
      <c r="J383" s="1876" t="str">
        <f>[337]!Статус</f>
        <v>16.09.26_x000D_
Проработана, требуется подготовка/согласование ТКП</v>
      </c>
      <c r="K383" s="1873" t="s">
        <v>2295</v>
      </c>
      <c r="L383" s="1877">
        <f>[337]!ТКП_Тематика</f>
        <v>0</v>
      </c>
      <c r="M383" s="1872"/>
      <c r="N383" s="98"/>
      <c r="O383" s="98"/>
      <c r="P383" s="1870">
        <f>[337]!Результат_число</f>
        <v>1</v>
      </c>
      <c r="Q383" s="1870"/>
      <c r="R383" s="1870"/>
      <c r="S383" s="1870"/>
      <c r="T383" s="1872"/>
      <c r="U383" s="1872"/>
      <c r="V383" s="1872"/>
      <c r="W383" s="1872"/>
      <c r="X383" s="1872"/>
      <c r="Y383" s="1872"/>
      <c r="Z383" s="1872"/>
    </row>
    <row r="384" spans="1:26" s="1886" customFormat="1" ht="30" x14ac:dyDescent="0.25">
      <c r="A384" s="1869"/>
      <c r="B384" s="1878">
        <f t="shared" si="26"/>
        <v>379</v>
      </c>
      <c r="C384" s="1878">
        <f>[338]!c_Control</f>
        <v>0</v>
      </c>
      <c r="D384" s="1879" t="s">
        <v>2296</v>
      </c>
      <c r="E384" s="1880"/>
      <c r="F384" s="1881" t="s">
        <v>2303</v>
      </c>
      <c r="G384" s="1881" t="s">
        <v>2297</v>
      </c>
      <c r="H384" s="1882"/>
      <c r="I384" s="1883" t="s">
        <v>423</v>
      </c>
      <c r="J384" s="1884" t="str">
        <f>[338]!Статус</f>
        <v>15.09.26_x000D_
Список вопросов до 19.09.26</v>
      </c>
      <c r="K384" s="1881" t="s">
        <v>2298</v>
      </c>
      <c r="L384" s="1885">
        <f>[338]!ТКП_Тематика</f>
        <v>0</v>
      </c>
      <c r="M384" s="1880"/>
      <c r="N384" s="98"/>
      <c r="O384" s="98"/>
      <c r="P384" s="1878">
        <f>[338]!Результат_число</f>
        <v>1</v>
      </c>
      <c r="Q384" s="1878"/>
      <c r="R384" s="1878"/>
      <c r="S384" s="1878"/>
      <c r="T384" s="1880"/>
      <c r="U384" s="1880"/>
      <c r="V384" s="1880"/>
      <c r="W384" s="1880"/>
      <c r="X384" s="1880"/>
      <c r="Y384" s="1880"/>
      <c r="Z384" s="1880"/>
    </row>
    <row r="385" spans="1:26" s="1886" customFormat="1" ht="30" x14ac:dyDescent="0.25">
      <c r="A385" s="1869"/>
      <c r="B385" s="1870">
        <f t="shared" si="26"/>
        <v>380</v>
      </c>
      <c r="C385" s="1870">
        <f>[339]!c_Control</f>
        <v>0</v>
      </c>
      <c r="D385" s="1871" t="s">
        <v>2299</v>
      </c>
      <c r="E385" s="1872"/>
      <c r="F385" s="1873" t="s">
        <v>2304</v>
      </c>
      <c r="G385" s="1873" t="s">
        <v>205</v>
      </c>
      <c r="H385" s="1874"/>
      <c r="I385" s="1875" t="s">
        <v>1296</v>
      </c>
      <c r="J385" s="1876" t="str">
        <f>[339]!Статус</f>
        <v>15.09.26_x000D_
список вопросов до 18.09.26</v>
      </c>
      <c r="K385" s="1873" t="s">
        <v>2300</v>
      </c>
      <c r="L385" s="1877">
        <f>[339]!ТКП_Тематика</f>
        <v>0</v>
      </c>
      <c r="M385" s="1872"/>
      <c r="N385" s="98"/>
      <c r="O385" s="98"/>
      <c r="P385" s="1870">
        <f>[339]!Результат_число</f>
        <v>1</v>
      </c>
      <c r="Q385" s="1870"/>
      <c r="R385" s="1870"/>
      <c r="S385" s="1870"/>
      <c r="T385" s="1872"/>
      <c r="U385" s="1872"/>
      <c r="V385" s="1872"/>
      <c r="W385" s="1872"/>
      <c r="X385" s="1872"/>
      <c r="Y385" s="1872"/>
      <c r="Z385" s="1872"/>
    </row>
    <row r="386" spans="1:26" x14ac:dyDescent="0.25">
      <c r="F386" s="444"/>
      <c r="L386" s="1"/>
      <c r="M386" s="1"/>
      <c r="N386" s="1"/>
      <c r="O386" s="1"/>
      <c r="P386" s="1038">
        <v>1</v>
      </c>
    </row>
    <row r="387" spans="1:26" x14ac:dyDescent="0.25">
      <c r="D387" s="1377" t="s">
        <v>1867</v>
      </c>
      <c r="E387" s="1378" t="s">
        <v>1866</v>
      </c>
      <c r="L387" s="1"/>
      <c r="M387" s="1"/>
      <c r="N387" s="1"/>
      <c r="O387" s="1"/>
      <c r="P387" s="1038">
        <v>1</v>
      </c>
    </row>
    <row r="388" spans="1:26" x14ac:dyDescent="0.25">
      <c r="D388" s="1174" t="s">
        <v>1772</v>
      </c>
      <c r="E388" s="1146">
        <f>SummRangeCrit(P9:P262,0,1,D388,I9:I262)</f>
        <v>0</v>
      </c>
      <c r="L388" s="1"/>
      <c r="M388" s="1"/>
      <c r="N388" s="1"/>
      <c r="O388" s="1"/>
      <c r="P388" s="1038">
        <v>1</v>
      </c>
    </row>
    <row r="389" spans="1:26" x14ac:dyDescent="0.25">
      <c r="B389" s="174"/>
      <c r="C389" s="174"/>
      <c r="D389" s="1175" t="s">
        <v>88</v>
      </c>
      <c r="E389" s="1146">
        <f>SummRangeCrit(P10:P340,0,1,D389,I10:I340)</f>
        <v>1</v>
      </c>
      <c r="L389" s="1"/>
      <c r="M389" s="1"/>
      <c r="N389" s="1"/>
      <c r="O389" s="1"/>
      <c r="P389" s="1038">
        <v>1</v>
      </c>
    </row>
    <row r="390" spans="1:26" x14ac:dyDescent="0.25">
      <c r="D390" s="1353" t="s">
        <v>1318</v>
      </c>
      <c r="E390" s="1146">
        <f>SummRangeCrit(P11:P386,0,1,D390,I11:I386)</f>
        <v>5</v>
      </c>
      <c r="I390" s="444"/>
      <c r="L390" s="1"/>
      <c r="M390" s="1"/>
      <c r="N390" s="1"/>
      <c r="O390" s="1"/>
      <c r="P390" s="1038">
        <v>1</v>
      </c>
    </row>
    <row r="391" spans="1:26" x14ac:dyDescent="0.25">
      <c r="D391" s="1354" t="s">
        <v>92</v>
      </c>
      <c r="E391" s="1146">
        <f>SummRangeCrit(P12:P387,0,1,D391,I12:I387)</f>
        <v>1</v>
      </c>
      <c r="L391" s="1"/>
      <c r="M391" s="1"/>
      <c r="N391" s="1"/>
      <c r="O391" s="1"/>
      <c r="P391" s="1038">
        <v>1</v>
      </c>
    </row>
    <row r="392" spans="1:26" x14ac:dyDescent="0.25">
      <c r="D392" s="1355" t="s">
        <v>1296</v>
      </c>
      <c r="E392" s="1146">
        <f>SummRangeCrit(P13:P388,0,1,D392,I13:I388)</f>
        <v>1</v>
      </c>
      <c r="F392" s="2"/>
      <c r="G392" s="2"/>
      <c r="J392" s="2"/>
      <c r="K392" s="3"/>
      <c r="N392" s="1"/>
      <c r="O392" s="1"/>
      <c r="P392" s="1038">
        <v>1</v>
      </c>
    </row>
    <row r="393" spans="1:26" x14ac:dyDescent="0.25">
      <c r="D393" s="1176" t="s">
        <v>54</v>
      </c>
      <c r="E393" s="1146">
        <f>SummRangeCrit(P14:P389,0,1,D393,I14:I389)</f>
        <v>1</v>
      </c>
      <c r="F393" s="2"/>
      <c r="G393" s="2"/>
      <c r="J393" s="2"/>
      <c r="K393" s="3"/>
      <c r="N393" s="1"/>
      <c r="O393" s="1"/>
      <c r="P393" s="1038">
        <v>1</v>
      </c>
    </row>
    <row r="394" spans="1:26" ht="15" x14ac:dyDescent="0.25">
      <c r="D394" s="1356" t="s">
        <v>65</v>
      </c>
      <c r="E394" s="1146">
        <f>SummRangeCrit(P15:P390,0,1,D394,I15:I390)</f>
        <v>2</v>
      </c>
      <c r="F394" s="2"/>
      <c r="G394" s="2"/>
      <c r="J394" s="2"/>
      <c r="K394" s="3"/>
      <c r="L394" s="861" t="s">
        <v>827</v>
      </c>
      <c r="M394" s="862" t="s">
        <v>1502</v>
      </c>
      <c r="N394" s="1"/>
      <c r="O394" s="1"/>
      <c r="P394" s="373">
        <v>1</v>
      </c>
    </row>
    <row r="395" spans="1:26" ht="15" x14ac:dyDescent="0.25">
      <c r="D395" s="1357" t="s">
        <v>39</v>
      </c>
      <c r="E395" s="1146">
        <f>SummRangeCrit(P16:P391,0,1,D395,I16:I391)</f>
        <v>1</v>
      </c>
      <c r="F395" s="2"/>
      <c r="G395" s="2"/>
      <c r="J395" s="2"/>
      <c r="L395" s="863" t="s">
        <v>602</v>
      </c>
      <c r="M395" s="864" t="s">
        <v>1266</v>
      </c>
      <c r="N395" s="1"/>
      <c r="O395" s="1"/>
      <c r="P395" s="373">
        <v>1</v>
      </c>
    </row>
    <row r="396" spans="1:26" ht="15" x14ac:dyDescent="0.25">
      <c r="D396" s="1177" t="s">
        <v>423</v>
      </c>
      <c r="E396" s="1146">
        <f>SummRangeCrit(P17:P392,0,1,D396,I17:I392)</f>
        <v>4</v>
      </c>
      <c r="L396" s="865" t="s">
        <v>607</v>
      </c>
      <c r="M396" s="866" t="s">
        <v>1322</v>
      </c>
      <c r="N396" s="1"/>
      <c r="O396" s="1"/>
      <c r="P396" s="373">
        <v>1</v>
      </c>
    </row>
    <row r="397" spans="1:26" ht="15" x14ac:dyDescent="0.25">
      <c r="D397" s="1178" t="s">
        <v>1772</v>
      </c>
      <c r="E397" s="1146">
        <f>SummRangeCrit(P18:P393,0,1,D397,I18:I393)</f>
        <v>0</v>
      </c>
      <c r="L397" s="867" t="s">
        <v>605</v>
      </c>
      <c r="M397" s="868" t="s">
        <v>1267</v>
      </c>
      <c r="P397" s="373">
        <v>1</v>
      </c>
    </row>
    <row r="398" spans="1:26" ht="15" x14ac:dyDescent="0.25">
      <c r="B398" s="1"/>
      <c r="C398" s="1"/>
      <c r="D398" s="1"/>
      <c r="E398" s="1"/>
      <c r="F398" s="1"/>
      <c r="G398" s="1"/>
      <c r="L398" s="867" t="s">
        <v>597</v>
      </c>
      <c r="M398" s="868" t="s">
        <v>1268</v>
      </c>
      <c r="P398" s="373">
        <v>1</v>
      </c>
    </row>
    <row r="399" spans="1:26" ht="15" x14ac:dyDescent="0.25">
      <c r="D399"/>
      <c r="L399" s="867" t="s">
        <v>606</v>
      </c>
      <c r="M399" s="868" t="s">
        <v>1269</v>
      </c>
      <c r="P399" s="373">
        <v>1</v>
      </c>
    </row>
    <row r="400" spans="1:26" ht="15" x14ac:dyDescent="0.25">
      <c r="D400"/>
      <c r="L400" s="867" t="s">
        <v>90</v>
      </c>
      <c r="M400" s="868" t="s">
        <v>1270</v>
      </c>
      <c r="P400" s="373">
        <v>1</v>
      </c>
    </row>
    <row r="401" spans="4:16" ht="15" x14ac:dyDescent="0.25">
      <c r="D401"/>
      <c r="L401" s="867" t="s">
        <v>908</v>
      </c>
      <c r="M401" s="868" t="s">
        <v>1271</v>
      </c>
      <c r="P401" s="373">
        <v>1</v>
      </c>
    </row>
    <row r="402" spans="4:16" ht="15" x14ac:dyDescent="0.25">
      <c r="D402"/>
      <c r="L402" s="867" t="s">
        <v>603</v>
      </c>
      <c r="M402" s="868" t="s">
        <v>1272</v>
      </c>
      <c r="P402" s="373">
        <v>1</v>
      </c>
    </row>
    <row r="403" spans="4:16" ht="15" x14ac:dyDescent="0.25">
      <c r="D403"/>
      <c r="L403" s="867" t="s">
        <v>1263</v>
      </c>
      <c r="M403" s="868" t="s">
        <v>1273</v>
      </c>
      <c r="P403" s="373">
        <v>1</v>
      </c>
    </row>
    <row r="404" spans="4:16" ht="15" x14ac:dyDescent="0.25">
      <c r="D404"/>
      <c r="L404" s="867" t="s">
        <v>2052</v>
      </c>
      <c r="M404" s="868" t="s">
        <v>1274</v>
      </c>
      <c r="P404" s="373">
        <v>1</v>
      </c>
    </row>
    <row r="405" spans="4:16" ht="15" x14ac:dyDescent="0.25">
      <c r="D405"/>
      <c r="L405" s="867" t="s">
        <v>677</v>
      </c>
      <c r="M405" s="868" t="s">
        <v>1275</v>
      </c>
      <c r="P405" s="373">
        <v>1</v>
      </c>
    </row>
    <row r="406" spans="4:16" ht="15" x14ac:dyDescent="0.25">
      <c r="D406"/>
      <c r="L406" s="867" t="s">
        <v>601</v>
      </c>
      <c r="M406" s="868" t="s">
        <v>1276</v>
      </c>
      <c r="P406" s="373">
        <v>1</v>
      </c>
    </row>
    <row r="407" spans="4:16" ht="15" x14ac:dyDescent="0.25">
      <c r="D407"/>
      <c r="L407" s="867" t="s">
        <v>1264</v>
      </c>
      <c r="M407" s="868" t="s">
        <v>1277</v>
      </c>
      <c r="P407" s="373">
        <v>1</v>
      </c>
    </row>
    <row r="408" spans="4:16" ht="15" x14ac:dyDescent="0.25">
      <c r="D408"/>
      <c r="L408" s="867" t="s">
        <v>1265</v>
      </c>
      <c r="M408" s="868" t="s">
        <v>1278</v>
      </c>
      <c r="P408" s="373">
        <v>1</v>
      </c>
    </row>
    <row r="409" spans="4:16" ht="15" x14ac:dyDescent="0.25">
      <c r="L409" s="867" t="s">
        <v>598</v>
      </c>
      <c r="M409" s="868" t="s">
        <v>1279</v>
      </c>
      <c r="N409" s="373">
        <v>1</v>
      </c>
      <c r="P409" s="373"/>
    </row>
    <row r="410" spans="4:16" ht="15" x14ac:dyDescent="0.25">
      <c r="L410" s="867" t="s">
        <v>1740</v>
      </c>
      <c r="M410" s="868" t="s">
        <v>1741</v>
      </c>
      <c r="P410" s="373">
        <v>1</v>
      </c>
    </row>
  </sheetData>
  <autoFilter ref="B5:S397">
    <filterColumn colId="14">
      <filters>
        <filter val="1"/>
      </filters>
    </filterColumn>
  </autoFilter>
  <sortState ref="A5:N235">
    <sortCondition descending="1" ref="H5:H240"/>
  </sortState>
  <mergeCells count="4">
    <mergeCell ref="B1:L1"/>
    <mergeCell ref="B2:E2"/>
    <mergeCell ref="R1:S1"/>
    <mergeCell ref="B4:F4"/>
  </mergeCells>
  <conditionalFormatting sqref="L405:M405 L407:M407">
    <cfRule type="expression" dxfId="13" priority="7">
      <formula>$I110="Выбрано"</formula>
    </cfRule>
  </conditionalFormatting>
  <conditionalFormatting sqref="L397:M402">
    <cfRule type="expression" dxfId="12" priority="8">
      <formula>#REF!="Выбрано"</formula>
    </cfRule>
  </conditionalFormatting>
  <conditionalFormatting sqref="L403:M403">
    <cfRule type="expression" dxfId="11" priority="10">
      <formula>#REF!="Выбрано"</formula>
    </cfRule>
  </conditionalFormatting>
  <conditionalFormatting sqref="L406:M406">
    <cfRule type="expression" dxfId="10" priority="15">
      <formula>#REF!="Выбрано"</formula>
    </cfRule>
  </conditionalFormatting>
  <conditionalFormatting sqref="L409:M410">
    <cfRule type="expression" dxfId="9" priority="17">
      <formula>$I142="Выбрано"</formula>
    </cfRule>
  </conditionalFormatting>
  <conditionalFormatting sqref="L408:M408">
    <cfRule type="expression" dxfId="8" priority="18">
      <formula>#REF!="Выбрано"</formula>
    </cfRule>
  </conditionalFormatting>
  <conditionalFormatting sqref="L404:M404">
    <cfRule type="expression" dxfId="7" priority="19">
      <formula>$I107="Выбрано"</formula>
    </cfRule>
  </conditionalFormatting>
  <conditionalFormatting sqref="L396:M396">
    <cfRule type="expression" dxfId="6" priority="5">
      <formula>$I192="Выбрано"</formula>
    </cfRule>
  </conditionalFormatting>
  <conditionalFormatting sqref="M394">
    <cfRule type="expression" dxfId="5" priority="20">
      <formula>$I165="Выбрано"</formula>
    </cfRule>
  </conditionalFormatting>
  <conditionalFormatting sqref="L395:M395">
    <cfRule type="expression" dxfId="4" priority="22">
      <formula>$I189="Выбрано"</formula>
    </cfRule>
  </conditionalFormatting>
  <conditionalFormatting sqref="L189">
    <cfRule type="expression" dxfId="3" priority="24">
      <formula>$I165="Выбрано"</formula>
    </cfRule>
  </conditionalFormatting>
  <conditionalFormatting sqref="L394">
    <cfRule type="expression" dxfId="2" priority="4">
      <formula>$I191="Выбрано"</formula>
    </cfRule>
  </conditionalFormatting>
  <conditionalFormatting sqref="L191">
    <cfRule type="expression" dxfId="1" priority="3">
      <formula>$I166="Выбрано"</formula>
    </cfRule>
  </conditionalFormatting>
  <conditionalFormatting sqref="L190">
    <cfRule type="expression" dxfId="0" priority="2">
      <formula>$I166="Выбрано"</formula>
    </cfRule>
  </conditionalFormatting>
  <hyperlinks>
    <hyperlink ref="G4" r:id="rId1" location="gid=453721134" display="Табл. Продаж"/>
    <hyperlink ref="H4" r:id="rId2" display="\\Fserv\e\MERA\WORKS\ДСИ\РСС\ТКП\"/>
    <hyperlink ref="G2" r:id="rId3" display="https://docs.google.com/spreadsheets/d/1VvTzAt0m0Io7Mh1zXRsKwDuRap5-KM8LGS1eknqSUFs/export?exportFormat=xlsx"/>
    <hyperlink ref="D7" r:id="rId4" display="333_21"/>
    <hyperlink ref="D23" r:id="rId5" display="\\fserv\e\MERA\TKP\TKP2022\tkp2022_001_Воткинский завод_MIC-036_Ежова"/>
    <hyperlink ref="D11" r:id="rId6" display="\\Fserv\e\MERA\TKP\TKP2021\tkp2021_391_ТМК_НТЦ_Стенд_на_усталость_Мартынов\"/>
    <hyperlink ref="D21" r:id="rId7" display="\\fserv\e\MERA\TKP\TKP2022\tkp2022_104_MIC-224_ОКБ_Сухого_Ежова"/>
    <hyperlink ref="D22" r:id="rId8" display="\\fserv\e\MERA\TKP\TKP2022\tkp2022_185_ВИК_Тест_Аналог_HBM_РСС"/>
    <hyperlink ref="D74" r:id="rId9" display="\\fserv\e\MERA\TKP\TKP2022\tkp2022_311_Силовые_машины_виброконтроль_гидротурбина_Ежова"/>
    <hyperlink ref="D87" r:id="rId10" display="\\fserv\e\MERA\TKP\TKP2022\tkp2022_406_Прогресс_HBM_Catman_Сныгина_РСС"/>
    <hyperlink ref="D65" r:id="rId11"/>
    <hyperlink ref="D16" r:id="rId12" display="\\fserv\e\MERA\TKP\TKP2023\tkp2023_002_ЦАГИ_MIC-553_Сныгина"/>
    <hyperlink ref="D20" r:id="rId13" display="\\fserv\e\MERA\TKP\TKP2023\tkp2023_004_НИЦ_РКП_Красмаш_ЗИП_КИВИИС-2_Сныгина"/>
    <hyperlink ref="D14" r:id="rId14" display="\\fserv\e\MERA\TKP\TKP2023\tkp2023_069_КБХМ_MIC-236_MIC-553_Ежова"/>
    <hyperlink ref="D12" r:id="rId15" display="\\fserv\e\MERA\TKP\TKP2023\tkp2023_048_КБХМ_Системы_управления_НИО-9_РМ6_СУ_РСС_Мелихов"/>
    <hyperlink ref="D15" r:id="rId16" display="\\fserv\e\MERA\TKP\TKP2023\tkp2023_078_КБХМ_СИС_РСС_Мелихов"/>
    <hyperlink ref="D18" r:id="rId17" display="\\fserv\e\MERA\TKP\TKP2023\tkp2023_091_ОДК_Сатурн_автоматизированная поверка_Ежова"/>
    <hyperlink ref="D24" r:id="rId18" display="\\fserv\e\MERA\TKP\TKP2023\tkp2023_090_НИИ_Командных_приборов_Аналог_NI_Мелихов"/>
    <hyperlink ref="D25" r:id="rId19" display="\\fserv\e\MERA\TKP\TKP2023\tkp2023_080_УЗГА_стенд_проверки_насосов_Спиридонский"/>
    <hyperlink ref="B4" r:id="rId20"/>
    <hyperlink ref="D26" r:id="rId21" display="\\fserv\e\MERA\TKP\TKP2023\tkp2023_133_УАПО-Технодинамика_Высокооборотный_привод_Мелихов"/>
    <hyperlink ref="B97" r:id="rId22" display="\\fserv\e\MERA\TKP\TKP2023\in2023\ООО\101-200\"/>
    <hyperlink ref="M87" r:id="rId23"/>
    <hyperlink ref="D28" r:id="rId24"/>
    <hyperlink ref="D29" r:id="rId25"/>
    <hyperlink ref="D89" r:id="rId26"/>
    <hyperlink ref="D34" r:id="rId27" display="\\fserv\e\MERA\TKP\TKP2023\in2023\ООО\401-Сныгина (ООО).pdf"/>
    <hyperlink ref="D35" r:id="rId28"/>
    <hyperlink ref="D36" r:id="rId29" display="\\fserv\e\MERA\TKP\TKP2023\tkp2023_171_СПбГМТУ_MIC_Ежова"/>
    <hyperlink ref="D37" r:id="rId30" display="\\fserv\e\MERA\TKP\TKP2023\tkp2023_175_НПО_Автоматики_КСТ-2_Мартынов"/>
    <hyperlink ref="J37" r:id="rId31" display="\\Fserv\e\MERA\TKP\TKP2023\tkp2023_175_НПО_Автоматики_КСТ-2_Мартынов\ТКП_175_23_статус.xlsm"/>
    <hyperlink ref="P37" r:id="rId32" display="\\Fserv\e\MERA\TKP\TKP2023\tkp2023_175_НПО_Автоматики_КСТ-2_Мартынов\ТКП_175_23_статус.xlsm"/>
    <hyperlink ref="F2" r:id="rId33"/>
    <hyperlink ref="J35" r:id="rId34" display="../../../../TKP/TKP2023/tkp2023_177_УЗГА_стенд_обкатки_редуктора_Спиридонский/ТКП_177_23_статус.xlsm"/>
    <hyperlink ref="D38" r:id="rId35"/>
    <hyperlink ref="J38" r:id="rId36" display="\\Fserv\e\MERA\TKP\TKP2023\tkp2023_187_АТМ-Гидравлик_MIC-185_236_Сныгина\ТКП_187_23_статус.xlsm"/>
    <hyperlink ref="J7" r:id="rId37" display="../../../../TKP/TKP2023/tkp2023_134_Африкантов_вибромониторинг насосов_Мелихов_РСС/ТКП_134_23_статус.xlsm"/>
    <hyperlink ref="J18" r:id="rId38" display="\\fserv\e\MERA\TKP\TKP2022\tkp2022_412_ОДК-Сатурн_автоматизированная поверка_Сныгина\ТКП_412_22_статус.xlsm"/>
    <hyperlink ref="J28" r:id="rId39" display="../../../../TKP/TKP2023/tkp2023_152_ОДК_Салют_Адаптация_стенда_№37_цеха№6_Мелихов/ТКП_152_23_статус.xlsm"/>
    <hyperlink ref="J29" r:id="rId40" display="../../../../TKP/TKP2023/tkp2023_164_ИС_УЗГА_Ежова/ТКП_164_23_статус.xlsm"/>
    <hyperlink ref="J26" r:id="rId41" display="\\fserv\e\MERA\TKP\TKP2023\tkp2023_133_УАПО-Технодинамика_Высокооборотный_привод_Мелихов\ТКП_133_23_статус.xlsm"/>
    <hyperlink ref="J25" r:id="rId42" display="\\fserv\e\MERA\TKP\TKP2023\tkp2023_080_УЗГА_стенд_проверки_насосов_Спиридонский\ТКП_080_23_статус.xlsm"/>
    <hyperlink ref="J34" r:id="rId43" display="\\fserv\e\MERA\TKP\TKP2023\in2023\ООО\401-Сныгина (ООО).pdf\ТКП_401_ООО_23_статус.xlsm"/>
    <hyperlink ref="J11" r:id="rId44" display="\\fserv\e\MERA\TKP\TKP2021\tkp2021_391_ТМК_НТЦ_Стенд_на_усталость_Мартынов\ТКП_391_21_статус.xlsm"/>
    <hyperlink ref="D39" r:id="rId45"/>
    <hyperlink ref="D46" r:id="rId46"/>
    <hyperlink ref="J46" r:id="rId47" display="\\Fserv\e\MERA\TKP\TKP2023\tkp2023_205_ЦИАМ_MIC-170_Ц-3_Ежова\ТКП_205_23_статус.xlsm"/>
    <hyperlink ref="J36" r:id="rId48" display="\\fserv\e\MERA\TKP\TKP2023\tkp2023_171_СПбГМТУ_MIC_Ежова\ТКП_171_23_статус.xlsm"/>
    <hyperlink ref="J65" r:id="rId49" display="..\..\..\..\TKP\TKP2022\tkp2022_591_Силовые_машины_MIC-1150_Мелихов\ТКП_591_22_статус.xlsm"/>
    <hyperlink ref="D40" r:id="rId50"/>
    <hyperlink ref="D6" r:id="rId51" display="230_23"/>
    <hyperlink ref="J39" r:id="rId52" display="\\fserv\e\MERA\TKP\TKP2023\tkp2023_189_УЗГА_стенд_предмонтажной_наладки_Спиридонский\ТКП_189_23_статус.xlsm"/>
    <hyperlink ref="J40" r:id="rId53" display="../../../../TKP/TKP2022/tkp2022_202_КБ_Факел_MIC-355_Сныгина/ТКП_202_22_статус.xlsm"/>
    <hyperlink ref="D41" r:id="rId54"/>
    <hyperlink ref="J41" r:id="rId55" display="\\Fserv\e\MERA\TKP\TKP2023\tkp2023_226_Аналоги_NI_тензоизмерения_Мелихов\ТКП_226_23_статус.xlsm"/>
    <hyperlink ref="D42" r:id="rId56"/>
    <hyperlink ref="D47" r:id="rId57" display="\\Fserv\e\MERA\TKP\TKP2023\tkp2023_244_Альвекс_MIC-335М_Ежова\"/>
    <hyperlink ref="O5" r:id="rId58" location="gid=0" display="https://docs.google.com/spreadsheets/d/1WSgxcg3HSRAmBi5uZ97GAiaDcH0Xi7BdM2JQrOy1mKM/edit - gid=0"/>
    <hyperlink ref="J47" r:id="rId59" display="\\Fserv\e\MERA\TKP\TKP2023\tkp2023_244_Альвекс_MIC-335М_Ежова\ТКП_244_23_статус.xlsm"/>
    <hyperlink ref="Q42" r:id="rId60" display="\\Fserv\e\MERA\TKP\TKP2023\tkp2023_188_ОДК-сервис_система_загрузки_установки_НСО_АЛ-31Ф_Спиридонский\ТЗ"/>
    <hyperlink ref="D50" r:id="rId61"/>
    <hyperlink ref="D90" r:id="rId62"/>
    <hyperlink ref="D49" r:id="rId63"/>
    <hyperlink ref="J90" r:id="rId64" display="\\Fserv\e\MERA\TKP\TKP2023\tkp2023_239_УМПО_работы_Сныгина\ТКП_239_23_статус.xlsm"/>
    <hyperlink ref="J6" r:id="rId65" display="\\Fserv\e\MERA\TKP\TKP2023\tkp2023_245_НВЦ_Миль_и_Камов_статзал_ЭИК_Мелихов\ТКП_245_23_статус.xlsm"/>
    <hyperlink ref="D54" r:id="rId66" display="\\fserv\e\MERA\TKP\TKP2023\tkp2023_266_Казанский_пороховой_завод_MIC-355_Сныгина\"/>
    <hyperlink ref="H3" r:id="rId67" display="&quot;\\Fserv\e\MERA\WORKS\ДСИ\РСС\ТКП\Перспективные ТКП.xlsm&quot; "/>
    <hyperlink ref="J50" r:id="rId68" display="../../../../TKP/TKP2023/tkp2023_253_НИЦ_РКП_Красмаш_КИВИИС-2_Сныгина/ТКП_253_23_статус.xlsm"/>
    <hyperlink ref="D51" r:id="rId69" display="&quot;\\Fserv\e\MERA\TKP\TKP2023\tkp2023_284_Крыловский_ГНЦ_MIC-026_MIC-355_Сныгина\Схема соединений&quot; "/>
    <hyperlink ref="J51" r:id="rId70" display="\\Fserv\e\MERA\TKP\TKP2023\tkp2023_284_Крыловский_ГНЦ_MIC-026_MIC-355_Сныгина\Схема соединений\ТКП_284_23_статус.xlsm"/>
    <hyperlink ref="D55" r:id="rId71" display="\\fserv\e\MERA\TKP\TKP2023\tkp2023_261_Сатурн_адаптация стенда_машинное зрение_Ежова\"/>
    <hyperlink ref="D56" r:id="rId72" display="\\fserv\e\MERA\TKP\TKP2022\tkp2022_154_УМПО_Уфа_Разработка_концептуального_проекта_Сныгина\"/>
    <hyperlink ref="D57" r:id="rId73" display="\\fserv\e\MERA\TKP\TKP2023\tkp2023_293_РЭПХ_Тензостанция_(MIC-355M+4хMX-340)_Мелихов\"/>
    <hyperlink ref="D58" r:id="rId74" display="\\fserv\e\MERA\TKP\TKP2023\tkp2023_246_ОДК_Сатурн_MIC-026_Сныгина\"/>
    <hyperlink ref="J55" r:id="rId75" display="\\fserv\e\MERA\TKP\TKP2023\tkp2023_261_Сатурн_адаптация стенда_машинное зрение_Ежова\ТКП_261_23_статус.xlsm"/>
    <hyperlink ref="J56" r:id="rId76" display="\\fserv\e\MERA\TKP\TKP2022\tkp2022_154_УМПО_Уфа_Разработка_концептуального_проекта_Сныгина\ТКП_154_22_статус.xlsm"/>
    <hyperlink ref="J57" r:id="rId77" display="\\fserv\e\MERA\TKP\TKP2023\tkp2023_293_РЭПХ_Тензостанция_(MIC-355M+4хMX-340)_Мелихов\ТКП_293_23_статус.xlsm"/>
    <hyperlink ref="J58" r:id="rId78" display="\\fserv\e\MERA\TKP\TKP2023\tkp2023_246_ОДК_Сатурн_MIC-026_Сныгина\ТКП_246_23_статус.xlsm"/>
    <hyperlink ref="D60" r:id="rId79" display="\\fserv\e\MERA\TKP\TKP2023\tkp2023_324_ Кронштадт_MIC-224_Ежова\"/>
    <hyperlink ref="D59" r:id="rId80"/>
    <hyperlink ref="D61" r:id="rId81" display="\\fserv\e\MERA\TKP\TKP2023\tkp2023_286_КБХМ_утв.типаСИ_з.2850_Ежова\"/>
    <hyperlink ref="D62" r:id="rId82" display="\\fserv\e\MERA\TKP\TKP2023\tkp2023_342_Красмаш_СИУ_Ежова\"/>
    <hyperlink ref="D63" r:id="rId83" display="\\fserv\e\MERA\TKP\TKP2023\tkp2023_011_РусГидро_Жигулевская_ГЭС_Переносной_цифровой_регистратор_Сныгина\"/>
    <hyperlink ref="D64" r:id="rId84"/>
    <hyperlink ref="D67" r:id="rId85" display="\\fserv\e\MERA\TKP\TKP2023\tkp2023_362_ОДК_Климов_ЭДСУ_РУД_Ежова\"/>
    <hyperlink ref="J59" r:id="rId86" display="..\..\..\..\TKP\TKP2023\tkp2023_331_ГК_Роскосмос_Сияние-ОИ_Ежова\ТКП_331_23_статус.xlsm"/>
    <hyperlink ref="J60" r:id="rId87" display="../../../../TKP/TKP2023/tkp2023_324_ Кронштадт_MIC-224_Ежова/ТКП_324_23_статус.xlsm"/>
    <hyperlink ref="J61" r:id="rId88" display="../../../../TKP/TKP2023/tkp2023_286_КБХМ_утв.типаСИ_з.2850_Ежова/ТКП_286_23_статус.xlsm"/>
    <hyperlink ref="J63" r:id="rId89" display="../../../../TKP/TKP2023/tkp2023_011_РусГидро_Жигулевская_ГЭС_Переносной_цифровой_регистратор_Сныгина/ТКП_011_23_статус.xlsm"/>
    <hyperlink ref="J67" r:id="rId90" display="\\fserv\e\MERA\TKP\TKP2023\tkp2023_362_ОДК_Климов_ЭДСУ_РУД_Ежова\ТКП_362_23_статус.xlsm"/>
    <hyperlink ref="D66" r:id="rId91"/>
    <hyperlink ref="J64" r:id="rId92" display="\\Fserv\e\MERA\TKP\TKP2023\tkp2023_358_ТРАКС_автоматизация_стенда_аэродин.испытаний_вентиляторов_Ежова\ТКП_358_23_статус.xlsm"/>
    <hyperlink ref="D70" r:id="rId93" display="\\fserv\e\MERA\TKP\TKP2023\tkp2023_386_ОНПП_Технология_приводы_электрошкафы_Маслова\"/>
    <hyperlink ref="D72" r:id="rId94" display="\\fserv\e\MERA\TKP\TKP2023\tkp2023_400_НИЦ_Орел_MIC-170_Маслова\"/>
    <hyperlink ref="J70" r:id="rId95" display="\\fserv\e\MERA\TKP\TKP2023\tkp2023_386_ОНПП_Технология_приводы_электрошкафы_Маслова\ТКП_386_23_статус.xlsm"/>
    <hyperlink ref="J72" r:id="rId96" display="\\fserv\e\MERA\TKP\TKP2023\tkp2023_400_НИЦ_Орел_MIC-170_Маслова\ТКП_400_23_статус.xlsm"/>
    <hyperlink ref="J71" r:id="rId97" display="\\Fserv\e\MERA\TKP\TKP2023\ТКП_410_23_статус.xlsm"/>
    <hyperlink ref="J87" r:id="rId98" display="../../../../TKP/TKP2022/tkp2022_406_Прогресс_HBM_Catman_Сныгина_РСС/ТКП_406_22_статус.xlsm"/>
    <hyperlink ref="J12" r:id="rId99" display="../../../../TKP/TKP2023/tkp2023_048_КБХМ_Системы_управления_НИО-9_РМ6_СУ_РСС_Мелихов/ТКП_048_23_статус.xlsm"/>
    <hyperlink ref="D73" r:id="rId100" display="\\fserv\e\MERA\TKP\TKP2023\tkp2023_421_НИЦ_РКП_КИВИИС_Маслова\"/>
    <hyperlink ref="D77" r:id="rId101" display="\\fserv\e\MERA\TKP\TKP2023\tkp2023_418_Миль_и_Камов_Стенд_испытания_редукторов_Ка-62_Мелихов\"/>
    <hyperlink ref="D78" r:id="rId102" display="\\fserv\e\MERA\TKP\TKP2023\tkp2023_423_КрасМаш_MIC-200_Мелихов\"/>
    <hyperlink ref="D27" r:id="rId103" display="\\fserv\e\MERA\TKP\TKP2023\tkp2023_138_НИИПМ_МЕ-402_Сныгина\"/>
    <hyperlink ref="J77" r:id="rId104" display="\\fserv\e\MERA\TKP\TKP2023\tkp2023_418_Миль_и_Камов_Стенд_испытания_редукторов_Ка-62_Мелихов\ТКП_418_23_статус.xlsm"/>
    <hyperlink ref="I3" r:id="rId105"/>
    <hyperlink ref="D43" r:id="rId106" display="\\Fserv\e\MERA\TKP\TKP2023\tkp2023_439_Силовые_машины_СИ_испытания_патрубков_Ежова\"/>
    <hyperlink ref="J43" r:id="rId107" display="\\Fserv\e\MERA\TKP\TKP2023\tkp2023_439_Силовые_машины_СИ_испытания_патрубков_Ежова\ТКП_439_23_статус.xlsm"/>
    <hyperlink ref="D45" r:id="rId108" display="\\fserv\e\MERA\TKP\TKP2023\tkp2023_422_Kingsly_MIC-553_Ежова\"/>
    <hyperlink ref="J45" r:id="rId109" display="\\fserv\e\MERA\TKP\TKP2023\tkp2023_422_Kingsly_MIC-553_Ежова\ТКП_422_23_статус.xlsm"/>
    <hyperlink ref="D69" r:id="rId110" display="\\fserv\e\MERA\TKP\TKP2023\tkp2023_432_ГКНПЦ Хруничева_Система_измерения_Мартынов\"/>
    <hyperlink ref="J69" r:id="rId111" display="\\fserv\e\MERA\TKP\TKP2023\tkp2023_432_ГКНПЦ Хруничева_Система_измерения_Мартынов\ТКП_432_23_статус.xlsm"/>
    <hyperlink ref="E31" r:id="rId112" display="\\fserv\e\CLIENTS\FORMULYA\2023\p3031_ОДК_ЭДСУ_Лазарев_РСС.xls"/>
    <hyperlink ref="D31" r:id="rId113" display="\\fserv\e\MERA\TKP\TKP2023\tkp2023_140_ОДК_Салют_MIC-355_Сныгина\"/>
    <hyperlink ref="J31" r:id="rId114" display="\\fserv\e\MERA\TKP\TKP2023\tkp2023_140_ОДК_Салют_MIC-355_Сныгина\ТКП_140_23_статус.xlsm"/>
    <hyperlink ref="D75" r:id="rId115" display="\\fserv\e\MERA\TKP\TKP2023\in2023\ООО\1201-1300\ООО_ВХ_23_1256.pdf"/>
    <hyperlink ref="D76" r:id="rId116" display="\\fserv\e\MERA\TKP\TKP2023\tkp2023_434_МТЗ_Стенд_испытания_кабин_Мелихов\"/>
    <hyperlink ref="D53" r:id="rId117" display="\\fserv\e\MERA\TKP\TKP2023\tkp2023_460_ОРГРЭС_Статзал_РСС\"/>
    <hyperlink ref="D82" r:id="rId118" display="\\fserv\e\MERA\TKP\TKP2023\tkp2023_440_ГКНПЦ_Хруничева_Система_тензоизмерений_Мартынов\"/>
    <hyperlink ref="D68" r:id="rId119" display="\\fserv\e\MERA\TKP\TKP2023\tkp2023_486_Газпром_диагностика_MIC-200_с_ИВЗ_в_кейсе_Мелихов\"/>
    <hyperlink ref="J68" r:id="rId120" display="\\fserv\e\MERA\TKP\TKP2023\tkp2023_486_Газпром_диагностика_MIC-200_с_ИВЗ_в_кейсе_Мелихов\ТКП_486_23_статус.xlsm"/>
    <hyperlink ref="D86" r:id="rId121" display="\\fserv\e\MERA\TKP\TKP2023\tkp2023_492_Кронштадт_стендовая_ИС_Ежова\"/>
    <hyperlink ref="J86" r:id="rId122" display="\\fserv\e\MERA\TKP\TKP2023\tkp2023_492_Кронштадт_стендовая_ИС_Ежова\ТКП_492_23_статус.xlsm"/>
    <hyperlink ref="J78" r:id="rId123" display="\\fserv\e\MERA\TKP\TKP2023\tkp2023_423_КрасМаш_MIC-200_Мелихов\ТКП_423_23_статус.xlsm"/>
    <hyperlink ref="J73" r:id="rId124" display="\\fserv\e\MERA\TKP\TKP2023\tkp2023_421_НИЦ_РКП_КИВИИС_Маслова\ТКП_421_23_статус.xlsm"/>
    <hyperlink ref="D19" r:id="rId125" display="\\fserv\e\MERA\TKP\TKP2023\tkp2023_481_НИИМАШ_АСУиУ_тех_процессами_Мартынов\"/>
    <hyperlink ref="J19" r:id="rId126" display="\\fserv\e\MERA\TKP\TKP2023\tkp2023_481_НИИМАШ_АСУиУ_тех_процессами_Мартынов\ТКП_481_23_статус.xlsm"/>
    <hyperlink ref="D80" r:id="rId127" display="\\fserv\e\MERA\TKP\TKP2023\tkp2023_515_Группа Ай-Эм-Си_тензометрическая_станция_Ежова\"/>
    <hyperlink ref="J80" r:id="rId128" display="\\fserv\e\MERA\TKP\TKP2023\tkp2023_515_Группа Ай-Эм-Си_тензометрическая_станция_Ежова\ТКП_515_23_статус.xlsm"/>
    <hyperlink ref="D79" r:id="rId129" display="\\fserv\e\MERA\TKP\TKP2023\tkp2023_509_Силовые_машины_(ЛМЗ)_Виброметр+ПО_Мелихов\"/>
    <hyperlink ref="J75" r:id="rId130" display="\\fserv\e\MERA\TKP\TKP2023\in2023\ООО\1201-1300\ООО_ВХ_23_1256.pdf\ТКП_1256_ООО_23_статус.xlsm"/>
    <hyperlink ref="J76" r:id="rId131" display="\\fserv\e\MERA\TKP\TKP2023\tkp2023_434_МТЗ_Стенд_испытания_кабин_Мелихов\ТКП_434_23_статус.xlsm"/>
    <hyperlink ref="D30" r:id="rId132" display="\\fserv\e\MERA\TKP\TKP2023\tkp2023_163_Л-скада_стенды_10_11_АИИС+Динамика_Спиридонский\"/>
    <hyperlink ref="J30" r:id="rId133" display="\\fserv\e\MERA\TKP\TKP2023\tkp2023_163_Л-скада_стенды_10_11_АИИС+Динамика_Спиридонский\ТКП_163_23_статус.xlsm"/>
    <hyperlink ref="D10" r:id="rId134" display="\\fserv\e\MERA\TKP\TKP2023\tkp2023_489_Курчатовский институт_МСУ-1_АСУ  СИН_АСУ СКО_Маслова\"/>
    <hyperlink ref="D85" r:id="rId135" display="\\fserv\e\MERA\TKP\TKP2023\in2023\1457-Мелихов (ООО).pdf"/>
    <hyperlink ref="D91" r:id="rId136" display="\\fserv\e\MERA\TKP\TKP2023\tkp2023_416_ОДК_Инжиниринг_MIC-026_036_Маслова\"/>
    <hyperlink ref="J91" r:id="rId137" display="\\fserv\e\MERA\TKP\TKP2023\tkp2023_416_ОДК_Инжиниринг_MIC-026_036_Маслова\ТКП_416_23_статус.xlsm"/>
    <hyperlink ref="J82" r:id="rId138" display="\\fserv\e\MERA\TKP\TKP2023\tkp2023_440_ГКНПЦ_Хруничева_Система_тензоизмерений_Мартынов\ТКП_440_23_статус.xlsm"/>
    <hyperlink ref="J10" r:id="rId139" display="\\fserv\e\MERA\TKP\TKP2023\tkp2023_489_Курчатовский институт_МСУ-1_АСУ  СИН_АСУ СКО_Маслова\ТКП_489_23_статус.xlsm"/>
    <hyperlink ref="D97" r:id="rId140" display="197_ООО_23"/>
    <hyperlink ref="J53" r:id="rId141" display="\\fserv\e\MERA\TKP\TKP2023\tkp2023_460_ОРГРЭС_Статзал_РСС\ТКП_460_23_статус.xlsm"/>
    <hyperlink ref="D81" r:id="rId142" display="\\fserv\e\MERA\TKP\TKP2023\tkp2023_517_ЦАГИ_MIC-PXI_Ежова\"/>
    <hyperlink ref="J81" r:id="rId143" display="\\fserv\e\MERA\TKP\TKP2023\tkp2023_517_ЦАГИ_MIC-PXI_Ежова\ТКП_517_23_статус.xlsm"/>
    <hyperlink ref="D83" r:id="rId144" display="\\fserv\e\MERA\TKP\TKP2023\tkp2023_489_Курчатовский институт_МСУ-1_АСУ  СИН_АСУ СКО_Маслова\"/>
    <hyperlink ref="J79" r:id="rId145" display="\\fserv\e\MERA\TKP\TKP2023\tkp2023_509_Силовые_машины_(ЛМЗ)_Виброметр+ПО_Мелихов\ТКП_509_23_статус.xlsm"/>
    <hyperlink ref="D84" r:id="rId146" display="\\fserv\e\MERA\TKP\TKP2023\tkp2023_326_ОДК_Кузнецов_Система_виброконтроля_Мелихов\"/>
    <hyperlink ref="J84" r:id="rId147" display="\\fserv\e\MERA\TKP\TKP2023\tkp2023_326_ОДК_Кузнецов_Система_виброконтроля_Мелихов\ТКП_326_23_статус.xlsm"/>
    <hyperlink ref="D96" r:id="rId148" display="\\fserv\e\MERA\TKP\TKP2023\tkp2023_497_ЛМЗ_MIC-355_Маслова\"/>
    <hyperlink ref="J62" r:id="rId149" display="../../../../TKP/TKP2023/tkp2023_342_Красмаш_СИУ_Ежова/ТКП_342_23_статус.xlsm"/>
    <hyperlink ref="D93" r:id="rId150"/>
    <hyperlink ref="D44" r:id="rId151" display="\\fserv\e\MERA\TKP\TKP2023\tkp2023_231_БИС-РУС_Измеритель_вибрации_для_электрокомпрессора_АНХК_Мелихов\"/>
    <hyperlink ref="J44" r:id="rId152" display="\\fserv\e\MERA\TKP\TKP2023\tkp2023_231_БИС-РУС_Измеритель_вибрации_для_электрокомпрессора_АНХК_Мелихов\ТКП_231_23_статус.xlsm"/>
    <hyperlink ref="D95" r:id="rId153" display="\\fserv\e\MERA\TKP\TKP2023\tkp2023_450_НИИПМ_MIC-236_Ежова\"/>
    <hyperlink ref="D88" r:id="rId154" display="\\fserv\e\MERA\TKP\TKP2023\tkp2023_571_Хруничева Ракетно-космический Завод_ИМ шагового двигателя_РСС\"/>
    <hyperlink ref="J88" r:id="rId155" display="\\fserv\e\MERA\TKP\TKP2023\tkp2023_571_Хруничева Ракетно-космический Завод_ИМ шагового двигателя_РСС\ТКП_571_23_статус.xlsm"/>
    <hyperlink ref="D33" r:id="rId156"/>
    <hyperlink ref="J33" r:id="rId157" display="\\fserv\e\MERA\TKP\TKP2023\tkp2023_573_ Центр_Келдыша_MIC_Ежова\ТКП_573_23_статус.xlsm"/>
    <hyperlink ref="J96" r:id="rId158" display="\\fserv\e\MERA\TKP\TKP2023\tkp2023_497_ЛМЗ_MIC-355_Маслова\ТКП_497_23_статус.xlsm"/>
    <hyperlink ref="J13" r:id="rId159" display="../../../../TKP/TKP2023/tkp2023_572_ОДК_Сатурн_АСУТПИ_стендов_26,27,28_Ежова/ТКП_572_23_статус.xlsm"/>
    <hyperlink ref="J89" r:id="rId160" display="../../../../TKP/TKP2023/tkp2023_154_Газпром_добыча_Иркутск_MIC-355_Мелихов/ТКП_154_23_статус.xlsm"/>
    <hyperlink ref="D98" r:id="rId161" display="\\fserv\e\MERA\TKP\TKP2024\tkp2024_026_ООО Технология_Маслова\"/>
    <hyperlink ref="D101" r:id="rId162" display="\\fserv\e\MERA\TKP\TKP2024\tkp2024_025_Kingsly_MIC-1150_Rocket_Fire_test_Ежова\"/>
    <hyperlink ref="J101" r:id="rId163" display="\\fserv\e\MERA\TKP\TKP2024\tkp2024_025_Kingsly_MIC-1150_Rocket_Fire_test_Ежова\ТКП_025_24_статус.xlsm"/>
    <hyperlink ref="D100" r:id="rId164" display="\\fserv\e\MERA\TKP\TKP2024\tkp2024_022_Kingsly_MIC-355M_Ежова\"/>
    <hyperlink ref="D94" r:id="rId165" display="\\fserv\e\MERA\TKP\TKP2023\tkp2023_581_КБХА_РСС_Мелихов\"/>
    <hyperlink ref="J94" r:id="rId166" display="\\fserv\e\MERA\TKP\TKP2023\tkp2023_581_КБХА_РСС_Мелихов\ТКП_581_23_статус.xlsm"/>
    <hyperlink ref="J93" r:id="rId167" display="\\fserv\e\MERA\TKP\TKP2023\tkp2023_555_НИКИЭТ_MIC553_РСС\ТКП_555_23_статус.xlsm"/>
    <hyperlink ref="J98" r:id="rId168" display="\\fserv\e\MERA\TKP\TKP2024\tkp2024_026_ООО Технология_Маслова\ТКП_026_24_статус.xlsm"/>
    <hyperlink ref="J100" r:id="rId169" display="\\fserv\e\MERA\TKP\TKP2024\tkp2024_022_Kingsly_MIC-355M_Ежова\ТКП_022_24_статус.xlsm"/>
    <hyperlink ref="D103" r:id="rId170" display="\\fserv\e\MERA\TKP\TKP2024\tkp2024_046_КБХM_MIC-236_MIC-553_Ежова\"/>
    <hyperlink ref="D104" r:id="rId171" display="\\fserv\e\MERA\TKP\TKP2024\tkp2024_047_КБХМ_утв.типаСИ_корпус302_Ежова\"/>
    <hyperlink ref="D105" r:id="rId172" display="\\fserv\e\MERA\TKP\TKP2024\tkp2024_048_КБХМ_СИС_Ежова\"/>
    <hyperlink ref="D48" r:id="rId173" display="\\fserv\e\MERA\TKP\TKP2024\tkp2024_002_ТверьКанатДор_испытания_Маслова\"/>
    <hyperlink ref="J48" r:id="rId174" display="\\fserv\e\MERA\TKP\TKP2024\tkp2024_002_ТверьКанатДор_испытания_Маслова\ТКП_002_24_статус.xlsm"/>
    <hyperlink ref="J103" r:id="rId175" display="\\fserv\e\MERA\TKP\TKP2024\tkp2024_046_КБХM_MIC-236_MIC-553_Ежова\ТКП_046_24_статус.xlsm"/>
    <hyperlink ref="J104" r:id="rId176" display="\\fserv\e\MERA\TKP\TKP2024\tkp2024_047_КБХМ_утв.типаСИ_корпус302_Ежова\ТКП_047_24_статус.xlsm"/>
    <hyperlink ref="J105" r:id="rId177" display="\\fserv\e\MERA\TKP\TKP2024\tkp2024_048_КБХМ_СИС_Ежова\ТКП_048_24_статус.xlsm"/>
    <hyperlink ref="D106" r:id="rId178" display="\\fserv\e\MERA\TKP\TKP2022\tkp2022_056_ГАП_союз_АСУТП_ЛВД_Спиридонский_РСС\"/>
    <hyperlink ref="D107" r:id="rId179" display="\\fserv\e\MERA\TKP\TKP2024\tkp2024_033_ЦИАМ_ТТ_на_АИИС_Маслова\"/>
    <hyperlink ref="J107" r:id="rId180" display="\\fserv\e\MERA\TKP\TKP2024\tkp2024_033_ЦИАМ_ТТ_на_АИИС_Маслова\ТКП_033_24_статус.xlsm"/>
    <hyperlink ref="J106" r:id="rId181" display="\\fserv\e\MERA\TKP\TKP2022\tkp2022_056_ГАП_союз_АСУТП_ЛВД_Спиридонский_РСС\ТКП_056_22_статус.xlsm"/>
    <hyperlink ref="D108" r:id="rId182" display="\\fserv\e\MERA\TKP\TKP2024\tkp2024_059_ОДК_Сатурн_динамика_стенды №3,4_Ежова\"/>
    <hyperlink ref="J108" r:id="rId183" display="\\fserv\e\MERA\TKP\TKP2024\tkp2024_059_ОДК_Сатурн_динамика_стенды №3,4_Ежова\ТКП_059_24_статус.xlsm"/>
    <hyperlink ref="D109" r:id="rId184" display="\\fserv\e\MERA\TKP\TKP2024\tkp2024_058_Силовые_машины_MIC-1200_блок3,4_ЛАЭС-2_Ежова\"/>
    <hyperlink ref="D102" r:id="rId185" display="\\fserv\e\MERA\TKP\TKP2024\tkp2024_055_УГАТУ_поршневые двигатели_РСС\"/>
    <hyperlink ref="D110" r:id="rId186" display="\\fserv\e\MERA\TKP\TKP2024\tkp2024_068_ОДК УМПО_АПД испытания поршневых двигателей_Маслова\"/>
    <hyperlink ref="J97" r:id="rId187" display="ТКП проработка\2022\08_ОДК Стар Цифр двойник\ТКП_08_22_статус.xlsm"/>
    <hyperlink ref="J109" r:id="rId188" display="\\fserv\e\MERA\TKP\TKP2024\tkp2024_058_Силовые_машины_MIC-1200_блок3,4_ЛАЭС-2_Ежова\ТКП_058_24_статус.xlsm"/>
    <hyperlink ref="J16" r:id="rId189" display="\\fserv\e\MERA\TKP\TKP2023\tkp2023_002_ЦАГИ_MIC-553_Сныгина\ТКП_002_23_статус.xlsm"/>
    <hyperlink ref="D112" r:id="rId190" display="\\Fserv\e\MERA\TKP\TKP2024\tkp2024_075_Миль и Камов СИУ МИ-8_РСС_\"/>
    <hyperlink ref="J112" r:id="rId191" display="\\Fserv\e\MERA\TKP\TKP2024\tkp2024_075_Миль и Камов СИУ МИ-8_РСС_\ТКП_075_24_статус.xlsm"/>
    <hyperlink ref="J110" r:id="rId192" display="\\fserv\e\MERA\TKP\TKP2024\tkp2024_068_ОДК УМПО_АПД испытания поршневых двигателей_Маслова\ТКП_068_24_статус.xlsm"/>
    <hyperlink ref="D111" r:id="rId193" display="\\fserv\e\MERA\TKP\TKP2024\tkp2024_081_Завод_Вентилятор_ИВК_РСС_Ежова\"/>
    <hyperlink ref="J111" r:id="rId194" display="\\fserv\e\MERA\TKP\TKP2024\tkp2024_081_Завод_Вентилятор_ИВК_РСС_Ежова\ТКП_081_24_статус.xlsm"/>
    <hyperlink ref="D114" r:id="rId195" display="\\fserv\e\MERA\TKP\TKP2022\tkp2022_194_Кронштадт_ТО_винтовые стенды_Ежова\"/>
    <hyperlink ref="D116" r:id="rId196" display="\\fserv\e\MERA\TKP\TKP2024\tkp2024_051_ЦИАМ_плагин_для_сканеров_Маслова\"/>
    <hyperlink ref="J116" r:id="rId197" display="\\fserv\e\MERA\TKP\TKP2024\tkp2024_051_ЦИАМ_плагин_для_сканеров_Маслова\ТКП_051_24_статус.xlsm"/>
    <hyperlink ref="D115" r:id="rId198" display="\\fserv\e\MERA\TKP\TKP2024\tkp2024_125_КТРВ_MIC-224_Маслова\"/>
    <hyperlink ref="J115" r:id="rId199" display="\\fserv\e\MERA\TKP\TKP2024\tkp2024_125_КТРВ_MIC-224_Маслова\ТКП_125_24_статус.xlsm"/>
    <hyperlink ref="D117" r:id="rId200" display="\\fserv\e\MERA\TKP\TKP2024\tkp2024_134_ЦИАМ_тензостанция_Маслова\"/>
    <hyperlink ref="D118" r:id="rId201" display="\\fserv\e\MERA\TKP\TKP2024\tkp2024_116_Техприбор_взрывозащита_з.2797_Ежова\"/>
    <hyperlink ref="D119" r:id="rId202" display="\\fserv\e\MERA\TKP\TKP2024\tkp2024_124_НПП_Монотест_MIC-355_Буряк\"/>
    <hyperlink ref="D120" r:id="rId203" display="\\fserv\e\MERA\TKP\TKP2024\tkp2024_147_ЦИАМ_ГТУ_Маслова\"/>
    <hyperlink ref="J117" r:id="rId204" display="\\fserv\e\MERA\TKP\TKP2024\tkp2024_134_ЦИАМ_тензостанция_Маслова\ТКП_134_24_статус.xlsm"/>
    <hyperlink ref="J118" r:id="rId205" display="\\fserv\e\MERA\TKP\TKP2024\tkp2024_116_Техприбор_взрывозащита_з.2797_Ежова\ТКП_116_24_статус.xlsm"/>
    <hyperlink ref="J119" r:id="rId206" display="\\fserv\e\MERA\TKP\TKP2024\tkp2024_124_НПП_Монотест_MIC-355_Буряк\ТКП_124_24_статус.xlsm"/>
    <hyperlink ref="J120" r:id="rId207" display="\\fserv\e\MERA\TKP\TKP2024\tkp2024_147_ЦИАМ_ГТУ_Маслова\ТКП_147_24_статус.xlsm"/>
    <hyperlink ref="D121" r:id="rId208" display="\\fserv\e\MERA\TKP\TKP2024\tkp2024_148_Икар_поршневые двигатели_70-200_Маслова\"/>
    <hyperlink ref="J121" r:id="rId209" display="\\fserv\e\MERA\TKP\TKP2024\tkp2024_148_Икар_поршневые двигатели_70-200_Маслова\ТКП_148_24_статус.xlsm"/>
    <hyperlink ref="D126" r:id="rId210" display="\\fserv\e\MERA\TKP\TKP2024\tkp2024_135_ЦИАМ_Разгонный стенд_Маслова\"/>
    <hyperlink ref="J126" r:id="rId211" display="\\fserv\e\MERA\TKP\TKP2024\tkp2024_135_ЦИАМ_Разгонный стенд_Маслова\ТКП_135_24_статус.xlsm"/>
    <hyperlink ref="D125" r:id="rId212" display="\\fserv\e\MERA\TKP\TKP2024\tkp2024_139_ЯГТУ_стенд_Ежова\"/>
    <hyperlink ref="J125" r:id="rId213" display="\\fserv\e\MERA\TKP\TKP2024\tkp2024_139_ЯГТУ_стенд_Ежова\ТКП_139_24_статус.xlsm"/>
    <hyperlink ref="D123" r:id="rId214" display="\\fserv\e\MERA\TKP\TKP2024\tkp2024_166_Лаб Мекканика_РСС_Ежова\"/>
    <hyperlink ref="J123" r:id="rId215" display="\\fserv\e\MERA\TKP\TKP2024\tkp2024_166_Лаб Мекканика_РСС_Ежова\ТКП_166_24_статус.xlsm"/>
    <hyperlink ref="J122" r:id="rId216" display="\\Fserv\e\MERA\TKP\TKP2024\tkp2024_165_Kingsly_РСС_Ежова\ТКП_165_24_статус.xlsm"/>
    <hyperlink ref="D129" r:id="rId217" display="\\fserv\e\MERA\TKP\TKP2024\tkp2024_154_КАДВИ_вибростенд_Ежова\"/>
    <hyperlink ref="D130" r:id="rId218" display="\\fserv\e\MERA\TKP\TKP2024\tkp2024_171_ЦИАМ_комплект для моделирования_Маслова\"/>
    <hyperlink ref="D131" r:id="rId219" display="\\fserv\e\MERA\TKP\TKP2024\tkp2024_172_ЦИАМ_комплект для диагностики_Маслова\"/>
    <hyperlink ref="D132" r:id="rId220" display="\\fserv\e\MERA\TKP\TKP2024\tkp2024_173_ЦИАМ_комплект для поверки_Маслова\"/>
    <hyperlink ref="J102" r:id="rId221" display="\\fserv\e\MERA\TKP\TKP2024\tkp2024_055_УГАТУ_поршневые двигатели_РСС\ТКП_055_24_статус.xlsm"/>
    <hyperlink ref="D133" r:id="rId222" display="\\fserv\e\MERA\TKP\TKP2024\tkp2024_177_Центр Келдыша_система сбора информации_Пастарнакова\"/>
    <hyperlink ref="J133" r:id="rId223" display="\\fserv\e\MERA\TKP\TKP2024\tkp2024_177_Центр Келдыша_система сбора информации_Пастарнакова\ТКП_177_24_статус.xlsm"/>
    <hyperlink ref="J130" r:id="rId224" display="\\fserv\e\MERA\TKP\TKP2024\tkp2024_171_ЦИАМ_комплект для моделирования_Маслова\ТКП_171_24_статус.xlsm"/>
    <hyperlink ref="J131" r:id="rId225" display="\\fserv\e\MERA\TKP\TKP2024\tkp2024_172_ЦИАМ_комплект для диагностики_Маслова\ТКП_172_24_статус.xlsm"/>
    <hyperlink ref="J132" r:id="rId226" display="\\fserv\e\MERA\TKP\TKP2024\tkp2024_173_ЦИАМ_комплект для поверки_Маслова\ТКП_173_24_статус.xlsm"/>
    <hyperlink ref="J129" r:id="rId227" display="\\fserv\e\MERA\TKP\TKP2024\tkp2024_154_КАДВИ_вибростенд_Ежова\ТКП_154_24_статус.xlsm"/>
    <hyperlink ref="D127" r:id="rId228" display="\\fserv\e\MERA\TKP\TKP2024\tkp2024_189_Альянс_Автоматизированная_система_нагружения_Буряк\"/>
    <hyperlink ref="D128" r:id="rId229" display="\\fserv\e\MERA\TKP\TKP2024\tkp2024_190_НИИмаш_Силоизмерительное_устройство_Буряк\"/>
    <hyperlink ref="J127" r:id="rId230" display="\\fserv\e\MERA\TKP\TKP2024\tkp2024_189_Альянс_Автоматизированная_система_нагружения_Буряк\ТКП_189_24_статус.xlsm"/>
    <hyperlink ref="J128" r:id="rId231" display="\\fserv\e\MERA\TKP\TKP2024\tkp2024_190_НИИмаш_Силоизмерительное_устройство_Буряк\ТКП_190_24_статус.xlsm"/>
    <hyperlink ref="D134" r:id="rId232" display="\\fserv\e\MERA\TKP\TKP2024\tkp2024_176_ВНИИТФ_Система_нагружения_Буряк\"/>
    <hyperlink ref="D135" r:id="rId233" display="\\fserv\e\MERA\TKP\TKP2024\tkp2024_175_ММП им. В.В.Чернышева_перебазировка_стендов_Ежова\"/>
    <hyperlink ref="D136" r:id="rId234" display="\\fserv\e\MERA\TKP\TKP2024\tkp2024_032_Казанский вертолетный завод_испытания_Маслова\"/>
    <hyperlink ref="J134" r:id="rId235" display="\\fserv\e\MERA\TKP\TKP2024\tkp2024_176_ВНИИТФ_Система_нагружения_Буряк\ТКП_176_24_статус.xlsm"/>
    <hyperlink ref="J135" r:id="rId236" display="\\fserv\e\MERA\TKP\TKP2024\tkp2024_175_ММП им. В.В.Чернышева_перебазировка_стендов_Ежова\ТКП_175_24_статус.xlsm"/>
    <hyperlink ref="J136" r:id="rId237" display="\\fserv\e\MERA\TKP\TKP2024\tkp2024_032_Казанский вертолетный завод_испытания_Маслова\ТКП_032_24_статус.xlsm"/>
    <hyperlink ref="D137" r:id="rId238" display="\\fserv\e\MERA\TKP\TKP2024\tkp2024_181_НПО_Лавочкина_ИВК_Островская\"/>
    <hyperlink ref="D138" r:id="rId239" display="\\fserv\e\MERA\TKP\TKP2024\tkp2024_186_ОНПП_Технология_MIC-236_Буряк\"/>
    <hyperlink ref="J137" r:id="rId240" display="\\fserv\e\MERA\TKP\TKP2024\tkp2024_181_НПО_Лавочкина_ИВК_Островская\ТКП_181_24_статус.xlsm"/>
    <hyperlink ref="J138" r:id="rId241" display="\\fserv\e\MERA\TKP\TKP2024\tkp2024_186_ОНПП_Технология_MIC-236_Буряк\ТКП_186_24_статус.xlsm"/>
    <hyperlink ref="D140" r:id="rId242" display="\\fserv\e\MERA\TKP\TKP2022\tkp2022_447_ОДК_Сатурн_ССДУ-ЗЛК_Ежова_РСС\"/>
    <hyperlink ref="J140" r:id="rId243" display="\\fserv\e\MERA\TKP\TKP2022\tkp2022_447_ОДК_Сатурн_ССДУ-ЗЛК_Ежова_РСС\ТКП_447_22_статус.xlsm"/>
    <hyperlink ref="D17" r:id="rId244" display="\\fserv\e\MERA\TKP\TKP2024\tkp2024_220_НПК_КБМ_Система_нагружения_Ежова\"/>
    <hyperlink ref="J17" r:id="rId245" display="\\fserv\e\MERA\TKP\TKP2024\tkp2024_220_НПК_КБМ_Система_нагружения_Ежова\ТКП_220_24_статус.xlsm"/>
    <hyperlink ref="D139" r:id="rId246" display="\\fserv\e\MERA\TKP\TKP2024\tkp2024_252_NDTrus_испытательный стенд_РСС_Ежова\"/>
    <hyperlink ref="J139" r:id="rId247" display="\\fserv\e\MERA\TKP\TKP2024\tkp2024_252_NDTrus_испытательный стенд_РСС_Ежова\ТКП_252_24_статус.xlsm"/>
    <hyperlink ref="D141" r:id="rId248" display="\\fserv\e\MERA\TKP\TKP2024\tkp2024_219_ФЦДТ_Союз_СИПП_Ежова\"/>
    <hyperlink ref="J141" r:id="rId249" display="\\fserv\e\MERA\TKP\TKP2024\tkp2024_219_ФЦДТ_Союз_СИПП_Ежова\ТКП_219_24_статус.xlsm"/>
    <hyperlink ref="D165" r:id="rId250" display="\\fserv\e\MERA\TKP\TKP2024\tkp2024_264_ОКБ_Ростов_Миль_стенд_испытаний_вентиляторов_Ежова\"/>
    <hyperlink ref="D143" r:id="rId251" display="\\fserv\e\MERA\TKP\TKP2024\tkp2024_268_ПНИПУ_тензостанция_РСС_Ежова\"/>
    <hyperlink ref="J143" r:id="rId252" display="\\fserv\e\MERA\TKP\TKP2024\tkp2024_268_ПНИПУ_тензостанция_РСС_Ежова\ТКП_268_24_статус.xlsm"/>
    <hyperlink ref="D144" r:id="rId253"/>
    <hyperlink ref="D145" r:id="rId254" display="\\fserv\e\MERA\TKP\TKP2024\tkp2024_280_ЦИАМ_Баранова_кабель_Буряк\"/>
    <hyperlink ref="J144" r:id="rId255" display="\\fserv\e\MERA\TKP\TKP2024\tkp2024_276_Унихимтек_Проведение_тензоизмерений_Буряк\ТКП_276_24_статус.xlsm"/>
    <hyperlink ref="J145" r:id="rId256" display="\\fserv\e\MERA\TKP\TKP2024\tkp2024_280_ЦИАМ_Баранова_кабель_Буряк\ТКП_280_24_статус.xlsm"/>
    <hyperlink ref="D149" r:id="rId257" display="\\fserv\e\MERA\TKP\TKP2024\tkp2024_306_Силовые_машины_(ЛМЗ)_Виброметр+ПО_Мелихов\"/>
    <hyperlink ref="J149" r:id="rId258" display="\\fserv\e\MERA\TKP\TKP2024\tkp2024_306_Силовые_машины_(ЛМЗ)_Виброметр+ПО_Мелихов\ТКП_306_24_статус.xlsm"/>
    <hyperlink ref="D150" r:id="rId259" display="\\fserv\e\MERA\TKP\TKP2024\tkp2024_310_Интрис_MIC-236_Ежова\"/>
    <hyperlink ref="J150" r:id="rId260" display="\\fserv\e\MERA\TKP\TKP2024\tkp2024_310_Интрис_MIC-236_Ежова\ТКП_310_24_статус.xlsm"/>
    <hyperlink ref="D99" r:id="rId261" display="\\fserv\e\MERA\TKP\TKP2024\tkp2024_312_ТрансНефть_MIC-236_Мелихов\"/>
    <hyperlink ref="J99" r:id="rId262" display="\\fserv\e\MERA\TKP\TKP2024\tkp2024_312_ТрансНефть_MIC-236_Мелихов\ТКП_312_24_статус.xlsm"/>
    <hyperlink ref="D151" r:id="rId263" display="\\fserv\e\MERA\TKP\TKP2024\tkp2024_302_Миль и Камов_усталостные_испытания_втулки_изд.450_Ежова\"/>
    <hyperlink ref="D122" r:id="rId264" display="\\fserv\e\MERA\TKP\TKP2024\tkp2024_165_Kingsly_Labview и Linux_РСС_Ежова\"/>
    <hyperlink ref="D171" r:id="rId265" display="\\fserv\e\MERA\TKP\TKP2024\tkp2024_339_ОДК-Сервис_Акустический_волновод_Мелихов\"/>
    <hyperlink ref="J171" r:id="rId266" display="\\fserv\e\MERA\TKP\TKP2024\tkp2024_339_ОДК-Сервис_Акустический_волновод_Мелихов\ТКП_339_24_статус.xlsm"/>
    <hyperlink ref="J151" r:id="rId267" display="\\fserv\e\MERA\TKP\TKP2024\tkp2024_302_Миль и Камов_усталостные_испытания_втулки_изд.450_Ежова\ТКП_302_24_статус.xlsm"/>
    <hyperlink ref="D152" r:id="rId268" display="\\fserv\e\MERA\TKP\TKP2024\tkp2024_338_Kingsly_600chan+camera_РСС_Ежова\"/>
    <hyperlink ref="J152" r:id="rId269" display="\\fserv\e\MERA\TKP\TKP2024\tkp2024_338_Kingsly_600chan+camera_РСС_Ежова\ТКП_338_24_статус.xlsm"/>
    <hyperlink ref="D157" r:id="rId270" display="\\fserv\e\MERA\TKP\TKP2024\tkp2024_352_Kingsly_Strain DAQ_1536 channels + 96 voltages_Ежова\"/>
    <hyperlink ref="J157" r:id="rId271" display="\\fserv\e\MERA\TKP\TKP2024\tkp2024_352_Kingsly_Strain DAQ_1536 channels + 96 voltages_Ежова\ТКП_352_24_статус.xlsm"/>
    <hyperlink ref="D124" r:id="rId272" display="\\fserv\e\MERA\TKP\TKP2024\tkp2024_156_Икар_поршневые двигатели_3-10_Мелихов\"/>
    <hyperlink ref="J124" r:id="rId273" display="\\fserv\e\MERA\TKP\TKP2024\tkp2024_156_Икар_поршневые двигатели_3-10_Мелихов\ТКП_156_24_статус.xlsm"/>
    <hyperlink ref="D158" r:id="rId274" display="\\fserv\e\MERA\TKP\TKP2024\tkp2024_305_Лавочкина_MIC-026_Пастарнакова\"/>
    <hyperlink ref="D159" r:id="rId275" display="\\fserv\e\MERA\TKP\TKP2024\tkp2024_309_ЛМЗ_Оборудование_Мелихов\"/>
    <hyperlink ref="D172" r:id="rId276" display="\\fserv\e\MERA\TKP\TKP2024\tkp2024_365_НПО_Машиностроения_Гальванические_блоки_Мелихов\"/>
    <hyperlink ref="J158" r:id="rId277" display="\\fserv\e\MERA\TKP\TKP2024\tkp2024_305_Лавочкина_MIC-026_Пастарнакова\ТКП_305_24_статус.xlsm"/>
    <hyperlink ref="J159" r:id="rId278" display="\\fserv\e\MERA\TKP\TKP2024\tkp2024_309_ЛМЗ_Оборудование_Мелихов\ТКП_309_24_статус.xlsm"/>
    <hyperlink ref="J163" r:id="rId279" display="\\fserv\e\MERA\TKP\TKP2022\tkp2022_558_НПО_Машиностроения_Гальванические_блоки_Мелихов\ТКП_558_22_статус.xlsm"/>
    <hyperlink ref="D161" r:id="rId280" display="\\fserv\e\MERA\TKP\TKP2024\tkp2024_372_Кронштадт_исп. силовой установки_РСС_Мелихов\"/>
    <hyperlink ref="J161" r:id="rId281" display="\\fserv\e\MERA\TKP\TKP2024\tkp2024_372_Кронштадт_исп. силовой установки_РСС_Мелихов\ТКП_372_24_статус.xlsm"/>
    <hyperlink ref="D164" r:id="rId282" display="\\fserv\e\MERA\TKP\TKP2024\tkp2024_380_Kingsly_ISRO-TCT_2000+ channels_РСС_Буряк\"/>
    <hyperlink ref="J164" r:id="rId283" display="\\fserv\e\MERA\TKP\TKP2024\tkp2024_380_Kingsly_ISRO-TCT_2000+ channels_РСС_Буряк\ТКП_380_24_статус.xlsm"/>
    <hyperlink ref="D32" r:id="rId284" display="\\fserv\e\MERA\TKP\TKP2022\tkp2022_511_Авангард_Стенд_испытания_корпусов_Мелихов\"/>
    <hyperlink ref="J32" r:id="rId285" display="\\fserv\e\MERA\TKP\TKP2022\tkp2022_511_Авангард_Стенд_испытания_корпусов_Мелихов\ТКП_511_22_статус.xlsm"/>
    <hyperlink ref="D163" r:id="rId286" display="\\fserv\e\MERA\TKP\TKP2022\tkp2022_558_НПО_Машиностроения_Гальванические_блоки_Мелихов\"/>
    <hyperlink ref="D156" r:id="rId287" display="\\fserv\e\MERA\TKP\TKP2024\tkp2024_360_Kingsly_24 channels_РСС_Буряк\"/>
    <hyperlink ref="J156" r:id="rId288" display="\\fserv\e\MERA\TKP\TKP2024\tkp2024_360_Kingsly_24 channels_РСС_Буряк\ТКП_360_24_статус.xlsm"/>
    <hyperlink ref="D155" r:id="rId289" display="\\fserv\e\MERA\TKP\TKP2024\tkp2024_379_Алтай_ИВК_Мелихов\"/>
    <hyperlink ref="J155" r:id="rId290" display="\\fserv\e\MERA\TKP\TKP2024\tkp2024_379_Алтай_ИВК_Мелихов\ТКП_379_24_статус.xlsm"/>
    <hyperlink ref="D142" r:id="rId291" display="\\fserv\e\MERA\TKP\TKP2024\tkp2024_392_ОКБМ_Африкантова_РСС_Мелихов\"/>
    <hyperlink ref="D175" r:id="rId292"/>
    <hyperlink ref="D166" r:id="rId293" display="\\fserv\e\MERA\TKP\TKP2024\tkp2024_410_УЗГА_Эмулятор_пилота_АПД-300_Мелихов\"/>
    <hyperlink ref="D167" r:id="rId294" display="\\fserv\e\MERA\TKP\TKP2024\tkp2024_413_Kingsly_MS_402_MS_405_Островская\"/>
    <hyperlink ref="D168" r:id="rId295" display="\\fserv\e\MERA\TKP\TKP2024\tkp2024_418_ОДК_Сатурн_АСУТПИ_(стенды_26,_27,_28)_Мелихов\"/>
    <hyperlink ref="D173" r:id="rId296" display="\\fserv\e\MERA\TKP\TKP2024\tkp2024_434_ОДК_Сатурн_Пульты_АИУС_Мелихов\"/>
    <hyperlink ref="J114" r:id="rId297" display="\\fserv\e\MERA\TKP\TKP2022\tkp2022_194_Кронштадт_ТО_винтовые стенды_Ежова\ТКП_194_22_статус.xlsm"/>
    <hyperlink ref="J166" r:id="rId298" display="\\fserv\e\MERA\TKP\TKP2024\tkp2024_410_УЗГА_Эмулятор_пилота_АПД-300_Мелихов\ТКП_410_24_статус.xlsm"/>
    <hyperlink ref="J175" r:id="rId299" display="\\fserv\e\MERA\TKP\TKP2024\tkp2024_433_КГТУ_Измеритель_крутящего_момента_и_давления_Мелихов\ТКП_433_24_статус.xlsm"/>
    <hyperlink ref="D169" r:id="rId300" display="\\fserv\e\MERA\TKP\TKP2024\tkp2024_455_КНИТУ КАИ_10 кан стат нагружения_РСС\"/>
    <hyperlink ref="D176" r:id="rId301" display="\\fserv\e\MERA\TKP\TKP2024\tkp2024_460_УрФУ_MIC-224_Мелихов\"/>
    <hyperlink ref="D181" r:id="rId302" display="\\fserv\e\MERA\TKP\TKP2024\tkp2024_453_УМПО_тормозной_стенд_PUMA_Мелихов\"/>
    <hyperlink ref="D174" r:id="rId303" display="\\fserv\e\MERA\TKP\TKP2024\tkp2024_440_АСУ_кондиционеров_ММЦБР_Мелихов\"/>
    <hyperlink ref="D188" r:id="rId304" display="\\fserv\e\MERA\TKP\TKP2024\tkp2024_456_ГКНПЦ Хруничева_РСС_Буряк\"/>
    <hyperlink ref="J167" r:id="rId305" display="\\fserv\e\MERA\TKP\TKP2024\tkp2024_413_Kingsly_MS_402_MS_405_Островская\ТКП_413_24_статус.xlsm"/>
    <hyperlink ref="J168" r:id="rId306" display="\\fserv\e\MERA\TKP\TKP2024\tkp2024_418_ОДК_Сатурн_АСУТПИ_(стенды_26,_27,_28)_Мелихов\ТКП_418_24_статус.xlsm"/>
    <hyperlink ref="J173" r:id="rId307" display="\\fserv\e\MERA\TKP\TKP2024\tkp2024_434_ОДК_Сатурн_Пульты_АИУС_Мелихов\ТКП_434_24_статус.xlsm"/>
    <hyperlink ref="J174" r:id="rId308" display="\\fserv\e\MERA\TKP\TKP2024\tkp2024_440_АСУ_кондиционеров_ММЦБР_Мелихов\ТКП_440_24_статус.xlsm"/>
    <hyperlink ref="J188" r:id="rId309" display="\\fserv\e\MERA\TKP\TKP2024\tkp2024_456_ГКНПЦ Хруничева_РСС_Буряк\ТКП_456_24_статус.xlsm"/>
    <hyperlink ref="D177" r:id="rId310" display="\\fserv\e\MERA\TKP\TKP2024\tkp2024_205_ОДК-Климов_ЭСУД-200_Ежова\"/>
    <hyperlink ref="D9" r:id="rId311" display="\\fserv\e\MERA\TKP\TKP2024\tkp2024_468_АДМСпец.РТ_СИ_для_СТЕНД.корпус_ЛКБМ_Мелихов\"/>
    <hyperlink ref="D178" r:id="rId312" display="\\fserv\e\MERA\TKP\TKP2024\tkp2024_451_Калининская_АЭС_Система контроля вибрации лопаток_Буряк\"/>
    <hyperlink ref="J178" r:id="rId313" display="\\fserv\e\MERA\TKP\TKP2024\tkp2024_451_Калининская_АЭС_Система контроля вибрации лопаток_Буряк\ТКП_451_24_статус.xlsm"/>
    <hyperlink ref="J177" r:id="rId314" display="\\fserv\e\MERA\TKP\TKP2024\tkp2024_205_ОДК-Климов_ЭСУД-200_Ежова\ТКП_205_24_статус.xlsm"/>
    <hyperlink ref="D180" r:id="rId315" display="\\fserv\e\MERA\TKP\TKP2024\tkp2024_474_ЛНК_ДИМиК_ИПМ_РАН_тензостанция_Мелихов\"/>
    <hyperlink ref="D170" r:id="rId316" display="\\fserv\e\MERA\TKP\TKP2024\tkp2024_477_ЦИАМ_доработка_стенда_Ц4Н_Мелихов\"/>
    <hyperlink ref="J180" r:id="rId317" display="\\fserv\e\MERA\TKP\TKP2024\tkp2024_474_ЛНК_ДИМиК_ИПМ_РАН_тензостанция_Мелихов\ТКП_474_24_статус.xlsm"/>
    <hyperlink ref="J170" r:id="rId318" display="\\fserv\e\MERA\TKP\TKP2024\tkp2024_477_ЦИАМ_доработка_стенда_Ц4Н_Мелихов\ТКП_477_24_статус.xlsm"/>
    <hyperlink ref="D182" r:id="rId319" display="\\fserv\e\MERA\TKP\TKP2024\tkp2024_501_Богучанская_ГЭС_Система контроля вибрации_Буряк\"/>
    <hyperlink ref="J182" r:id="rId320" display="\\fserv\e\MERA\TKP\TKP2024\tkp2024_501_Богучанская_ГЭС_Система контроля вибрации_Буряк\ТКП_501_24_статус.xlsm"/>
    <hyperlink ref="D184" r:id="rId321" display="\\fserv\e\MERA\TKP\TKP2024\tkp2024_508_СКБ АРД_ИИС АПД-200_Буряк\"/>
    <hyperlink ref="J184" r:id="rId322" display="\\fserv\e\MERA\TKP\TKP2024\tkp2024_508_СКБ АРД_ИИС АПД-200_Буряк\ТКП_508_24_статус.xlsm"/>
    <hyperlink ref="D183" r:id="rId323" display="\\fserv\e\MERA\TKP\TKP2024\tkp2024_504_АО_ФЦДТ_Союз_ИВК к СИПП_Мелихов\"/>
    <hyperlink ref="J183" r:id="rId324" display="\\fserv\e\MERA\TKP\TKP2024\tkp2024_504_АО_ФЦДТ_Союз_ИВК к СИПП_Мелихов\ТКП_504_24_статус.xlsm"/>
    <hyperlink ref="D185" r:id="rId325" display="\\fserv\e\MERA\TKP\TKP2024\tkp2024_496_Силовые машины_MIC-1200_Буряк\"/>
    <hyperlink ref="J185" r:id="rId326" display="\\fserv\e\MERA\TKP\TKP2024\tkp2024_496_Силовые машины_MIC-1200_Буряк\ТКП_496_24_статус.xlsm"/>
    <hyperlink ref="D162" r:id="rId327" display="\\fserv\e\MERA\TKP\TKP2024\tkp2024_473_ОДК-Сатурн_Диагностика подшипников_Буряк\"/>
    <hyperlink ref="J181" r:id="rId328" display="\\fserv\e\MERA\TKP\TKP2024\tkp2024_453_УМПО_тормозной_стенд_PUMA_Мелихов\ТКП_453_24_статус.xlsm"/>
    <hyperlink ref="J162" r:id="rId329" display="\\fserv\e\MERA\TKP\TKP2024\tkp2024_473_ОДК-Сатурн_Диагностика подшипников_Буряк\ТКП_473_24_статус.xlsm"/>
    <hyperlink ref="J176" r:id="rId330" display="\\fserv\e\MERA\TKP\TKP2024\tkp2024_460_УрФУ_MIC-224_Мелихов\ТКП_460_24_статус.xlsm"/>
    <hyperlink ref="D189" r:id="rId331" display="\\fserv\e\MERA\TKP\TKP2025\tkp2025_002_Kingsly_16 channels LEOS ISRO_РСС_Буряк\"/>
    <hyperlink ref="D190" r:id="rId332" display="\\fserv\e\MERA\TKP\TKP2025\tkp2025_002_Kingsly_16 channels LEOS ISRO_РСС_Буряк\"/>
    <hyperlink ref="D186" r:id="rId333" display="\\fserv\e\MERA\TKP\TKP2024\tkp2024_511_Силовые_машины_ГТЭ170.2_РСС_Мелихов\"/>
    <hyperlink ref="J186" r:id="rId334" display="\\fserv\e\MERA\TKP\TKP2024\tkp2024_511_Силовые_машины_ГТЭ170.2_РСС_Мелихов\ТКП_511_24_статус.xlsm"/>
    <hyperlink ref="D192" r:id="rId335" display="\\fserv\e\MERA\TKP\TKP2025\tkp2025_013_Kingsly ADA engine_РСС_Буряк\"/>
    <hyperlink ref="D193" r:id="rId336" display="\\fserv\e\MERA\TKP\TKP2025\tkp2025_015_Kingsly 64 chan. DAQ_РСС_Буряк\"/>
    <hyperlink ref="J193" r:id="rId337" display="\\fserv\e\MERA\TKP\TKP2025\tkp2025_015_Kingsly 64 chan. DAQ_РСС_Буряк\ТКП_015_25_статус.xlsm"/>
    <hyperlink ref="D191" r:id="rId338" display="\\fserv\e\MERA\TKP\TKP2025\tkp2025_005_ВАЗ_РСС_Мелихов\"/>
    <hyperlink ref="J191" r:id="rId339" display="\\fserv\e\MERA\TKP\TKP2025\tkp2025_005_ВАЗ_РСС_Мелихов\ТКП_005_25_статус.xlsm"/>
    <hyperlink ref="J190" r:id="rId340" display="\\fserv\e\MERA\TKP\TKP2025\tkp2025_002_Kingsly_16 channels LEOS ISRO_РСС_Буряк\ТКП_006_25_статус.xlsm"/>
    <hyperlink ref="J189" r:id="rId341" display="\\fserv\e\MERA\TKP\TKP2025\tkp2025_002_Kingsly_16 channels LEOS ISRO_РСС_Буряк\ТКП_002_25_статус.xlsm"/>
    <hyperlink ref="D195" r:id="rId342" display="\\fserv\e\MERA\TKP\TKP2025\tkp2025_025_ПТЕРО_Мобильная МИС_РСС_Буряк\"/>
    <hyperlink ref="D196" r:id="rId343" display="\\fserv\e\MERA\TKP\TKP2025\tkp2025_030_Kingsly_128 temperature recorder_РСС_Буряк\"/>
    <hyperlink ref="D197" r:id="rId344" display="\\fserv\e\MERA\TKP\TKP2025\tkp2025_031_Kingsly_Vibro control Space-India_РСС_Буряк\"/>
    <hyperlink ref="J195" r:id="rId345" display="\\fserv\e\MERA\TKP\TKP2025\tkp2025_025_ПТЕРО_Мобильная МИС_РСС_Буряк\ТКП_025_25_статус.xlsm"/>
    <hyperlink ref="J197" r:id="rId346" display="\\fserv\e\MERA\TKP\TKP2025\tkp2025_031_Kingsly_Vibro control Space-India_РСС_Буряк\ТКП_031_25_статус.xlsm"/>
    <hyperlink ref="D194" r:id="rId347" display="\\fserv\e\MERA\TKP\TKP2025\tkp2025_048_Автоваз_Модернизация стендов_РСС\"/>
    <hyperlink ref="J194" r:id="rId348" display="\\fserv\e\MERA\TKP\TKP2025\tkp2025_048_Автоваз_Модернизация стендов_РСС\ТКП_048_25_статус.xlsm"/>
    <hyperlink ref="D179" r:id="rId349" display="\\fserv\e\MERA\TKP\TKP2024\tkp2024_431_Kingsly_MIC-553_Буряк\"/>
    <hyperlink ref="J179" r:id="rId350" display="\\fserv\e\MERA\TKP\TKP2024\tkp2024_431_Kingsly_MIC-553_Буряк\ТКП_431_24_статус.xlsm"/>
    <hyperlink ref="D198" r:id="rId351" display="\\fserv\e\MERA\TKP\TKP2025\tkp2025_040_Kingsly_VSSC ISRO_РСС_Буряк\"/>
    <hyperlink ref="D199" r:id="rId352" display="\\fserv\e\MERA\TKP\TKP2025\tkp2025_043_Kingsly_OF_MIC-312_РСС_Буряк\"/>
    <hyperlink ref="J198" r:id="rId353" display="\\fserv\e\MERA\TKP\TKP2025\tkp2025_040_Kingsly_VSSC ISRO_РСС_Буряк\ТКП_040_25_статус.xlsm"/>
    <hyperlink ref="J199" r:id="rId354" display="\\fserv\e\MERA\TKP\TKP2025\tkp2025_043_Kingsly_OF_MIC-312_РСС_Буряк\ТКП_043_25_статус.xlsm"/>
    <hyperlink ref="D13" r:id="rId355" display="\\fserv\e\MERA\TKP\TKP2024\tkp2024_418_ОДК_Сатурн_АСУТПИ_(стенды_26,_27,_28)_Мелихов\"/>
    <hyperlink ref="D202" r:id="rId356" display="../../../../TKP/TKP2025/tkp2025_066_EKLES SERTIFICATE_Тензостанция_24_канала_Островская/"/>
    <hyperlink ref="D203" r:id="rId357" display="../../../../TKP/TKP2025/tkp2025_065_ОДК УМПО_Испытания_АПД_2_стенда_РСС_Буряк/"/>
    <hyperlink ref="J203" r:id="rId358" display="../../../../TKP/TKP2025/tkp2025_065_ОДК УМПО_Испытания_АПД_2_стенда_РСС_Буряк/ТКП_065_25_статус.xlsm"/>
    <hyperlink ref="J202" r:id="rId359" display="\\fserv\e\MERA\TKP\TKP2025\tkp2025_066_EKLES SERTIFICATE_Тензостанция_24_канала_Островская\ТКП_066_25_статус.xlsm"/>
    <hyperlink ref="J153" r:id="rId360" display="\\fserv\e\MERA\TKP\TKP2024\tkp2024_461_КБХМ_РМ8_РСС_Мелихов\ТКП_461_24_статус.xlsm"/>
    <hyperlink ref="D204" r:id="rId361" display="\\fserv\e\MERA\TKP\TKP2025\tkp2025_076_Сатурн DDS-M-110_РСС_Мелихов\"/>
    <hyperlink ref="J204" r:id="rId362" display="\\fserv\e\MERA\TKP\TKP2025\tkp2025_076_Сатурн DDS-M-110_РСС_Мелихов\ТКП_076_25_статус.xlsm"/>
    <hyperlink ref="D205" r:id="rId363" display="\\fserv\e\MERA\TKP\TKP2025\tkp2025_071_АО_СКБМ_Муравейник_Датчики_Островская\"/>
    <hyperlink ref="D206" r:id="rId364" display="\\fserv\e\MERA\TKP\TKP2025\tkp2025_080_Калининская_АЭС_Работы в части замеров вибрации лопаток_Буряк\"/>
    <hyperlink ref="D207" r:id="rId365" display="\\fserv\e\MERA\TKP\TKP2025\tkp2025_081_ОДК-Инжиниринг_Система_вибродиагностики_(Арктик_СПГ-2)_Мелихов\"/>
    <hyperlink ref="J206" r:id="rId366" display="\\fserv\e\MERA\TKP\TKP2025\tkp2025_080_Калининская_АЭС_Работы в части замеров вибрации лопаток_Буряк\ТКП_080_25_статус.xlsm"/>
    <hyperlink ref="D201" r:id="rId367" display="\\fserv\e\MERA\TKP\TKP2025\tkp2025_063_КБХМ_СУ-СР_стенда_огневых_испытаний_Мелихов\"/>
    <hyperlink ref="J196" r:id="rId368" display="\\fserv\e\MERA\TKP\TKP2025\tkp2025_030_Kingsly_128 temperature recorder_РСС_Буряк\ТКП_030_25_статус.xlsm"/>
    <hyperlink ref="J192" r:id="rId369" display="\\fserv\e\MERA\TKP\TKP2025\tkp2025_013_Kingsly ADA engine_РСС_Буряк\ТКП_013_25_статус.xlsm"/>
    <hyperlink ref="J165" r:id="rId370" display="\\fserv\e\MERA\TKP\TKP2024\tkp2024_264_ОКБ_Ростов_Миль_стенд_испытаний_вентиляторов_Ежова\ТКП_264_24_статус.xlsm"/>
    <hyperlink ref="J169" r:id="rId371" display="\\fserv\e\MERA\TKP\TKP2024\tkp2024_455_КНИТУ КАИ_10 кан стат нагружения_РСС\ТКП_455_24_статус.xlsm"/>
    <hyperlink ref="D211" r:id="rId372" display="\\fserv\e\MERA\TKP\TKP2025\tkp2025_126_АО_Кронштадт_Измерительные_системы_Островская\"/>
    <hyperlink ref="J142" r:id="rId373" display="\\fserv\e\MERA\TKP\TKP2024\tkp2024_392_ОКБМ_Африкантова_РСС_Мелихов\ТКП_392_24_статус.xlsm"/>
    <hyperlink ref="D214" r:id="rId374" display="\\fserv\e\MERA\TKP\TKP2025\tkp2025_127_АО Эколибри_Смагина\"/>
    <hyperlink ref="J214" r:id="rId375" display="\\fserv\e\MERA\TKP\TKP2025\tkp2025_127_АО Эколибри_Смагина\ТКП_127_25_статус.xlsm"/>
    <hyperlink ref="D212" r:id="rId376" display="\\fserv\e\MERA\TKP\TKP2025\tkp2025_153_УМПО_АСУТП бокс 3,4_РСС_Островская\"/>
    <hyperlink ref="J212" r:id="rId377" display="\\fserv\e\MERA\TKP\TKP2025\tkp2025_153_УМПО_АСУТП бокс 3,4_РСС_Островская\ТКП_153_25_статус.xlsm"/>
    <hyperlink ref="J210" r:id="rId378" display="\\fserv\e\MERA\TKP\TKP2025\tkp2025_125_Силовые_машины_АЭС_Куданкулам_СКВЛ_РСС_Буряк\ТКП_125_25_статус.xlsm"/>
    <hyperlink ref="J211" r:id="rId379" display="\\fserv\e\MERA\TKP\TKP2025\tkp2025_126_АО_Кронштадт_Измерительные_системы_Островская\ТКП_126_25_статус.xlsm"/>
    <hyperlink ref="D209" r:id="rId380" display="\\fserv\e\MERA\TKP\TKP2025\tkp2025_117_Силовые_машины_ЛМЗ_СКВЛ_РСС_Буряк\"/>
    <hyperlink ref="D210" r:id="rId381" display="\\fserv\e\MERA\TKP\TKP2025\tkp2025_125_Силовые_машины_АЭС_Куданкулам_СКВЛ_РСС_Буряк\"/>
    <hyperlink ref="J209" r:id="rId382" display="\\fserv\e\MERA\TKP\TKP2025\tkp2025_117_Силовые_машины_ЛМЗ_СКВЛ_РСС_Буряк\ТКП_117_25_статус.xlsm"/>
    <hyperlink ref="J205" r:id="rId383" display="\\fserv\e\MERA\TKP\TKP2025\tkp2025_071_АО_СКБМ_Муравейник_Датчики_Островская\ТКП_071_25_статус.xlsm"/>
    <hyperlink ref="D113" r:id="rId384" display="\\fserv\e\MERA\TKP\TKP2024\tkp2024_109_ОДК УМПО_испытания поршневых двигателей_Буряк\"/>
    <hyperlink ref="J113" r:id="rId385" display="\\fserv\e\MERA\TKP\TKP2024\tkp2024_109_ОДК УМПО_испытания поршневых двигателей_Буряк\ТКП_109_24_статус.xlsm"/>
    <hyperlink ref="J207" r:id="rId386" display="\\fserv\e\MERA\TKP\TKP2025\tkp2025_081_ОДК-Инжиниринг_Система_вибродиагностики_(Арктик_СПГ-2)_Мелихов\ТКП_081_25_статус.xlsm"/>
    <hyperlink ref="D208" r:id="rId387" display="\\fserv\e\MERA\TKP\TKP2025\tkp2025_098_Силовые_машины_ЛАЭС-2_СКВЛ_РСС_Буряк\"/>
    <hyperlink ref="J208" r:id="rId388" display="\\fserv\e\MERA\TKP\TKP2025\tkp2025_098_Силовые_машины_ЛАЭС-2_СКВЛ_РСС_Буряк\ТКП_098_25_статус.xlsm"/>
    <hyperlink ref="E215" r:id="rId389" display="\\fserv\e\CLIENTS\FORMULYA\2025\p3209_УЗГА_АПД-500_Скрипник_РСС.xls"/>
    <hyperlink ref="D215" r:id="rId390" display="\\fserv\e\MERA\TKP\TKP2024\tkp2024_334_УЗГА_АПД-500_2_стенда_РСС_Буряк\"/>
    <hyperlink ref="D216" r:id="rId391" display="\\fserv\e\MERA\TKP\TKP2025\tkp2025_138_ЦНИИМАШ_ударный стенд_пульсации_РСС_Мелихов\"/>
    <hyperlink ref="D217" r:id="rId392" display="\\fserv\e\MERA\TKP\TKP2025\tkp2025_140_ОДК-Кузнецов_загрузочное_устройство_корп.201_цех60_Винтай_Мелихов\"/>
    <hyperlink ref="J215" r:id="rId393" display="\\fserv\e\MERA\TKP\TKP2024\tkp2024_334_УЗГА_АПД-500_2_стенда_РСС_Буряк\ТКП_334_24_статус.xlsm"/>
    <hyperlink ref="J217" r:id="rId394" display="\\fserv\e\MERA\TKP\TKP2025\tkp2025_140_ОДК-Кузнецов_загрузочное_устройство_корп.201_цех60_Винтай_Мелихов\ТКП_140_25_статус.xlsm"/>
    <hyperlink ref="D218" r:id="rId395" display="91_25"/>
    <hyperlink ref="J218" r:id="rId396" display="\\Fserv\e\MERA\TKP\TKP2025\tkp2025_091_НИЦ_РКП_Камера_термовакуумной_сушки_Мартынов\ТЗ\ТКП_91_25_статус.xlsm"/>
    <hyperlink ref="D219" r:id="rId397" display="\\fserv\e\MERA\TKP\TKP2025\tkp2025_159_Эрствак_Цифровой стенд_Буряк\"/>
    <hyperlink ref="D8" r:id="rId398" display="\\fserv\e\MERA\TKP\TKP2025\tkp2025_171_НИИМаш_АСИиУ_НИК-101_Мартынов\"/>
    <hyperlink ref="J219" r:id="rId399" display="\\fserv\e\MERA\TKP\TKP2025\tkp2025_159_Эрствак_Цифровой стенд_Буряк\ТКП_159_25_статус.xlsm"/>
    <hyperlink ref="D222" r:id="rId400" display="\\fserv\e\MERA\TKP\TKP2021\tkp2021_032_Уралвагонзавод_MIC-036_Ежова\"/>
    <hyperlink ref="D223" r:id="rId401" display="\\fserv\e\MERA\TKP\TKP2025\tkp2025_156_КБХМ_Операторские_станции_Мелихов\"/>
    <hyperlink ref="J222" r:id="rId402" display="\\fserv\e\MERA\TKP\TKP2021\tkp2021_032_Уралвагонзавод_MIC-036_Ежова\ТКП_032_21_статус.xlsm"/>
    <hyperlink ref="J223" r:id="rId403" display="\\fserv\e\MERA\TKP\TKP2025\tkp2025_156_КБХМ_Операторские_станции_Мелихов\ТКП_156_25_статус.xlsm"/>
    <hyperlink ref="D220" r:id="rId404" display="\\fserv\e\MERA\TKP\TKP2025\tkp2025_140_ОДК-Кузнецов_загрузочное_устройство_гидротормоз_корп.201_цех60_Винтай_Мелихов\"/>
    <hyperlink ref="D225" r:id="rId405" display="\\fserv\e\MERA\TKP\TKP2023\tkp2023_457_Силовые_машины_АИС_ГТЭ-65.1_Мелихов\"/>
    <hyperlink ref="D226" r:id="rId406" display="\\fserv\e\MERA\TKP\TKP2022\tkp2022_230_СКБМ_КурганМашЗавод_стенд испытаний ГМТ_Ежова_РСС\"/>
    <hyperlink ref="D227" r:id="rId407" display="\\fserv\e\MERA\TKP\TKP2022\tkp2022_264_НПП Звезда_Стенд АСС_Мелихов\"/>
    <hyperlink ref="D228" r:id="rId408" display="\\fserv\e\MERA\TKP\TKP2025\tkp2025_202_Kingsly_System for Gear box testing_РСС_Буряк\"/>
    <hyperlink ref="D229" r:id="rId409" display="\\fserv\e\MERA\TKP\TKP2025\tkp2025_220_Kingsly_64_chanel_DAS_РСС_Буряк\"/>
    <hyperlink ref="D230" r:id="rId410" display="\\fserv\e\MERA\TKP\TKP2025\tkp2025_223_Kingsly_MIC-185_РСС_Буряк\"/>
    <hyperlink ref="D233" r:id="rId411" display="\\fserv\e\MERA\TKP\TKP2025\tkp2025_237_НПО_Автоматики_Блоки_КСТ-2_Мартынов\"/>
    <hyperlink ref="J225" r:id="rId412" display="\\fserv\e\MERA\TKP\TKP2023\tkp2023_457_Силовые_машины_АИС_ГТЭ-65.1_Мелихов\ТКП_457_23_статус.xlsm"/>
    <hyperlink ref="J226" r:id="rId413" display="\\fserv\e\MERA\TKP\TKP2022\tkp2022_230_СКБМ_КурганМашЗавод_стенд испытаний ГМТ_Ежова_РСС\ТКП_230_22_статус.xlsm"/>
    <hyperlink ref="J227" r:id="rId414" display="\\fserv\e\MERA\TKP\TKP2022\tkp2022_264_НПП Звезда_Стенд АСС_Мелихов\ТКП_264_22_статус.xlsm"/>
    <hyperlink ref="J228" r:id="rId415" display="\\fserv\e\MERA\TKP\TKP2025\tkp2025_202_Kingsly_System for Gear box testing_РСС_Буряк\ТКП_202_25_статус.xlsm"/>
    <hyperlink ref="J229" r:id="rId416" display="\\fserv\e\MERA\TKP\TKP2025\tkp2025_220_Kingsly_64_chanel_DAS_РСС_Буряк\ТКП_220_25_статус.xlsm"/>
    <hyperlink ref="J230" r:id="rId417" display="\\fserv\e\MERA\TKP\TKP2025\tkp2025_223_Kingsly_MIC-185_РСС_Буряк\ТКП_223_25_статус.xlsm"/>
    <hyperlink ref="D224" r:id="rId418" display="\\fserv\e\MERA\TKP\TKP2025\tkp2025_219_ОДК_Кузнецов_АСУТП_ст.3,4_Винтай_Мелихов\"/>
    <hyperlink ref="J224" r:id="rId419" display="\\fserv\e\MERA\TKP\TKP2025\tkp2025_219_ОДК_Кузнецов_АСУТП_ст.3,4_Винтай_Мелихов\ТКП_219_25_статус.xlsm"/>
    <hyperlink ref="D71" r:id="rId420" display="\\fserv\e\MERA\TKP\TKP2023\tkp2023_410_ГКНПЦ_Хруничева_MIC-553_виброиспытания_РСС_Мелихов\"/>
    <hyperlink ref="D221" r:id="rId421" display="\\fserv\e\MERA\TKP\TKP2025\tkp2025_176_Калилинская_АЭС_Работы в части замеров вибрации лопаток_Буряк\"/>
    <hyperlink ref="J221" r:id="rId422" display="\\fserv\e\MERA\TKP\TKP2025\tkp2025_176_Калилинская_АЭС_Работы в части замеров вибрации лопаток_Буряк\ТКП_176_25_статус.xlsm"/>
    <hyperlink ref="D235" r:id="rId423" display="\\fserv\e\MERA\TKP\TKP2025\tkp2025_241_Kingsly_MIC-185_demo_РСС_Буряк\"/>
    <hyperlink ref="D236" r:id="rId424" display="\\fserv\e\MERA\TKP\TKP2025\tkp2025_249_ЦИАМ_монитор_Смагина\"/>
    <hyperlink ref="J233" r:id="rId425" display="\\fserv\e\MERA\TKP\TKP2025\tkp2025_237_НПО_Автоматики_Блоки_КСТ-2_Мартынов\ТКП_237_25_статус.xlsm"/>
    <hyperlink ref="J236" r:id="rId426" display="\\fserv\e\MERA\TKP\TKP2025\tkp2025_249_ЦИАМ_монитор_Смагина\ТКП_249_25_статус.xlsm"/>
    <hyperlink ref="D231" r:id="rId427" display="\\fserv\e\MERA\TKP\TKP2025\tkp2025_244_ЛИИП им. Гризодубовой_Испытания ГТД_РСС_Буряк\"/>
    <hyperlink ref="J231" r:id="rId428" display="\\fserv\e\MERA\TKP\TKP2025\tkp2025_244_ЛИИП им. Гризодубовой_Испытания ГТД_РСС_Буряк\ТКП_244_25_статус.xlsm"/>
    <hyperlink ref="D213" r:id="rId429" display="\\fserv\e\MERA\TKP\TKP2025\tkp2025_154_КБХА_ст.9 Дооснащение_РСС_Мелихов\"/>
    <hyperlink ref="J213" r:id="rId430" display="\\fserv\e\MERA\TKP\TKP2025\tkp2025_154_КБХА_ст.9 Дооснащение_РСС_Мелихов\ТКП_154_25_статус.xlsm"/>
    <hyperlink ref="J201" r:id="rId431" display="\\fserv\e\MERA\TKP\TKP2025\tkp2025_063_КБХМ_СУ-СР_стенда_огневых_испытаний_Мелихов\ТКП_063_25_статус.xlsm"/>
    <hyperlink ref="D238" r:id="rId432" display="\\fserv\e\MERA\TKP\TKP2025\tkp2025_257_ПК_Салют_Аэродинамический_расчет_бокса_РСС_Буряк\"/>
    <hyperlink ref="J220" r:id="rId433" display="\\fserv\e\MERA\TKP\TKP2025\tkp2025_140_ОДК-Кузнецов_загрузочное_устройство_гидротормоз_корп.201_цех60_Винтай_Мелихов\ТКП_140_25_статус.xlsm"/>
    <hyperlink ref="J9" r:id="rId434" display="\\fserv\e\MERA\TKP\TKP2024\tkp2024_468_АДМСпец.РТ_СИ_для_СТЕНД.корпус_ЛКБМ_Мелихов\ТКП_468_24_статус.xlsm"/>
    <hyperlink ref="D234" r:id="rId435" display="\\fserv\e\MERA\TKP\TKP2025\tkp2025_223_Kingsly_MIC-185_РСС_Буряк\"/>
    <hyperlink ref="J234" r:id="rId436" display="\\fserv\e\MERA\TKP\TKP2025\tkp2025_223_Kingsly_MIC-185_РСС_Буряк\ТКП_223_25_статус.xlsm"/>
    <hyperlink ref="J8" r:id="rId437" display="\\fserv\e\MERA\TKP\TKP2025\tkp2025_171_НИИМаш_АСИиУ_НИК-101_Мартынов\ТКП_171_25_статус.xlsm"/>
    <hyperlink ref="J238" r:id="rId438" display="\\fserv\e\MERA\TKP\TKP2025\tkp2025_257_ПК_Салют_Аэродинамический_расчет_бокса_РСС_Буряк\ТКП_257_25_статус.xlsm"/>
    <hyperlink ref="D200" r:id="rId439" display="\\fserv\e\MERA\TKP\TKP2025\tkp2025_037_КБХМ_сияние_РМ-1,3,4_Мелихов\"/>
    <hyperlink ref="J200" r:id="rId440" display="\\fserv\e\MERA\TKP\TKP2025\tkp2025_037_КБХМ_сияние_РМ-1,3,4_Мелихов\ТКП_037_25_статус.xlsm"/>
    <hyperlink ref="D232" r:id="rId441" display="\\fserv\e\MERA\TKP\TKP2025\tkp2025_245_Сатурн_МГТД стенд У-05_РСС_Буряк\"/>
    <hyperlink ref="J232" r:id="rId442" display="\\fserv\e\MERA\TKP\TKP2025\tkp2025_245_Сатурн_МГТД стенд У-05_РСС_Буряк\ТКП_245_25_статус.xlsm"/>
    <hyperlink ref="J235" r:id="rId443" display="\\fserv\e\MERA\TKP\TKP2025\tkp2025_241_Kingsly_MIC-185_demo_РСС_Буряк\ТКП_241_25_статус.xlsm"/>
    <hyperlink ref="D237" r:id="rId444" display="\\fserv\e\MERA\TKP\TKP2025\tkp2025_242_ГКНПЦ_Хруничева_ИССР_КА_РСС_Мартынов\"/>
    <hyperlink ref="J237" r:id="rId445" display="\\fserv\e\MERA\TKP\TKP2025\tkp2025_242_ГКНПЦ_Хруничева_ИССР_КА_РСС_Мартынов\ТКП_242_25_статус.xlsm"/>
    <hyperlink ref="D240" r:id="rId446" display="\\fserv\e\MERA\TKP\TKP2025\tkp2025_279_КБХМ_MIC-236_MIC-553_РСС_\"/>
    <hyperlink ref="J240" r:id="rId447" display="\\fserv\e\MERA\TKP\TKP2025\tkp2025_279_КБХМ_MIC-236_MIC-553_РСС_\ТКП_279_25_статус.xlsm"/>
    <hyperlink ref="D239" r:id="rId448" display="\\fserv\e\MERA\TKP\TKP2025\tkp2025_285_ЦАГИ_модальный возбудитель 2500Н_РСС_\"/>
    <hyperlink ref="J239" r:id="rId449" display="\\fserv\e\MERA\TKP\TKP2025\tkp2025_285_ЦАГИ_модальный возбудитель 2500Н_РСС_\ТКП_285_25_статус.xlsm"/>
    <hyperlink ref="D243" r:id="rId450" display="\\fserv\e\MERA\TKP\TKP2025\tkp2025_290_Kingsly_strain recorder 20000hz_РСС_Буряк\"/>
    <hyperlink ref="J243" r:id="rId451" display="\\fserv\e\MERA\TKP\TKP2025\tkp2025_290_Kingsly_strain recorder 20000hz_РСС_Буряк\ТКП_290_25_статус.xlsm"/>
    <hyperlink ref="D244" r:id="rId452" display="\\fserv\e\MERA\TKP\TKP2025\tkp2025_291_ЯГТУ_MIC-224_Смагина\"/>
    <hyperlink ref="D245" r:id="rId453" display="\\fserv\e\MERA\TKP\TKP2025\tkp2025_293_Силовые_машины_Стативы_ГТЭ-65.1_Мелихов\"/>
    <hyperlink ref="D246" r:id="rId454" display="\\fserv\e\MERA\TKP\TKP2025\tkp2025_298_НПК_КБМ_MT_200_Островская\"/>
    <hyperlink ref="D248" r:id="rId455" display="\\fserv\e\MERA\TKP\TKP2025\tkp2025_304_КБХА_стенд №50_РСС_Мелихов\"/>
    <hyperlink ref="J245" r:id="rId456" display="\\fserv\e\MERA\TKP\TKP2025\tkp2025_293_Силовые_машины_Стативы_ГТЭ-65.1_Мелихов\ТКП_293_25_статус.xlsm"/>
    <hyperlink ref="J246" r:id="rId457" display="\\fserv\e\MERA\TKP\TKP2025\tkp2025_298_НПК_КБМ_MT_200_Островская\ТКП_298_25_статус.xlsm"/>
    <hyperlink ref="J248" r:id="rId458" display="\\fserv\e\MERA\TKP\TKP2025\tkp2025_304_КБХА_стенд №50_РСС_Мелихов\ТКП_304_25_статус.xlsm"/>
    <hyperlink ref="D254" r:id="rId459" display="\\fserv\e\MERA\TKP\TKP2025\tkp2025_339_Kingsly_64-channel portable system_РСС_Буряк\"/>
    <hyperlink ref="D250" r:id="rId460" display="\\fserv\e\MERA\TKP\TKP2025\tkp2025_356_МАЗ_Портативная_система_сбора_данных_Островская\"/>
    <hyperlink ref="J250" r:id="rId461" display="\\fserv\e\MERA\TKP\TKP2025\tkp2025_356_МАЗ_Портативная_система_сбора_данных_Островская\ТКП_356_25_статус.xlsm"/>
    <hyperlink ref="D251" r:id="rId462" display="\\fserv\e\MERA\TKP\TKP2025\tkp2025_313_ОКБ_Микояна_модальный_анализ_РСС_Мелихов\"/>
    <hyperlink ref="D249" r:id="rId463" display="\\fserv\e\MERA\TKP\TKP2025\tkp2025_351_МО_УПМИ_Солнышков_PXI_РСС_Островская\"/>
    <hyperlink ref="J251" r:id="rId464" display="\\fserv\e\MERA\TKP\TKP2025\tkp2025_313_ОКБ_Микояна_модальный_анализ_РСС_Мелихов\ТКП_313_25_статус.xlsm"/>
    <hyperlink ref="D252" r:id="rId465" display="\\fserv\e\MERA\TKP\TKP2025\tkp2025_319_РКЦ_Прогресс_Испытательный_стенд_РСС_Островская\"/>
    <hyperlink ref="J252" r:id="rId466" display="\\fserv\e\MERA\TKP\TKP2025\tkp2025_319_РКЦ_Прогресс_Испытательный_стенд_РСС_Островская\ТКП_319_25_статус.xlsm"/>
    <hyperlink ref="J254" r:id="rId467" display="\\fserv\e\MERA\TKP\TKP2025\tkp2025_339_Kingsly_64-channel portable system_РСС_Буряк\ТКП_339_25_статус.xlsm"/>
    <hyperlink ref="D253" r:id="rId468" display="\\fserv\e\MERA\TKP\TKP2025\tkp2025_325_КАМАЗ_Стенд_испытания_четырехосный_Мелихов\"/>
    <hyperlink ref="J253" r:id="rId469" display="\\fserv\e\MERA\TKP\TKP2025\tkp2025_325_КАМАЗ_Стенд_испытания_четырехосный_Мелихов\ТКП_325_25_статус.xlsm"/>
    <hyperlink ref="D241" r:id="rId470" display="\\fserv\e\MERA\TKP\TKP2025\tkp2025_285_ЦАГИ_модальный возбудитель 2500Н_РСС_\"/>
    <hyperlink ref="J241" r:id="rId471" display="\\fserv\e\MERA\TKP\TKP2025\tkp2025_285_ЦАГИ_модальный возбудитель 2500Н_РСС_\ТКП_285_25_статус.xlsm"/>
    <hyperlink ref="D247" r:id="rId472" display="\\fserv\e\MERA\TKP\TKP2025\tkp2025_337_Гидропресс_Система_для_виброиспытаний_Островская\"/>
    <hyperlink ref="D255" r:id="rId473" display="\\fserv\e\MERA\TKP\TKP2025\tkp2025_326_Кабель_MR-212==ME-003_Мелихов\"/>
    <hyperlink ref="D259" r:id="rId474" display="\\fserv\e\MERA\TKP\TKP2025\tkp2025_335_Газпром_Трансгаз_Югорск_MIC-1500_Островская\"/>
    <hyperlink ref="D260" r:id="rId475" display="\\fserv\e\MERA\TKP\TKP2022\tkp2022_372_ОДК_Сатурн_ИВК_РУД_стенды малыши_Ежова_РСС\"/>
    <hyperlink ref="D261" r:id="rId476" display="\\fserv\e\MERA\TKP\TKP2025\tkp2025_366_Kingsly_MP-07_РСС_Буряк\"/>
    <hyperlink ref="J259" r:id="rId477" display="\\fserv\e\MERA\TKP\TKP2025\tkp2025_335_Газпром_Трансгаз_Югорск_MIC-1500_Островская\ТКП_335_25_статус.xlsm"/>
    <hyperlink ref="J261" r:id="rId478" display="\\fserv\e\MERA\TKP\TKP2025\tkp2025_366_Kingsly_MP-07_РСС_Буряк\ТКП_366_25_статус.xlsm"/>
    <hyperlink ref="J216" r:id="rId479" display="\\fserv\e\MERA\TKP\TKP2025\tkp2025_138_ЦНИИМАШ_ударный стенд_пульсации_РСС_Мелихов\ТКП_138_25_статус.xlsm"/>
    <hyperlink ref="D257" r:id="rId480" display="\\fserv\e\MERA\TKP\TKP2025\tkp2025_408_АО ДУКС_Мелихов_РСС\"/>
    <hyperlink ref="J257" r:id="rId481" display="\\fserv\e\MERA\TKP\TKP2025\tkp2025_408_АО ДУКС_Мелихов_РСС\ТКП_408_25_статус.xlsm"/>
    <hyperlink ref="D263" r:id="rId482" display="\\fserv\e\MERA\TKP\TKP2025\tkp2025_405_Kingsly_WinPOS_РСС_Буряк\"/>
    <hyperlink ref="D264" r:id="rId483" display="\\fserv\e\MERA\TKP\TKP2025\tkp2025_403_КБХА_Блоки_ИВЗ_Мелихов\"/>
    <hyperlink ref="J263" r:id="rId484" display="\\fserv\e\MERA\TKP\TKP2025\tkp2025_405_Kingsly_WinPOS_РСС_Буряк\ТКП_405_25_статус.xlsm"/>
    <hyperlink ref="D267" r:id="rId485" display="\\fserv\e\MERA\TKP\TKP2025\tkp2025_432_Kingsly_160 chan Hi voltage_РСС_Буряк\"/>
    <hyperlink ref="D268" r:id="rId486" display="\\fserv\e\MERA\TKP\TKP2025\tkp2025_433_Kingsly_PDAS analog Compact RIO_РСС_Буряк\"/>
    <hyperlink ref="J264" r:id="rId487" display="\\fserv\e\MERA\TKP\TKP2025\tkp2025_403_КБХА_Блоки_ИВЗ_Мелихов\ТКП_403_25_статус.xlsm"/>
    <hyperlink ref="J268" r:id="rId488" display="\\fserv\e\MERA\TKP\TKP2025\tkp2025_433_Kingsly_PDAS analog Compact RIO_РСС_Буряк\ТКП_433_25_статус.xlsm"/>
    <hyperlink ref="J267" r:id="rId489" display="\\fserv\e\MERA\TKP\TKP2025\tkp2025_432_Kingsly_160 chan Hi voltage_РСС_Буряк\ТКП_432_25_статус.xlsm"/>
    <hyperlink ref="J249" r:id="rId490" display="\\fserv\e\MERA\TKP\TKP2025\tkp2025_351_МО_УПМИ_Солнышков_PXI_РСС_Островская\ТКП_351_25_статус.xlsm"/>
    <hyperlink ref="D271" r:id="rId491" display="\\fserv\e\MERA\TKP\TKP2021\tkp2021_596_СИС60кг_КБХМ_РСС\"/>
    <hyperlink ref="D265" r:id="rId492" display="\\fserv\e\MERA\TKP\TKP2025\tkp2025_465_МАИ_ГСУ500_Мелихов\"/>
    <hyperlink ref="D266" r:id="rId493" display="\\fserv\e\MERA\TKP\TKP2025\tkp2025_452_СГАУ_стенды_испытаний_МГТД_550H_Мелихов\"/>
    <hyperlink ref="J266" r:id="rId494" display="\\fserv\e\MERA\TKP\TKP2025\tkp2025_452_СГАУ_стенды_испытаний_МГТД_550H_Мелихов\ТКП_452_25_статус.xlsm"/>
    <hyperlink ref="J271" r:id="rId495" display="\\fserv\e\MERA\TKP\TKP2021\tkp2021_596_СИС60кг_КБХМ_РСС\ТКП_596_21_статус.xlsm"/>
    <hyperlink ref="D272" r:id="rId496" display="\\fserv\e\MERA\TKP\TKP2025\tkp2025_479_Kingsly_Rocket_Project_Horizontal_Static_Test_О5_Буряк\"/>
    <hyperlink ref="D273" r:id="rId497" display="\\fserv\e\MERA\TKP\TKP2025\tkp2025_488_КНИТУ_Инженерно-сейсмометрическая_станция_Островская\"/>
    <hyperlink ref="D275" r:id="rId498" display="\\fserv\e\MERA\TKP\TKP2025\tkp2025_494_НПП_Адвент_Система_контроля_параметров_СТК_Мелихов\"/>
    <hyperlink ref="D274" r:id="rId499" display="\\fserv\e\MERA\TKP\TKP2025\tkp2025_481_НПФ_Кубаньнефтемаш_ИС_ДВС_БПЛА_Буряк\"/>
    <hyperlink ref="J272" r:id="rId500" display="\\fserv\e\MERA\TKP\TKP2025\tkp2025_479_Kingsly_Rocket_Project_Horizontal_Static_Test_О5_Буряк\ТКП_479_25_статус.xlsm"/>
    <hyperlink ref="J273" r:id="rId501" display="\\fserv\e\MERA\TKP\TKP2025\tkp2025_488_КНИТУ_Инженерно-сейсмометрическая_станция_Островская\ТКП_488_25_статус.xlsm"/>
    <hyperlink ref="J274" r:id="rId502" display="\\fserv\e\MERA\TKP\TKP2025\tkp2025_481_НПФ_Кубаньнефтемаш_ИС_ДВС_БПЛА_Буряк\ТКП_481_25_статус.xlsm"/>
    <hyperlink ref="J275" r:id="rId503" display="\\fserv\e\MERA\TKP\TKP2025\tkp2025_494_НПП_Адвент_Система_контроля_параметров_СТК_Мелихов\ТКП_494_25_статус.xlsm"/>
    <hyperlink ref="J95" r:id="rId504" display="../../../../TKP/TKP2023/tkp2023_450_НИИПМ_MIC-236_Ежова/ТКП_331_25_статус.xlsm"/>
    <hyperlink ref="D92" r:id="rId505" display="\\fserv\e\MERA\TKP\TKP2023\tkp2023_498_ЛМЗ_MIC-356_1150_Маслова\"/>
    <hyperlink ref="J92" r:id="rId506" display="\\fserv\e\MERA\TKP\TKP2023\tkp2023_498_ЛМЗ_MIC-356_1150_Маслова\ТКП_498_23_статус.xlsm"/>
    <hyperlink ref="D276" r:id="rId507" display="\\fserv\e\MERA\TKP\TKP2025\tkp2025_334_Аэрофлот_Технический_аудит_АФЛ (Арбат)_МИР_Буряк\"/>
    <hyperlink ref="D277" r:id="rId508" display="\\fserv\e\MERA\TKP\TKP2025\tkp2025_501_ЦИАМ_АКБ_РСС_Буряк\"/>
    <hyperlink ref="D279" r:id="rId509" display="\\fserv\e\MERA\TKP\TKP2025\tkp2025_506_НПП_Звезда_Пневмонагружатель_АСС_Сахалин_Мелихов\"/>
    <hyperlink ref="J276" r:id="rId510" display="\\fserv\e\MERA\TKP\TKP2025\tkp2025_334_Аэрофлот_Технический_аудит_АФЛ (Арбат)_МИР_Буряк\ТКП_334_25_статус.xlsm"/>
    <hyperlink ref="J279" r:id="rId511" display="\\fserv\e\MERA\TKP\TKP2025\tkp2025_506_НПП_Звезда_Пневмонагружатель_АСС_Сахалин_Мелихов\ТКП_506_25_статус.xlsm"/>
    <hyperlink ref="J277" r:id="rId512" display="\\fserv\e\MERA\TKP\TKP2025\tkp2025_501_ЦИАМ_АКБ_РСС_Буряк\ТКП_501_25_статус.xlsm"/>
    <hyperlink ref="D262" r:id="rId513" display="\\fserv\e\MERA\TKP\TKP2025\tkp2025_380_СГАУ_стенды_испытаний_МГТД_200H_Мелихов\"/>
    <hyperlink ref="J262" r:id="rId514" display="\\fserv\e\MERA\TKP\TKP2025\tkp2025_380_СГАУ_стенды_испытаний_МГТД_200H_Мелихов\ТКП_380_25_статус.xlsm"/>
    <hyperlink ref="D270" r:id="rId515" display="\\fserv\e\MERA\TKP\TKP2024\tkp2024_486_РКЦ_Прогресс_ИВК_500_каналов_Мелихов\"/>
    <hyperlink ref="D269" r:id="rId516" display="\\fserv\e\MERA\TKP\TKP2023\tkp2023_498_ЛМЗ_MIC-356_1150_Маслова\"/>
    <hyperlink ref="J269" r:id="rId517" display="\\fserv\e\MERA\TKP\TKP2023\tkp2023_498_ЛМЗ_MIC-356_1150_Маслова\ТКП_498_23_статус.xlsm"/>
    <hyperlink ref="J270" r:id="rId518" display="\\fserv\e\MERA\TKP\TKP2024\tkp2024_486_РКЦ_Прогресс_ИВК_500_каналов_Мелихов\ТКП_486_24_статус.xlsm"/>
    <hyperlink ref="D154" r:id="rId519" display="\\fserv\e\MERA\TKP\TKP2024\tkp2024_329_КБХМ_РОС_УВК_АСПУ_Мелихов\"/>
    <hyperlink ref="D280" r:id="rId520" display="\\fserv\e\MERA\TKP\TKP2025\tkp2025_206_НПО_Машиностроения_АПК_АО_ТМИ_Мартынов\"/>
    <hyperlink ref="J154" r:id="rId521" display="\\fserv\e\MERA\TKP\TKP2024\tkp2024_329_КБХМ_РОС_УВК_АСПУ_Мелихов\ТКП_329_24_статус.xlsm"/>
    <hyperlink ref="D281" r:id="rId522" display="\\fserv\e\MERA\TKP\TKP2024\tkp2024_392_ОКБМ_Африкантова_РСС_Мелихов\"/>
    <hyperlink ref="D282" r:id="rId523" display="\\fserv\e\MERA\TKP\TKP2022\tkp2022_206_НПО Лавочкина_Центрифуга_Мелихов\"/>
    <hyperlink ref="D287" r:id="rId524" display="\\fserv\e\MERA\TKP\TKP2025\tkp2025_537_150 АРЗ_Модернизация ИС под ВК-2500_РСС_Буряк\"/>
    <hyperlink ref="J281" r:id="rId525" display="\\fserv\e\MERA\TKP\TKP2024\tkp2024_392_ОКБМ_Африкантова_РСС_Мелихов\ТКП_392_24_статус.xlsm"/>
    <hyperlink ref="J287" r:id="rId526" display="\\fserv\e\MERA\TKP\TKP2025\tkp2025_537_150 АРЗ_Модернизация ИС под ВК-2500_РСС_Буряк\ТКП_537_25_статус.xlsm"/>
    <hyperlink ref="J282" r:id="rId527" display="\\fserv\e\MERA\TKP\TKP2022\tkp2022_206_НПО Лавочкина_Центрифуга_Мелихов\ТКП_206_22_статус.xlsm"/>
    <hyperlink ref="D153" r:id="rId528" display="\\fserv\e\MERA\TKP\TKP2025\tkp2025_063_КБХМ_СУ-СР_стенда_огневых_испытаний_Мелихов\"/>
    <hyperlink ref="D283" r:id="rId529" display="\\fserv\e\MERA\TKP\TKP2025\tkp2025_465_МАИ_ГСУ500_Мелихов\"/>
    <hyperlink ref="J283" r:id="rId530" display="\\fserv\e\MERA\TKP\TKP2025\tkp2025_465_МАИ_ГСУ500_Мелихов\ТКП_465_25_статус.xlsm"/>
    <hyperlink ref="J172" r:id="rId531" display="\\fserv\e\MERA\TKP\TKP2024\tkp2024_365_НПО_Машиностроения_Гальванические_блоки_Мелихов\ТКП_365_24_статус.xlsm"/>
    <hyperlink ref="D187" r:id="rId532" display="\\fserv\e\MERA\TKP\TKP2024\tkp2024_518_НИЦ РКП_ТИС_РД171_РСС_Мелихов\"/>
    <hyperlink ref="J187" r:id="rId533" display="\\fserv\e\MERA\TKP\TKP2024\tkp2024_518_НИЦ РКП_ТИС_РД171_РСС_Мелихов\ТКП_518_24_статус.xlsm"/>
    <hyperlink ref="J247" r:id="rId534" display="\\fserv\e\MERA\TKP\TKP2025\tkp2025_337_Гидропресс_Система_для_виброиспытаний_Островская\ТКП_337_25_статус.xlsm"/>
    <hyperlink ref="D284" r:id="rId535" display="\\fserv\e\MERA\TKP\TKP2025\tkp2025_564_НИКИЭТ_Аналог_ONYX_Мелихов\"/>
    <hyperlink ref="J284" r:id="rId536" display="\\fserv\e\MERA\TKP\TKP2025\tkp2025_564_НИКИЭТ_Аналог_ONYX_Мелихов\ТКП_564_25_статус.xlsm"/>
    <hyperlink ref="D278" r:id="rId537" display="\\fserv\e\MERA\TKP\TKP2025\tkp2025_541_Невский_завод_Система_магнитного_биения_РСС_Мелихов\"/>
    <hyperlink ref="J278" r:id="rId538" display="\\fserv\e\MERA\TKP\TKP2025\tkp2025_541_Невский_завод_Система_магнитного_биения_РСС_Мелихов\ТКП_541_25_статус.xlsm"/>
    <hyperlink ref="D285" r:id="rId539" display="\\fserv\e\MERA\TKP\TKP2025\tkp2025_564_НИКИЭТ_Аналог_ONYX_РСС_Мелихов\"/>
    <hyperlink ref="J285" r:id="rId540" display="\\fserv\e\MERA\TKP\TKP2025\tkp2025_564_НИКИЭТ_Аналог_ONYX_РСС_Мелихов\ТКП_564_25_статус.xlsm"/>
    <hyperlink ref="D288" r:id="rId541" display="\\fserv\e\MERA\TKP\TKP2025\tkp2025_112_НПП_Старт_Яскина_Модернизация_системы_Островская\"/>
    <hyperlink ref="D289" r:id="rId542" display="\\fserv\e\MERA\TKP\TKP2025\tkp2025_552_Силовые_машины_ME-405 _РСС_Буряк\"/>
    <hyperlink ref="J288" r:id="rId543" display="\\fserv\e\MERA\TKP\TKP2025\tkp2025_112_НПП_Старт_Яскина_Модернизация_системы_Островская\ТКП_112_25_статус.xlsm"/>
    <hyperlink ref="J289" r:id="rId544" display="\\fserv\e\MERA\TKP\TKP2025\tkp2025_552_Силовые_машины_ME-405 _РСС_Буряк\ТКП_552_25_статус.xlsm"/>
    <hyperlink ref="D256" r:id="rId545" display="\\fserv\e\MERA\TKP\TKP2025\tkp2025_338_Силовые_машины_ME-405_ОПСИ-12-55 _РСС_Буряк\"/>
    <hyperlink ref="J256" r:id="rId546" display="\\fserv\e\MERA\TKP\TKP2025\tkp2025_338_Силовые_машины_ME-405_ОПСИ-12-55 _РСС_Буряк\ТКП_338_25_статус.xlsm"/>
    <hyperlink ref="D286" r:id="rId547" display="\\fserv\e\MERA\TKP\TKP2025\tkp2025_590_ЮУрГУ_Аналог LMS_РСС\"/>
    <hyperlink ref="J286" r:id="rId548" display="\\fserv\e\MERA\TKP\TKP2025\tkp2025_590_ЮУрГУ_Аналог LMS_РСС\ТКП_590_25_статус.xlsm"/>
    <hyperlink ref="D291" r:id="rId549" display="\\fserv\e\MERA\TKP\TKP2025\tkp2025_558_Кронштадт_MR-212_ME-003_кабель_Мелихов\"/>
    <hyperlink ref="D292" r:id="rId550" display="\\fserv\e\MERA\TKP\TKP2025\tkp2025_586_Доп.АРМ_ГТЭ-65.1_в_контейнере_Мелихов\"/>
    <hyperlink ref="D293" r:id="rId551" display="\\fserv\e\MERA\TKP\TKP2025\tkp2025_593_КурганМашЗавод_РСС_Мелихов\"/>
    <hyperlink ref="D294" r:id="rId552" display="\\fserv\e\MERA\TKP\TKP2023\tkp2023_391_НИИ_ПХ_Кабели_Маслова\"/>
    <hyperlink ref="J292" r:id="rId553" display="\\fserv\e\MERA\TKP\TKP2025\tkp2025_586_Доп.АРМ_ГТЭ-65.1_в_контейнере_Мелихов\ТКП_586_25_статус.xlsm"/>
    <hyperlink ref="J291" r:id="rId554" display="\\fserv\e\MERA\TKP\TKP2025\tkp2025_558_Кронштадт_MR-212_ME-003_кабель_Мелихов\ТКП_558_25_статус.xlsm"/>
    <hyperlink ref="J293" r:id="rId555" display="\\fserv\e\MERA\TKP\TKP2025\tkp2025_593_КурганМашЗавод_РСС_Мелихов\ТКП_593_25_статус.xlsm"/>
    <hyperlink ref="J294" r:id="rId556" display="\\fserv\e\MERA\TKP\TKP2023\tkp2023_391_НИИ_ПХ_Кабели_Маслова\ТКП_391_23_статус.xlsm"/>
    <hyperlink ref="D295" r:id="rId557" display="\\fserv\e\MERA\TKP\TKP2025\tkp2025_609_ОКБ_Гидропресс_система_контроля_усилий_РСС\"/>
    <hyperlink ref="D297" r:id="rId558" display="\\fserv\e\MERA\TKP\TKP2025\tkp2025_607_НПО_Лавочкина_СИ_центрифуга_СУ-267_Мартынов\"/>
    <hyperlink ref="D298" r:id="rId559" display="\\fserv\e\MERA\TKP\TKP2025\tkp2025_615_Силовые машины_ЛАЭС_СКВЛ_РСС\"/>
    <hyperlink ref="J298" r:id="rId560" display="\\fserv\e\MERA\TKP\TKP2025\tkp2025_615_Силовые машины_ЛАЭС_СКВЛ_РСС\ТКП_615_25_статус.xlsm"/>
    <hyperlink ref="J295" r:id="rId561" display="\\fserv\e\MERA\TKP\TKP2025\tkp2025_609_ОКБ_Гидропресс_система_контроля_усилий_РСС\ТКП_609_25_статус.xlsm"/>
    <hyperlink ref="J297" r:id="rId562" display="\\fserv\e\MERA\TKP\TKP2025\tkp2025_607_НПО_Лавочкина_СИ_центрифуга_СУ-267_Мартынов\ТКП_607_25_статус.xlsm"/>
    <hyperlink ref="D299" r:id="rId563" display="\\fserv\e\MERA\TKP\TKP2025\tkp2025_627_Kingsly_High_Bandwidth DAQ_РСС_Буряк\"/>
    <hyperlink ref="J299" r:id="rId564" display="\\fserv\e\MERA\TKP\TKP2025\tkp2025_627_Kingsly_High_Bandwidth DAQ_РСС_Буряк\ТКП_627_25_статус.xlsm"/>
    <hyperlink ref="D148" r:id="rId565" display="\\fserv\e\MERA\TKP\TKP2024\tkp2024_294_Силовые_машины_Калининская_АЭС_MIC-1200_ЭБ№3_Ежова\"/>
    <hyperlink ref="D146" r:id="rId566" display="\\fserv\e\MERA\TKP\TKP2024\tkp2024_174_Силовые машины_mic-1200_ГТЭ-170.2_Ежова\"/>
    <hyperlink ref="J146" r:id="rId567" display="\\fserv\e\MERA\TKP\TKP2024\tkp2024_174_Силовые машины_mic-1200_ГТЭ-170.2_Ежова\ТКП_174_24_статус.xlsm"/>
    <hyperlink ref="J148" r:id="rId568" display="\\fserv\e\MERA\TKP\TKP2024\tkp2024_294_Силовые_машины_Калининская_АЭС_MIC-1200_ЭБ№3_Ежова\ТКП_294_24_статус.xlsm"/>
    <hyperlink ref="D290" r:id="rId569" display="\\fserv\e\MERA\TKP\TKP2025\tkp2025_554_Циам_Коскин_MIC-553_РСС_Мелихов\"/>
    <hyperlink ref="J290" r:id="rId570" display="\\fserv\e\MERA\TKP\TKP2025\tkp2025_554_Циам_Коскин_MIC-553_РСС_Мелихов\ТКП_554_25_статус.xlsm"/>
    <hyperlink ref="J301" r:id="rId571" display="\\fserv\e\MERA\TKP\TKP2025\tkp2025_656_Центр инжиниринга_Испытания ГТУ_РСС\ТКП_656_25_статус.xlsm"/>
    <hyperlink ref="D305" r:id="rId572" display="\\fserv\e\MERA\TKP\TKP2021\tkp2021_293_Силовые_машины_MIC-1200_КуданКулам_Спиридонский\"/>
    <hyperlink ref="D306" r:id="rId573" display="\\fserv\e\MERA\TKP\TKP2024\tkp2024_283_Силовые машины_MIC-1200_Маслова\"/>
    <hyperlink ref="J306" r:id="rId574" display="\\fserv\e\MERA\TKP\TKP2024\tkp2024_283_Силовые машины_MIC-1200_Маслова\ТКП_283_24_статус.xlsm"/>
    <hyperlink ref="J305" r:id="rId575" display="\\fserv\e\MERA\TKP\TKP2021\tkp2021_293_Силовые_машины_MIC-1200_КуданКулам_Спиридонский\ТКП_293_21_статус.xlsm"/>
    <hyperlink ref="J300" r:id="rId576" display="\\fserv\e\MERA\TKP\TKP2025\tkp2025_655_Автотор_Испытательная камера_РСС_Мелихов\ТКП_655_25_статус.xlsm"/>
    <hyperlink ref="D302" r:id="rId577" display="\\fserv\e\MERA\TKP\TKP2026\tkp2026_005_ЛИАЗ_Нагрузочные испытания_РСС\"/>
    <hyperlink ref="J302" r:id="rId578" display="\\fserv\e\MERA\TKP\TKP2026\tkp2026_005_ЛИАЗ_Нагрузочные испытания_РСС\ТКП_005_26_статус.xlsm"/>
    <hyperlink ref="D303" r:id="rId579" display="\\fserv\e\MERA\TKP\TKP2026\tkp2026_017_ЦИАМ_СИ_стенда_ЦЗА_Мелихов\"/>
    <hyperlink ref="J303" r:id="rId580" display="\\fserv\e\MERA\TKP\TKP2026\tkp2026_017_ЦИАМ_СИ_стенда_ЦЗА_Мелихов\ТКП_017_26_статус.xlsm"/>
    <hyperlink ref="D307" r:id="rId581" display="\\fserv\e\MERA\TKP\TKP2026\tkp2026_018_РТУ_МИРЭА_Система_вакуумная_РСС_Буряк\"/>
    <hyperlink ref="D308" r:id="rId582" display="\\fserv\e\MERA\TKP\TKP2026\tkp2026_019_РТУ_МИРЭА_Система вибронагружения_РСС_Буряк\"/>
    <hyperlink ref="D309" r:id="rId583" display="\\fserv\e\MERA\TKP\TKP2026\tkp2026_029_ОКБМ_Африкантов_ME-908_Мелихов\"/>
    <hyperlink ref="D310" r:id="rId584" display="\\fserv\e\MERA\TKP\TKP2026\tkp2026_031_ОДК_Сатурн_АСУТПИ_стендов_27,_28_Мелихов\"/>
    <hyperlink ref="D318" r:id="rId585" display="\\fserv\e\MERA\TKP\TKP2026\tkp2026_044_УЗГА_ВИК для стенда СЭС_РСС\"/>
    <hyperlink ref="D320" r:id="rId586" display="\\fserv\e\MERA\TKP\TKP2026\tkp2026_017_ЦИАМ_СИ_стенда_ЦЗА_Мелихов\"/>
    <hyperlink ref="J309" r:id="rId587" display="\\fserv\e\MERA\TKP\TKP2026\tkp2026_029_ОКБМ_Африкантов_ME-908_Мелихов\ТКП_029_26_статус.xlsm"/>
    <hyperlink ref="J310" r:id="rId588" display="\\fserv\e\MERA\TKP\TKP2026\tkp2026_031_ОДК_Сатурн_АСУТПИ_стендов_27,_28_Мелихов\ТКП_031_26_статус.xlsm"/>
    <hyperlink ref="J318" r:id="rId589" display="\\fserv\e\MERA\TKP\TKP2026\tkp2026_044_УЗГА_ВИК для стенда СЭС_РСС\ТКП_044_26_статус.xlsm"/>
    <hyperlink ref="D317" r:id="rId590" display="\\fserv\e\MERA\TKP\TKP2026\tkp2026_051_АО_ГЦМОЭМС_РСС_испытание_трансмиссий\"/>
    <hyperlink ref="J317" r:id="rId591" display="\\fserv\e\MERA\TKP\TKP2026\tkp2026_051_АО_ГЦМОЭМС_РСС_испытание_трансмиссий\ТКП_051_26_статус.xlsm"/>
    <hyperlink ref="D242" r:id="rId592" display="\\fserv\e\MERA\TKP\TKP2025\tkp2025_296_РТУ_МИРЭА_СФНВП_РСС_Буряк\"/>
    <hyperlink ref="J242" r:id="rId593" display="\\fserv\e\MERA\TKP\TKP2025\tkp2025_296_РТУ_МИРЭА_СФНВП_РСС_Буряк\ТКП_296_25_статус.xlsm"/>
    <hyperlink ref="D311" r:id="rId594" display="\\fserv\e\MERA\TKP\TKP2026\tkp2026_025_СПЕЦЭНЕРГОКОМПЛЕКТ_АИИС_АПД-520_РСС_Мелихов\"/>
    <hyperlink ref="J311" r:id="rId595" display="\\fserv\e\MERA\TKP\TKP2026\tkp2026_025_СПЕЦЭНЕРГОКОМПЛЕКТ_АИИС_АПД-520_РСС_Мелихов\ТКП_025_26_статус.xlsm"/>
    <hyperlink ref="D312" r:id="rId596" display="\\fserv\e\MERA\TKP\TKP2026\tkp2026_058_ЕМТ_MIC-224+модальный_молоток_РСС_Мелихов\"/>
    <hyperlink ref="J312" r:id="rId597" display="\\fserv\e\MERA\TKP\TKP2026\tkp2026_058_ЕМТ_MIC-224+модальный_молоток_РСС_Мелихов\ТКП_058_26_статус.xlsm"/>
    <hyperlink ref="D326" r:id="rId598" display="\\fserv\e\MERA\TKP\TKP2026\tkp2026_045_КБХМ_MIC-553_Мелихов\"/>
    <hyperlink ref="J326" r:id="rId599" display="\\fserv\e\MERA\TKP\TKP2026\tkp2026_045_КБХМ_MIC-553_Мелихов\ТКП_045_26_статус.xlsm"/>
    <hyperlink ref="J265" r:id="rId600" display="\\fserv\e\MERA\TKP\TKP2025\tkp2025_465_МАИ_ГСУ500_Мелихов\ТКП_465_25_статус.xlsm"/>
    <hyperlink ref="D160" r:id="rId601" display="\\fserv\e\MERA\TKP\TKP2026\tkp2026_116_ЦНИИмаш_АИС_500_каналов_Мелихов\"/>
    <hyperlink ref="J160" r:id="rId602" display="\\fserv\e\MERA\TKP\TKP2026\tkp2026_116_ЦНИИмаш_АИС_500_каналов_Мелихов\ТКП_116_26_статус.xlsm"/>
    <hyperlink ref="D304" r:id="rId603" display="\\fserv\e\MERA\TKP\TKP2025\tkp2025_630_МАИ Комсомольск_Повторно статические испытания_РСС_Мелихов\"/>
    <hyperlink ref="J324" r:id="rId604" display="\\fserv\e\MERA\TKP\TKP2025\tkp2025_621_ЦИАМ_MIC-315_Ежова\ТКП_621_25_статус.xlsm"/>
    <hyperlink ref="D324" r:id="rId605" display="\\fserv\e\MERA\TKP\TKP2025\tkp2025_621_ЦИАМ_MIC-315_Ежова\"/>
    <hyperlink ref="D322" r:id="rId606" display="\\fserv\e\MERA\TKP\TKP2026\tkp2026_076_ОДК-Сатурн_Топливная_система_МИР_Буряк\"/>
    <hyperlink ref="D325" r:id="rId607" display="\\fserv\e\MERA\TKP\TKP2026\tkp2026_046_Силовые машины_Электросила_виброционный и модальный анализ_РСС_Мелихов\"/>
    <hyperlink ref="J322" r:id="rId608" display="\\fserv\e\MERA\TKP\TKP2026\tkp2026_076_ОДК-Сатурн_Топливная_система_МИР_Буряк\ТКП_076_26_статус.xlsm"/>
    <hyperlink ref="D327" r:id="rId609" display="\\fserv\e\MERA\TKP\TKP2024\tkp2024_461_КБХМ_РМ8_РСС_Мелихов\"/>
    <hyperlink ref="D328" r:id="rId610" display="\\fserv\e\MERA\TKP\TKP2026\tkp2026_030_ЦНИИмаш_Система_голосовой_связи_Мелихов\"/>
    <hyperlink ref="D330" r:id="rId611" display="\\fserv\e\MERA\TKP\TKP2026\tkp2026_115_ДКБА_Тепловой_стенд_Мелихов\"/>
    <hyperlink ref="D331" r:id="rId612" display="\\fserv\e\MERA\TKP\TKP2026\tkp2026_111_ЦИАМ_Датчики емкостные\"/>
    <hyperlink ref="D333" r:id="rId613" display="\\fserv\e\MERA\TKP\TKP2026\tkp2026_118_ОДК-Авиадвигатель_Индуктивный_датчик_РСС_Мелихов\"/>
    <hyperlink ref="J327" r:id="rId614" display="\\fserv\e\MERA\TKP\TKP2024\tkp2024_461_КБХМ_РМ8_РСС_Мелихов\ТКП_461_24_статус.xlsm"/>
    <hyperlink ref="J333" r:id="rId615" display="\\fserv\e\MERA\TKP\TKP2026\tkp2026_118_ОДК-Авиадвигатель_Индуктивный_датчик_РСС_Мелихов\ТКП_118_26_статус.xlsm"/>
    <hyperlink ref="J328" r:id="rId616" display="\\fserv\e\MERA\TKP\TKP2026\tkp2026_030_ЦНИИмаш_Система_голосовой_связи_Мелихов\ТКП_030_26_статус.xlsm"/>
    <hyperlink ref="J330" r:id="rId617" display="\\fserv\e\MERA\TKP\TKP2026\tkp2026_115_ДКБА_Тепловой_стенд_Мелихов\ТКП_115_26_статус.xlsm"/>
    <hyperlink ref="D147" r:id="rId618" display="\\fserv\e\MERA\TKP\TKP2023\tkp2023_534_Силовые машины_ЛАЭС-2_mic1200 дфм_РСС_Ежова\"/>
    <hyperlink ref="J147" r:id="rId619" display="\\fserv\e\MERA\TKP\TKP2023\tkp2023_534_Силовые машины_ЛАЭС-2_mic1200 дфм_РСС_Ежова\ТКП_534_23_статус.xlsm"/>
    <hyperlink ref="J331" r:id="rId620" display="\\fserv\e\MERA\TKP\TKP2026\tkp2026_111_ЦИАМ_Датчики емкостные\ТКП_111_26_статус.xlsm"/>
    <hyperlink ref="J307" r:id="rId621" display="\\fserv\e\MERA\TKP\TKP2026\tkp2026_018_РТУ_МИРЭА_Система_вакуумная_РСС_Буряк\ТКП_018_26_статус.xlsm"/>
    <hyperlink ref="J308" r:id="rId622" display="\\fserv\e\MERA\TKP\TKP2026\tkp2026_019_РТУ_МИРЭА_Система вибронагружения_РСС_Буряк\ТКП_019_26_статус.xlsm"/>
    <hyperlink ref="D315" r:id="rId623" display="\\fserv\e\MERA\TKP\TKP2026\tkp2026_050_АО_МЕТРОВАГОНМАШ_РСС_тестер_Мелихов\"/>
    <hyperlink ref="D316" r:id="rId624" display="\\fserv\e\MERA\TKP\TKP2026\tkp2026_119_ТМХ-Инжиниринг_МетроВагонМаш_Климатическая_камера_РСС_Мелихов\"/>
    <hyperlink ref="J316" r:id="rId625" display="\\fserv\e\MERA\TKP\TKP2026\tkp2026_119_ТМХ-Инжиниринг_МетроВагонМаш_Климатическая_камера_РСС_Мелихов\ТКП_119_26_статус.xlsm"/>
    <hyperlink ref="D314" r:id="rId626" display="\\fserv\e\MERA\TKP\TKP2026\tkp2026_049_АО_МЕТРОВАГОНМАШ_РСС_краны_запорные_Мелихов\"/>
    <hyperlink ref="J314" r:id="rId627" display="\\fserv\e\MERA\TKP\TKP2026\tkp2026_049_АО_МЕТРОВАГОНМАШ_РСС_краны_запорные_Мелихов\ТКП_049_26_статус.xlsm"/>
    <hyperlink ref="D332" r:id="rId628" display="\\fserv\e\MERA\TKP\TKP2026\tkp2026_137_ОКБМ_Африкантов_СТТ_Мелихов\"/>
    <hyperlink ref="J332" r:id="rId629" display="\\fserv\e\MERA\TKP\TKP2026\tkp2026_137_ОКБМ_Африкантов_СТТ_Мелихов\ТКП_137_26_статус.xlsm"/>
    <hyperlink ref="J325" r:id="rId630" display="\\fserv\e\MERA\TKP\TKP2026\tkp2026_046_Силовые машины_Электросила_виброционный и модальный анализ_РСС_Мелихов\ТКП_046_26_статус.xlsm"/>
    <hyperlink ref="J320" r:id="rId631" display="\\fserv\e\MERA\TKP\TKP2026\tkp2026_017_ЦИАМ_СИ_стенда_ЦЗА_Мелихов\ТКП_017_26_статус.xlsm"/>
    <hyperlink ref="D321" r:id="rId632" display="\\fserv\e\MERA\TKP\TKP2026\tkp2026_045_КБХМ_MIC-553_Мелихов\"/>
    <hyperlink ref="D323" r:id="rId633" display="\\fserv\e\MERA\TKP\TKP2026\tkp2026_112_ОКБМ_Африкантов_стойка_СТТ_Мелихов\"/>
    <hyperlink ref="J321" r:id="rId634" display="\\fserv\e\MERA\TKP\TKP2026\tkp2026_045_КБХМ_MIC-553_Мелихов\ТКП_045_26_статус.xlsm"/>
    <hyperlink ref="D334" r:id="rId635"/>
    <hyperlink ref="J334" r:id="rId636" display="\\fserv\e\MERA\TKP\TKP2026\tkp2026_157_РКЦ_Прогресс_NI_СИУ_РСС\ТКП_157_26_статус.xlsm"/>
    <hyperlink ref="J304" r:id="rId637" display="\\fserv\e\MERA\TKP\TKP2025\tkp2025_630_МАИ Комсомольск_Повторно статические испытания_РСС_Мелихов\ТКП_630_25_статус.xlsm"/>
    <hyperlink ref="D335" r:id="rId638" display="\\fserv\e\MERA\TKP\TKP2026\tkp2026_160_Жуковский_веломотозавод_роликовый_стенд_РСС\"/>
    <hyperlink ref="D336" r:id="rId639" display="\\fserv\e\MERA\TKP\TKP2026\tkp2026_161_Шпиндель лаб_РСС\"/>
    <hyperlink ref="J335" r:id="rId640" display="\\fserv\e\MERA\TKP\TKP2026\tkp2026_160_Жуковский_веломотозавод_роликовый_стенд_РСС\ТКП_160_26_статус.xlsm"/>
    <hyperlink ref="J336" r:id="rId641" display="\\fserv\e\MERA\TKP\TKP2026\tkp2026_161_Шпиндель лаб_РСС\ТКП_161_26_статус.xlsm"/>
    <hyperlink ref="D340" r:id="rId642"/>
    <hyperlink ref="D338" r:id="rId643" display="\\fserv\e\MERA\TKP\TKP2026\tkp2026_178_КБХМ_MIC-553_MIC-236_РСС_Иванова"/>
    <hyperlink ref="D301" r:id="rId644" display="\\fserv\e\MERA\TKP\TKP2026\tkp2026_003_ЦентрИнжиниринг_Шкаф_системы_препарирования_Мелихов\"/>
    <hyperlink ref="J338" r:id="rId645" display="\\fserv\e\MERA\TKP\TKP2026\tkp2026_178_КБХМ_MIC-553_MIC-236_РСС_Иванова\ТКП_178_26_статус.xlsm"/>
    <hyperlink ref="J340" r:id="rId646" display="../../../../TKP/TKP2026/tkp2026_162_РКЦ_Прогрес_ система_гидростатического_нагружения _РСС/ТКП_162_26_статус.xlsm"/>
    <hyperlink ref="D296" r:id="rId647" display="\\fserv\e\MERA\TKP\TKP2022\tkp2022_338_НПО_Лавочкина_Статзал_Мелихов\"/>
    <hyperlink ref="D341" r:id="rId648" display="\\fserv\e\MERA\TKP\TKP2026\tkp2026_167_СГАУ_MIC-170_(абс.7атм.)_Мелихов\"/>
    <hyperlink ref="D344" r:id="rId649" display="\\fserv\e\MERA\TKP\TKP2026\tkp2026_200_МАИ_Измерительная_система_Островская\"/>
    <hyperlink ref="J344" r:id="rId650" display="../../../../TKP/TKP2026/tkp2026_200_МАИ_Измерительная_система_Островская/ТКП_200_26_статус.xlsm"/>
    <hyperlink ref="J341" r:id="rId651" display="\\fserv\e\MERA\TKP\TKP2026\tkp2026_167_СГАУ_MIC-170_(абс.7атм.)_Мелихов\ТКП_167_26_статус.xlsm"/>
    <hyperlink ref="D339" r:id="rId652" display="\\fserv\e\MERA\TKP\TKP2026\tkp2026_185_КБХА аналог ст.62_p1264_РСС_Антипенко\"/>
    <hyperlink ref="J339" r:id="rId653" display="../../../../TKP/TKP2026/tkp2026_185_КБХА аналог ст.62_p1264_РСС_Антипенко/ТКП_185_26_статус.xlsm"/>
    <hyperlink ref="D345" r:id="rId654" display="\\fserv\e\MERA\TKP\TKP2026\tkp2026_209_НИИМаш_АСИиУ_НИК-101_РСС_Мартынов\"/>
    <hyperlink ref="J345" r:id="rId655" display="\\fserv\e\MERA\TKP\TKP2026\tkp2026_209_НИИМаш_АСИиУ_НИК-101_РСС_Мартынов\ТКП_209_26_статус.xlsm"/>
    <hyperlink ref="D347" r:id="rId656" display="\\fserv\e\MERA\TKP\TKP2026\tkp2026_215_СилМаш_Антипенко\"/>
    <hyperlink ref="D348" r:id="rId657" display="\\fserv\e\MERA\TKP\TKP2026\tkp2026_231_ОДК-УМПО_Мобильный_стендовый_комплекс_РСС_Буряк\"/>
    <hyperlink ref="J347" r:id="rId658" display="\\fserv\e\MERA\TKP\TKP2026\tkp2026_215_СилМаш_Антипенко\ТКП_215_26_статус.xlsm"/>
    <hyperlink ref="J348" r:id="rId659" display="\\fserv\e\MERA\TKP\TKP2026\tkp2026_231_ОДК-УМПО_Мобильный_стендовый_комплекс_РСС_Буряк\ТКП_231_26_статус.xlsm"/>
    <hyperlink ref="J3" r:id="rId660" display="../../../../TKP/TKP2026/in2026/ООО/401-500/ООО_ВХ_26_413.pdf"/>
    <hyperlink ref="D349" r:id="rId661" display="\\fserv\e\MERA\TKP\TKP2026\tkp2026_239_ФракДжет-Строй_динамические_испытания_свай_Мелихов\"/>
    <hyperlink ref="J349" r:id="rId662" display="\\fserv\e\MERA\TKP\TKP2026\tkp2026_239_ФракДжет-Строй_динамические_испытания_свай_Мелихов\ТКП_239_26_статус.xlsm"/>
    <hyperlink ref="D350" r:id="rId663"/>
    <hyperlink ref="D351" r:id="rId664" display="\\fserv\e\MERA\TKP\TKP2026\tkp2026_262_Силовые_машины_Ленинградская_АЭС-2_СКВЛ_РСС_Буряк\"/>
    <hyperlink ref="J351" r:id="rId665" display="../../../../TKP/TKP2026/tkp2026_262_Силовые_машины_Ленинградская_АЭС-2_СКВЛ_РСС_Буряк/ТКП_262_26_статус.xlsm"/>
    <hyperlink ref="J350" r:id="rId666" display="\\fserv\e\MERA\TKP\TKP2026\tkp2026_234_УЗГА_MIC236_РСС_Иванова\ТКП_234_26_статус.xlsm"/>
    <hyperlink ref="J329" r:id="rId667" display="\\fserv\e\MERA\TKP\TKP2026\tkp2026_092_Ресурс_МТ-200_РСС_Буряк\ТКП_092_26_статус.xlsm"/>
    <hyperlink ref="D337" r:id="rId668" display="\\fserv\e\MERA\TKP\TKP2026\tkp2026_146_СГАУ_Модернизация_стойки_+MIC-170_РСС_Мелихов\"/>
    <hyperlink ref="J337" r:id="rId669" display="../../../../TKP/TKP2026/tkp2026_146_СГАУ_Модернизация_стойки_+MIC-170_РСС_Мелихов/ТКП_146_26_статус.xlsm"/>
    <hyperlink ref="D346" r:id="rId670" display="\\fserv\e\MERA\TKP\TKP2026\tkp2026_212_КБХМ_РВК_РМ8_РСС_Мелихов\"/>
    <hyperlink ref="J346" r:id="rId671" display="../../../../TKP/TKP2026/tkp2026_212_КБХМ_РВК_РМ8_РСС_Мелихов/ТКП_212_26_статус.xlsm"/>
    <hyperlink ref="D354" r:id="rId672" display="\\fserv\e\MERA\TKP\TKP2026\tkp2026_272_Силовые машины_РСС_ДФМ емкостные датчики_Мелихов\"/>
    <hyperlink ref="J354" r:id="rId673" display="\\fserv\e\MERA\TKP\TKP2026\tkp2026_272_Силовые машины_РСС_ДФМ емкостные датчики_Мелихов\ТКП_272_26_статус.xlsm"/>
    <hyperlink ref="D300" r:id="rId674" display="\\fserv\e\MERA\TKP\TKP2026\tkp2026_002_ИТЦ_Автотор_Испытательная_камера_Мелихов\"/>
    <hyperlink ref="D343" r:id="rId675" display="\\fserv\e\MERA\TKP\TKP2026\tkp2026_203_КБХМ_РМ2_Луна_РСС_Антипенко\"/>
    <hyperlink ref="D355" r:id="rId676" display="\\fserv\e\MERA\TKP\TKP2025\tkp2025_611_НПО_Лавочкина_Цинтрифуга_СИ_(бросковые_испытания)_Мартынов\"/>
    <hyperlink ref="J343" r:id="rId677" display="../../../../TKP/TKP2026/tkp2026_203_КБХМ_РМ2_Луна_РСС_Антипенко/ТКП_203_26_статус.xlsm"/>
    <hyperlink ref="J355" r:id="rId678" display="\\fserv\e\MERA\TKP\TKP2025\tkp2025_611_НПО_Лавочкина_Цинтрифуга_СИ_(бросковые_испытания)_Мартынов\ТКП_611_25_статус.xlsm"/>
    <hyperlink ref="D313" r:id="rId679" display="\\fserv\e\MERA\TKP\TKP2026\tkp2026_048_АО_МЕТРОВАГОНМАШ_РСС_пружины_Мелихов\"/>
    <hyperlink ref="J313" r:id="rId680" display="../../../../TKP/TKP2026/tkp2026_048_АО_МЕТРОВАГОНМАШ_РСС_пружины_Мелихов/ТКП_048_26_статус.xlsm"/>
    <hyperlink ref="D329" r:id="rId681" display="\\fserv\e\MERA\TKP\TKP2026\tkp2026_092_Ресурс_МТ-200_РСС_Буряк\"/>
    <hyperlink ref="D356" r:id="rId682" display="\\fserv\e\MERA\TKP\TKP2025\tkp2025_610_НПО_Лавочкина_Цинтрифуга_СУ-268_Мартынов\"/>
    <hyperlink ref="D357" r:id="rId683" display="\\fserv\e\MERA\TKP\TKP2026\tkp2026_284_Аэрофлот_Доп._оснастка_МИР\"/>
    <hyperlink ref="D359" r:id="rId684" display="\\fserv\e\MERA\TKP\TKP2026\tkp2026_311_НИЦ_РКП_ИС-102_Антипенко\"/>
    <hyperlink ref="D360" r:id="rId685" display="\\fserv\e\MERA\TKP\TKP2026\tkp2026_320_НЕ АКТУАЛЬНО_АО «Концерн Росэнергоатом»_Смоленская_АЭС-2_Иванова\"/>
    <hyperlink ref="J357" r:id="rId686" display="../../../../TKP/TKP2026/tkp2026_284_Аэрофлот_Доп._оснастка_МИР/ТКП_284_26_статус.xlsm"/>
    <hyperlink ref="J360" r:id="rId687" display="../../../../TKP/TKP2026/tkp2026_320_НЕ АКТУАЛЬНО_АО «Концерн Росэнергоатом»_Смоленская_АЭС-2_Иванова/ТКП_320_26_статус.xlsm"/>
    <hyperlink ref="D353" r:id="rId688" display="\\fserv\e\MERA\TKP\TKP2026\tkp2026_285_ФГАОУ ВО УрФУ_стенд для испытаний сервоприводов_Иванова\"/>
    <hyperlink ref="J353" r:id="rId689" display="\\fserv\e\MERA\TKP\TKP2026\tkp2026_285_ФГАОУ ВО УрФУ_стенд для испытаний сервоприводов_Иванова\ТКП_285_26_статус.xlsm"/>
    <hyperlink ref="D352" r:id="rId690" display="\\fserv\e\MERA\TKP\TKP2026\tkp2026_055_НИЦ_РКП_Модернизация_ИВК_ИС_БМП_Мелихов\"/>
    <hyperlink ref="J352" r:id="rId691" display="\\fserv\e\MERA\TKP\TKP2026\tkp2026_055_НИЦ_РКП_Модернизация_ИВК_ИС_БМП_Мелихов\ТКП_055_26_статус.xlsm"/>
    <hyperlink ref="D358" r:id="rId692" display="\\fserv\e\MERA\TKP\TKP2026\tkp2026_338_КБХМ РМ1_РМ4_РСС\"/>
    <hyperlink ref="D362" r:id="rId693" display="\\fserv\e\MERA\TKP\TKP2026\tkp2026_265_Зименс_Якагава_Спенд_АПД_550_Мелихов\"/>
    <hyperlink ref="D363" r:id="rId694" display="\\fserv\e\MERA\TKP\TKP2026\tkp2026_342_Силовые_машины_КИ_ДФМ_РСС_Мелихов\"/>
    <hyperlink ref="J362" r:id="rId695" display="\\fserv\e\MERA\TKP\TKP2026\tkp2026_265_Зименс_Якагава_Спенд_АПД_550_Мелихов\ТКП_265_26_статус.xlsm"/>
    <hyperlink ref="J363" r:id="rId696" display="..\..\..\..\TKP\TKP2026\tkp2026_342_Силовые_машины_КИ_ДФМ_РСС_Мелихов\ТКП_342_26_статус.xlsm"/>
    <hyperlink ref="J358" r:id="rId697" display="../../../../TKP/TKP2026/tkp2026_338_КБХМ РМ1_РМ4_РСС/ТКП_338_26_статус.xlsm"/>
    <hyperlink ref="J359" r:id="rId698" display="\\fserv\e\MERA\TKP\TKP2026\tkp2026_311_НИЦ_РКП_ИС-102_Антипенко\ТКП_311_26_статус.xlsm"/>
    <hyperlink ref="J356" r:id="rId699" display="../../../../TKP/TKP2025/tkp2025_610_НПО_Лавочкина_Цинтрифуга_СУ-268_Мартынов/ТКП_610_25_статус.xlsm"/>
    <hyperlink ref="D364" r:id="rId700" display="\\fserv\e\MERA\TKP\TKP2026\tkp2026_232_РТ-Техприемка_Мобильный_стендовый_комплекс_РСС_Буряк\"/>
    <hyperlink ref="D365" r:id="rId701"/>
    <hyperlink ref="D366" r:id="rId702" display="\\fserv\e\MERA\TKP\TKP2026\tkp2026_350_Комплект_системы_измерений_Неразрушающий_контроль_Антипенко\"/>
    <hyperlink ref="J364" r:id="rId703" display="../../../../TKP/TKP2026/tkp2026_232_РТ-Техприемка_Мобильный_стендовый_комплекс_РСС_Буряк/ТКП_232_26_статус.xlsm"/>
    <hyperlink ref="J365" r:id="rId704" display="..\..\..\..\TKP\TKP2026\tkp2026_347_РФЯЦ_ВНИИТФ_АИС_РСС_Антипенко\ТКП_347_26_статус.xlsm"/>
    <hyperlink ref="J366" r:id="rId705" display="../../../../TKP/TKP2026/tkp2026_350_Комплект_системы_измерений_Неразрушающий_контроль_Антипенко/ТКП_350_26_статус.xlsm"/>
    <hyperlink ref="J315" r:id="rId706" display="../../../../TKP/TKP2026/tkp2026_050_АО_МЕТРОВАГОНМАШ_РСС_тестер_Мелихов/ТКП_050_26_статус.xlsm"/>
    <hyperlink ref="D342" r:id="rId707" display="\\fserv\e\MERA\TKP\TKP2026\tkp2026_190_НПО_Лавочкина_Стенд_статических_испытаний_РСС_Антипенко\"/>
    <hyperlink ref="J342" r:id="rId708" display="../../../../TKP/TKP2026/tkp2026_190_НПО_Лавочкина_Стенд_статических_испытаний_РСС_Антипенко/ТКП_190_26_статус.xlsm"/>
    <hyperlink ref="D367" r:id="rId709" display="\\fserv\e\MERA\TKP\TKP2026\tkp2026_359_КБХМ_модернизация_СИММП_Антипенко\"/>
    <hyperlink ref="D368" r:id="rId710" display="\\fserv\e\MERA\TKP\TKP2026\tkp2026_356_НИЦ_РКП_ИС-102_Криогенмаш_Антипенко\"/>
    <hyperlink ref="J367" r:id="rId711" display="\\fserv\e\MERA\TKP\TKP2026\tkp2026_359_КБХМ_модернизация_СИММП_Антипенко\ТКП_359_26_статус.xlsm"/>
    <hyperlink ref="J368" r:id="rId712" display="\\fserv\e\MERA\TKP\TKP2026\tkp2026_356_НИЦ_РКП_ИС-102_Криогенмаш_Антипенко\ТКП_356_26_статус.xlsm"/>
    <hyperlink ref="D361" r:id="rId713" display="\\fserv\e\MERA\TKP\TKP2026\tkp2026_331_Комплект_системы_измерений_НИКИЭТ_Антипенко\"/>
    <hyperlink ref="J361" r:id="rId714" display="../../../../TKP/TKP2026/tkp2026_331_Комплект_системы_измерений_НИКИЭТ_Антипенко/ТКП_331_26_статус.xlsm"/>
    <hyperlink ref="D369" r:id="rId715" display="\\fserv\e\MERA\TKP\TKP2024\tkp2024_046_КБХM_MIC-236_MIC-553_Ежова\"/>
    <hyperlink ref="D374" r:id="rId716" display="\\fserv\e\MERA\TKP\TKP2026\tkp2026_373_ОКБ Микояна_модальные испытания_РСС\"/>
    <hyperlink ref="J374" r:id="rId717" display="../../../../TKP/TKP2026/tkp2026_373_ОКБ Микояна_модальные испытания_РСС/ТКП_373_26_статус.xlsm"/>
    <hyperlink ref="J369" r:id="rId718" display="../../../../TKP/TKP2024/tkp2024_046_КБХM_MIC-236_MIC-553_Ежова/ТКП_384_26_статус.xlsm"/>
    <hyperlink ref="D373" r:id="rId719" display="\\fserv\e\MERA\TKP\TKP2026\tkp2026_405_ЛИИП_им._Гризодубовой_Испытания_ГТД_РСС_Буряк\"/>
    <hyperlink ref="J373" r:id="rId720" display="\\fserv\e\MERA\TKP\TKP2026\tkp2026_405_ЛИИП_им._Гризодубовой_Испытания_ГТД_РСС_Буряк\ТКП_405_26_статус.xlsm"/>
    <hyperlink ref="D376" r:id="rId721" display="\\fserv\e\MERA\TKP\TKP2026\tkp2026_384_ФЦДТ Союз_СИПП_цеха_301_Мелихов\"/>
    <hyperlink ref="D372" r:id="rId722" display="\\fserv\e\MERA\TKP\TKP2026\tkp2026_402_ГРЦ_Макеева_ИИС_стенда_динамических_испытаний_РСС_Буряк\"/>
    <hyperlink ref="J372" r:id="rId723" display="\\fserv\e\MERA\TKP\TKP2026\tkp2026_402_ГРЦ_Макеева_ИИС_стенда_динамических_испытаний_РСС_Буряк\ТКП_402_26_статус.xlsm"/>
    <hyperlink ref="D380" r:id="rId724" display="\\fserv\e\MERA\TKP\TKP2026\tkp2026_408_Micronel_Thrust_Measurement_System_Авиа_Буряк\"/>
    <hyperlink ref="D379" r:id="rId725" display="\\fserv\e\MERA\TKP\TKP2026\tkp2026_420_Гапонов_Измерительный_тракт_Антипенко_РСС\"/>
    <hyperlink ref="D378" r:id="rId726" display="\\fserv\e\MERA\TKP\TKP2026\tkp2026_419_ОДК-САЛЮТ_ПНР_Иванова\"/>
    <hyperlink ref="D377" r:id="rId727" display="\\fserv\e\MERA\TKP\TKP2024\tkp2024_046_КБХM_MIC-236_MIC-553_Ежова\"/>
    <hyperlink ref="D383" r:id="rId728" display="\\fserv\e\MERA\TKP\TKP2026\tkp2026_427_УЗГА_Шлюз_CAN_2.0-Modbus_TCP_РСС_Буряк\"/>
    <hyperlink ref="D384" r:id="rId729" display="\\fserv\e\MERA\TKP\TKP2026\tkp2026_433_КНИТУ-КАИ_ИИС_стенда_исп._полозкового_шасси_вертолетов_РСС_Буряк\"/>
    <hyperlink ref="D385" r:id="rId730" display="\\fserv\e\MERA\TKP\TKP2026\tkp2026_434_УЗГА_ИИС_ИС_малоразмерных_ГТД_РСС_Буряк\"/>
    <hyperlink ref="J383" r:id="rId731" display="\\fserv\e\MERA\TKP\TKP2026\tkp2026_427_УЗГА_Шлюз_CAN_2.0-Modbus_TCP_РСС_Буряк\ТКП_427_26_статус.xlsm"/>
    <hyperlink ref="J384" r:id="rId732" display="\\Fserv\e\MERA\TKP\TKP2026\tkp2026_433_КНИТУ-КАИ_ИИС_стенда_исп._полозкового_шасси_вертолетов_РСС_Буряк\ТКП_433_26_статус.xlsm"/>
    <hyperlink ref="J385" r:id="rId733" display="\\Fserv\e\MERA\TKP\TKP2026\tkp2026_434_УЗГА_ИИС_ИС_малоразмерных_ГТД_РСС_Буряк\ТКП_434_26_статус.xlsm"/>
    <hyperlink ref="D375" r:id="rId734" display="\\fserv\e\MERA\TKP\TKP2026\tkp2026_415_ООО Зилант_испытания ТРД_РСС_Иванова\"/>
    <hyperlink ref="J375" r:id="rId735" display="\\fserv\e\MERA\TKP\TKP2026\tkp2026_415_ООО Зилант_испытания ТРД_РСС_Иванова\ТКП_415_26_статус.xlsm"/>
    <hyperlink ref="D371" r:id="rId736" display="\\fserv\e\MERA\TKP\TKP2026\tkp2026_401_ФНПЦ Алтай_Антипенко_РСС_Грязнев\"/>
    <hyperlink ref="J371" r:id="rId737" display="../../../../TKP/TKP2026/tkp2026_401_ФНПЦ Алтай_Антипенко_РСС_Грязнев/ТКП_401_26_статус.xlsm"/>
    <hyperlink ref="D381" r:id="rId738" display="\\fserv\e\MERA\TKP\TKP2026\tkp2026_417_ЦИАМ_Портативная система измерения\"/>
    <hyperlink ref="J381" r:id="rId739" display="../../../../TKP/TKP2026/tkp2026_417_ЦИАМ_Портативная система измерения/ТКП_417_26_статус.xlsm"/>
  </hyperlinks>
  <pageMargins left="0.23622047244094491" right="0.23622047244094491" top="0.74803149606299213" bottom="0.74803149606299213" header="0.31496062992125984" footer="0.31496062992125984"/>
  <pageSetup paperSize="8" scale="72" fitToHeight="0" orientation="landscape" r:id="rId740"/>
  <drawing r:id="rId741"/>
  <legacyDrawing r:id="rId742"/>
  <mc:AlternateContent xmlns:mc="http://schemas.openxmlformats.org/markup-compatibility/2006">
    <mc:Choice Requires="x14">
      <controls>
        <mc:AlternateContent xmlns:mc="http://schemas.openxmlformats.org/markup-compatibility/2006">
          <mc:Choice Requires="x14">
            <control shapeId="1025" r:id="rId743" name="Button 1">
              <controlPr defaultSize="0" print="0" autoFill="0" autoPict="0" macro="[0]!Кнопка_Зачитать_новые_Щелчок">
                <anchor moveWithCells="1" sizeWithCells="1">
                  <from>
                    <xdr:col>1</xdr:col>
                    <xdr:colOff>76200</xdr:colOff>
                    <xdr:row>0</xdr:row>
                    <xdr:rowOff>38100</xdr:rowOff>
                  </from>
                  <to>
                    <xdr:col>4</xdr:col>
                    <xdr:colOff>514350</xdr:colOff>
                    <xdr:row>0</xdr:row>
                    <xdr:rowOff>295275</xdr:rowOff>
                  </to>
                </anchor>
              </controlPr>
            </control>
          </mc:Choice>
        </mc:AlternateContent>
        <mc:AlternateContent xmlns:mc="http://schemas.openxmlformats.org/markup-compatibility/2006">
          <mc:Choice Requires="x14">
            <control shapeId="1028" r:id="rId744" name="Button 4">
              <controlPr defaultSize="0" print="0" autoFill="0" autoPict="0" macro="[0]!ОтсылаемНаПочтуКнопка" altText="Отослать на почту">
                <anchor moveWithCells="1" sizeWithCells="1">
                  <from>
                    <xdr:col>10</xdr:col>
                    <xdr:colOff>552450</xdr:colOff>
                    <xdr:row>1</xdr:row>
                    <xdr:rowOff>247650</xdr:rowOff>
                  </from>
                  <to>
                    <xdr:col>10</xdr:col>
                    <xdr:colOff>1257300</xdr:colOff>
                    <xdr:row>2</xdr:row>
                    <xdr:rowOff>314325</xdr:rowOff>
                  </to>
                </anchor>
              </controlPr>
            </control>
          </mc:Choice>
        </mc:AlternateContent>
        <mc:AlternateContent xmlns:mc="http://schemas.openxmlformats.org/markup-compatibility/2006">
          <mc:Choice Requires="x14">
            <control shapeId="1072" r:id="rId745" name="Button 48">
              <controlPr defaultSize="0" print="0" autoFill="0" autoPict="0" macro="[0]!TKPCommentToYouGileКнопка" altText="Отослать на почту">
                <anchor moveWithCells="1" sizeWithCells="1">
                  <from>
                    <xdr:col>9</xdr:col>
                    <xdr:colOff>2571750</xdr:colOff>
                    <xdr:row>1</xdr:row>
                    <xdr:rowOff>238125</xdr:rowOff>
                  </from>
                  <to>
                    <xdr:col>10</xdr:col>
                    <xdr:colOff>19050</xdr:colOff>
                    <xdr:row>3</xdr:row>
                    <xdr:rowOff>9525</xdr:rowOff>
                  </to>
                </anchor>
              </controlPr>
            </control>
          </mc:Choice>
        </mc:AlternateContent>
        <mc:AlternateContent xmlns:mc="http://schemas.openxmlformats.org/markup-compatibility/2006">
          <mc:Choice Requires="x14">
            <control shapeId="1075" r:id="rId746" name="Button 51">
              <controlPr defaultSize="0" print="0" autoFill="0" autoPict="0" macro="[0]!TKPCommentRPfromSampleКнопка" altText="Отослать на почту">
                <anchor moveWithCells="1" sizeWithCells="1">
                  <from>
                    <xdr:col>5</xdr:col>
                    <xdr:colOff>123825</xdr:colOff>
                    <xdr:row>0</xdr:row>
                    <xdr:rowOff>19050</xdr:rowOff>
                  </from>
                  <to>
                    <xdr:col>5</xdr:col>
                    <xdr:colOff>1247775</xdr:colOff>
                    <xdr:row>0</xdr:row>
                    <xdr:rowOff>304800</xdr:rowOff>
                  </to>
                </anchor>
              </controlPr>
            </control>
          </mc:Choice>
        </mc:AlternateContent>
        <mc:AlternateContent xmlns:mc="http://schemas.openxmlformats.org/markup-compatibility/2006">
          <mc:Choice Requires="x14">
            <control shapeId="1077" r:id="rId747" name="Button 53">
              <controlPr defaultSize="0" print="0" autoFill="0" autoPict="0" macro="[0]!CommandButtonFilterTematik_Click">
                <anchor moveWithCells="1" sizeWithCells="1">
                  <from>
                    <xdr:col>10</xdr:col>
                    <xdr:colOff>5295900</xdr:colOff>
                    <xdr:row>2</xdr:row>
                    <xdr:rowOff>19050</xdr:rowOff>
                  </from>
                  <to>
                    <xdr:col>11</xdr:col>
                    <xdr:colOff>990600</xdr:colOff>
                    <xdr:row>2</xdr:row>
                    <xdr:rowOff>314325</xdr:rowOff>
                  </to>
                </anchor>
              </controlPr>
            </control>
          </mc:Choice>
        </mc:AlternateContent>
        <mc:AlternateContent xmlns:mc="http://schemas.openxmlformats.org/markup-compatibility/2006">
          <mc:Choice Requires="x14">
            <control shapeId="1078" r:id="rId748" name="Button 54">
              <controlPr defaultSize="0" print="0" autoFill="0" autoPict="0" macro="[0]!TKP_Path_Кнопка">
                <anchor moveWithCells="1" sizeWithCells="1">
                  <from>
                    <xdr:col>0</xdr:col>
                    <xdr:colOff>66675</xdr:colOff>
                    <xdr:row>2</xdr:row>
                    <xdr:rowOff>9525</xdr:rowOff>
                  </from>
                  <to>
                    <xdr:col>4</xdr:col>
                    <xdr:colOff>0</xdr:colOff>
                    <xdr:row>2</xdr:row>
                    <xdr:rowOff>352425</xdr:rowOff>
                  </to>
                </anchor>
              </controlPr>
            </control>
          </mc:Choice>
        </mc:AlternateContent>
        <mc:AlternateContent xmlns:mc="http://schemas.openxmlformats.org/markup-compatibility/2006">
          <mc:Choice Requires="x14">
            <control shapeId="1079" r:id="rId749" name="Button 55">
              <controlPr defaultSize="0" print="0" autoFill="0" autoPict="0" macro="[0]!TKP_Сбор_Дат_Проработки_Кнопка">
                <anchor moveWithCells="1" sizeWithCells="1">
                  <from>
                    <xdr:col>10</xdr:col>
                    <xdr:colOff>1333500</xdr:colOff>
                    <xdr:row>1</xdr:row>
                    <xdr:rowOff>228600</xdr:rowOff>
                  </from>
                  <to>
                    <xdr:col>10</xdr:col>
                    <xdr:colOff>2324100</xdr:colOff>
                    <xdr:row>2</xdr:row>
                    <xdr:rowOff>314325</xdr:rowOff>
                  </to>
                </anchor>
              </controlPr>
            </control>
          </mc:Choice>
        </mc:AlternateContent>
        <mc:AlternateContent xmlns:mc="http://schemas.openxmlformats.org/markup-compatibility/2006">
          <mc:Choice Requires="x14">
            <control shapeId="1084" r:id="rId750" name="Check Box 60">
              <controlPr locked="0" defaultSize="0" autoFill="0" autoLine="0" autoPict="0" altText="vxod">
                <anchor moveWithCells="1">
                  <from>
                    <xdr:col>4</xdr:col>
                    <xdr:colOff>0</xdr:colOff>
                    <xdr:row>2</xdr:row>
                    <xdr:rowOff>142875</xdr:rowOff>
                  </from>
                  <to>
                    <xdr:col>4</xdr:col>
                    <xdr:colOff>742950</xdr:colOff>
                    <xdr:row>2</xdr:row>
                    <xdr:rowOff>314325</xdr:rowOff>
                  </to>
                </anchor>
              </controlPr>
            </control>
          </mc:Choice>
        </mc:AlternateContent>
        <mc:AlternateContent xmlns:mc="http://schemas.openxmlformats.org/markup-compatibility/2006">
          <mc:Choice Requires="x14">
            <control shapeId="1085" r:id="rId751" name="Button 61">
              <controlPr defaultSize="0" print="0" autoFill="0" autoPict="0" macro="[0]!sychronizatsiya" altText="Отослать на почту">
                <anchor moveWithCells="1" sizeWithCells="1">
                  <from>
                    <xdr:col>22</xdr:col>
                    <xdr:colOff>1847850</xdr:colOff>
                    <xdr:row>0</xdr:row>
                    <xdr:rowOff>19050</xdr:rowOff>
                  </from>
                  <to>
                    <xdr:col>24</xdr:col>
                    <xdr:colOff>104775</xdr:colOff>
                    <xdr:row>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3:Y292"/>
  <sheetViews>
    <sheetView workbookViewId="0"/>
  </sheetViews>
  <sheetFormatPr defaultRowHeight="15" x14ac:dyDescent="0.25"/>
  <cols>
    <col min="1" max="1" width="3.85546875" customWidth="1"/>
    <col min="5" max="5" width="22.140625" customWidth="1"/>
    <col min="6" max="6" width="14" customWidth="1"/>
    <col min="7" max="7" width="15" customWidth="1"/>
    <col min="9" max="9" width="41.7109375" customWidth="1"/>
    <col min="10" max="10" width="55.28515625" customWidth="1"/>
    <col min="11" max="11" width="13.7109375" customWidth="1"/>
    <col min="18" max="18" width="11.7109375" customWidth="1"/>
    <col min="20" max="20" width="15.28515625" customWidth="1"/>
    <col min="21" max="21" width="14.42578125" customWidth="1"/>
  </cols>
  <sheetData>
    <row r="3" spans="1:25" s="1" customFormat="1" ht="45" x14ac:dyDescent="0.25">
      <c r="A3" s="2"/>
      <c r="B3" s="591">
        <f>ROW()-ROW(Лист1!$B$5)</f>
        <v>-2</v>
      </c>
      <c r="C3" s="663" t="s">
        <v>1489</v>
      </c>
      <c r="D3" s="675"/>
      <c r="E3" s="642" t="s">
        <v>1490</v>
      </c>
      <c r="F3" s="595" t="s">
        <v>78</v>
      </c>
      <c r="G3" s="2"/>
      <c r="H3" s="595" t="s">
        <v>826</v>
      </c>
      <c r="I3" s="922" t="str">
        <f>[340]!Статус</f>
        <v>23.07.24_x000D_
ОМ: получить исходные данные по протоколу взаимодействия БЩУ и комплекс ДФМ</v>
      </c>
      <c r="J3" s="686" t="s">
        <v>1518</v>
      </c>
      <c r="K3" s="594" t="str">
        <f>[340]!ТКП_Тематика</f>
        <v>O</v>
      </c>
      <c r="L3" s="591"/>
      <c r="M3" s="2"/>
      <c r="N3" s="672"/>
      <c r="O3" s="706">
        <f>[340]!Результат_число</f>
        <v>0</v>
      </c>
      <c r="P3" s="595"/>
      <c r="Q3" s="595"/>
      <c r="R3" s="595"/>
      <c r="S3" s="595"/>
      <c r="T3" s="595"/>
      <c r="U3" s="595"/>
      <c r="V3" s="595"/>
      <c r="W3" s="595"/>
      <c r="X3" s="595"/>
      <c r="Y3" s="595"/>
    </row>
    <row r="4" spans="1:25" s="1" customFormat="1" ht="12" x14ac:dyDescent="0.25">
      <c r="A4" s="2"/>
      <c r="M4" s="2"/>
      <c r="N4" s="672"/>
      <c r="O4" s="706">
        <f>[123]!Результат_число</f>
        <v>0</v>
      </c>
      <c r="P4" s="595"/>
      <c r="Q4" s="595"/>
      <c r="R4" s="595"/>
      <c r="S4" s="595"/>
      <c r="T4" s="595"/>
      <c r="U4" s="595"/>
      <c r="V4" s="595"/>
      <c r="W4" s="595"/>
      <c r="X4" s="595"/>
      <c r="Y4" s="595"/>
    </row>
    <row r="5" spans="1:25" s="1" customFormat="1" ht="48" x14ac:dyDescent="0.25">
      <c r="A5" s="2"/>
      <c r="B5" s="591">
        <f>ROW()-ROW(Лист1!$B$5)</f>
        <v>0</v>
      </c>
      <c r="C5" s="602" t="s">
        <v>1482</v>
      </c>
      <c r="D5" s="677">
        <v>3151</v>
      </c>
      <c r="E5" s="642" t="s">
        <v>1483</v>
      </c>
      <c r="F5" s="595" t="s">
        <v>78</v>
      </c>
      <c r="G5" s="593">
        <v>14000000</v>
      </c>
      <c r="H5" s="594" t="s">
        <v>826</v>
      </c>
      <c r="I5" s="693" t="str">
        <f>[268]!Статус</f>
        <v>08.07.24</v>
      </c>
      <c r="J5" s="604" t="s">
        <v>1882</v>
      </c>
      <c r="K5" s="594" t="str">
        <f>[268]!ТКП_Тематика</f>
        <v>O</v>
      </c>
      <c r="L5" s="591"/>
      <c r="M5" s="2"/>
      <c r="N5" s="591"/>
      <c r="O5" s="616">
        <f>[268]!Результат_число</f>
        <v>0</v>
      </c>
      <c r="P5" s="595"/>
      <c r="Q5" s="595"/>
      <c r="R5" s="595"/>
      <c r="S5" s="676"/>
      <c r="T5" s="676"/>
      <c r="U5" s="676"/>
      <c r="V5" s="676"/>
      <c r="W5" s="676"/>
      <c r="X5" s="676"/>
      <c r="Y5" s="676"/>
    </row>
    <row r="6" spans="1:25" s="1" customFormat="1" ht="67.5" x14ac:dyDescent="0.25">
      <c r="A6" s="2"/>
      <c r="B6" s="591">
        <f>ROW()-ROW(Лист1!$B$5)</f>
        <v>1</v>
      </c>
      <c r="C6" s="599" t="s">
        <v>1486</v>
      </c>
      <c r="D6" s="601"/>
      <c r="E6" s="620" t="s">
        <v>1505</v>
      </c>
      <c r="F6" s="620" t="s">
        <v>1506</v>
      </c>
      <c r="G6" s="601">
        <v>23000000</v>
      </c>
      <c r="H6" s="594" t="s">
        <v>39</v>
      </c>
      <c r="I6" s="693" t="str">
        <f>[341]!Статус</f>
        <v>23.07.24_x000D_
ОМ: Запрос исходных данных (на что делаем ТКП) до?</v>
      </c>
      <c r="J6" s="686" t="s">
        <v>1503</v>
      </c>
      <c r="K6" s="594" t="str">
        <f>[341]!ТКП_Тематика</f>
        <v>O</v>
      </c>
      <c r="L6" s="591"/>
      <c r="M6" s="2"/>
      <c r="N6" s="591"/>
      <c r="O6" s="706">
        <f>[341]!Результат_число</f>
        <v>0</v>
      </c>
      <c r="P6" s="595"/>
      <c r="Q6" s="595"/>
      <c r="R6" s="595"/>
      <c r="S6" s="676"/>
      <c r="T6" s="676"/>
      <c r="U6" s="676"/>
      <c r="V6" s="676"/>
      <c r="W6" s="676"/>
      <c r="X6" s="676"/>
      <c r="Y6" s="676"/>
    </row>
    <row r="7" spans="1:25" s="1" customFormat="1" x14ac:dyDescent="0.25">
      <c r="A7" s="2"/>
      <c r="B7" s="457">
        <f>ROW()-ROW(Лист1!$B$5)</f>
        <v>2</v>
      </c>
      <c r="C7" s="499" t="s">
        <v>1282</v>
      </c>
      <c r="D7" s="491"/>
      <c r="E7" s="492" t="s">
        <v>1283</v>
      </c>
      <c r="F7" s="493" t="s">
        <v>8</v>
      </c>
      <c r="G7" s="494">
        <v>9000000</v>
      </c>
      <c r="H7" s="491" t="s">
        <v>39</v>
      </c>
      <c r="I7" s="753">
        <f>[342]!Статус</f>
        <v>0</v>
      </c>
      <c r="J7" s="492"/>
      <c r="K7" s="495" t="str">
        <f>[342]!ТКП_Тематика</f>
        <v>O</v>
      </c>
      <c r="L7" s="491"/>
      <c r="M7" s="199"/>
      <c r="N7" s="491"/>
      <c r="O7" s="502">
        <f>[342]!Результат_число</f>
        <v>0</v>
      </c>
      <c r="P7" s="491"/>
      <c r="Q7" s="491"/>
      <c r="R7" s="491"/>
      <c r="S7" s="496"/>
      <c r="T7" s="496"/>
      <c r="U7" s="496"/>
      <c r="V7" s="496"/>
      <c r="W7" s="496"/>
      <c r="X7" s="496"/>
    </row>
    <row r="8" spans="1:25" s="1" customFormat="1" ht="24" x14ac:dyDescent="0.25">
      <c r="A8" s="2"/>
      <c r="B8" s="432">
        <f>ROW()-ROW(Лист1!$B$5)</f>
        <v>3</v>
      </c>
      <c r="C8" s="440" t="s">
        <v>1226</v>
      </c>
      <c r="D8" s="432"/>
      <c r="E8" s="439" t="s">
        <v>1249</v>
      </c>
      <c r="F8" s="439" t="s">
        <v>78</v>
      </c>
      <c r="G8" s="490">
        <v>50000000</v>
      </c>
      <c r="H8" s="928" t="s">
        <v>826</v>
      </c>
      <c r="I8" s="926" t="str">
        <f>[343]!Статус</f>
        <v>15.12.23_x000D_
ОМ: требуется согласование и отправка ТКП</v>
      </c>
      <c r="J8" s="439" t="s">
        <v>1342</v>
      </c>
      <c r="K8" s="435" t="str">
        <f>[343]!ТКП_Тематика</f>
        <v>O</v>
      </c>
      <c r="L8" s="432"/>
      <c r="M8" s="432"/>
      <c r="N8" s="436"/>
      <c r="O8" s="442">
        <f>[343]!Результат_число</f>
        <v>0</v>
      </c>
      <c r="P8" s="432"/>
      <c r="Q8" s="432"/>
      <c r="R8" s="437"/>
      <c r="S8" s="438"/>
      <c r="T8" s="438"/>
      <c r="U8" s="438"/>
      <c r="V8" s="438"/>
      <c r="W8" s="438"/>
      <c r="X8" s="438"/>
    </row>
    <row r="9" spans="1:25" s="1" customFormat="1" ht="48" x14ac:dyDescent="0.25">
      <c r="A9" s="2"/>
      <c r="B9" s="35">
        <f>ROW()-ROW(Лист1!$B$5)</f>
        <v>4</v>
      </c>
      <c r="C9" s="284" t="s">
        <v>1160</v>
      </c>
      <c r="D9" s="271"/>
      <c r="E9" s="445" t="s">
        <v>1161</v>
      </c>
      <c r="F9" s="445" t="s">
        <v>78</v>
      </c>
      <c r="G9" s="272">
        <v>22000000</v>
      </c>
      <c r="H9" s="274" t="s">
        <v>826</v>
      </c>
      <c r="I9" s="761" t="str">
        <f>[344]!Статус</f>
        <v>20.11.23_x000D_
- РСС: ТКП отправлено заказчику</v>
      </c>
      <c r="J9" s="439" t="s">
        <v>1396</v>
      </c>
      <c r="K9" s="274" t="str">
        <f>[344]!ТКП_Тематика</f>
        <v>O</v>
      </c>
      <c r="L9" s="271"/>
      <c r="M9" s="479"/>
      <c r="N9" s="271"/>
      <c r="O9" s="304">
        <f>[344]!Результат_число</f>
        <v>0</v>
      </c>
      <c r="P9" s="271"/>
      <c r="Q9" s="271"/>
      <c r="R9" s="35"/>
      <c r="S9" s="275"/>
      <c r="T9" s="275"/>
      <c r="U9" s="275"/>
      <c r="V9" s="275"/>
      <c r="W9" s="275"/>
      <c r="X9" s="275"/>
    </row>
    <row r="10" spans="1:25" s="1" customFormat="1" ht="24" x14ac:dyDescent="0.25">
      <c r="B10" s="35">
        <f>ROW()-ROW(Лист1!$B$5)</f>
        <v>5</v>
      </c>
      <c r="C10" s="77" t="s">
        <v>414</v>
      </c>
      <c r="D10" s="31"/>
      <c r="E10" s="32" t="s">
        <v>430</v>
      </c>
      <c r="F10" s="33" t="s">
        <v>415</v>
      </c>
      <c r="G10" s="38">
        <v>2500000</v>
      </c>
      <c r="H10" s="35"/>
      <c r="I10" s="35"/>
      <c r="J10" s="33" t="s">
        <v>416</v>
      </c>
      <c r="K10" s="60"/>
      <c r="L10" s="34"/>
      <c r="M10" s="34"/>
      <c r="N10" s="35"/>
      <c r="O10" s="35"/>
      <c r="P10" s="176">
        <v>44540</v>
      </c>
      <c r="Q10" s="35">
        <v>0</v>
      </c>
      <c r="R10" s="34"/>
      <c r="S10" s="36"/>
      <c r="T10" s="37"/>
      <c r="U10" s="185" t="e">
        <f>AND(((Критерий_дата-P10)&lt;Лист1!#REF!),Q10=0)</f>
        <v>#REF!</v>
      </c>
    </row>
    <row r="11" spans="1:25" s="1" customFormat="1" ht="60" x14ac:dyDescent="0.25">
      <c r="B11" s="35">
        <f>ROW()-ROW(Лист1!$B$5)</f>
        <v>6</v>
      </c>
      <c r="C11" s="76" t="s">
        <v>316</v>
      </c>
      <c r="D11" s="31"/>
      <c r="E11" s="32" t="s">
        <v>71</v>
      </c>
      <c r="F11" s="33" t="s">
        <v>317</v>
      </c>
      <c r="G11" s="37">
        <v>1997000</v>
      </c>
      <c r="H11" s="35"/>
      <c r="I11" s="35"/>
      <c r="J11" s="33" t="s">
        <v>318</v>
      </c>
      <c r="K11" s="34"/>
      <c r="L11" s="34"/>
      <c r="M11" s="34"/>
      <c r="N11" s="35">
        <v>1</v>
      </c>
      <c r="O11" s="35"/>
      <c r="P11" s="176">
        <v>44369</v>
      </c>
      <c r="Q11" s="35">
        <v>0</v>
      </c>
      <c r="R11" s="34"/>
      <c r="S11" s="36"/>
      <c r="T11" s="37"/>
      <c r="U11" s="185" t="e">
        <f>AND(((Критерий_дата-P11)&lt;Лист1!#REF!),Q11=0)</f>
        <v>#REF!</v>
      </c>
      <c r="V11" s="12"/>
    </row>
    <row r="12" spans="1:25" s="1" customFormat="1" ht="48" x14ac:dyDescent="0.25">
      <c r="B12" s="35">
        <f>ROW()-ROW(Лист1!$B$5)</f>
        <v>7</v>
      </c>
      <c r="C12" s="88" t="s">
        <v>357</v>
      </c>
      <c r="D12" s="31"/>
      <c r="E12" s="32" t="s">
        <v>50</v>
      </c>
      <c r="F12" s="33" t="s">
        <v>102</v>
      </c>
      <c r="G12" s="37">
        <v>1935754</v>
      </c>
      <c r="H12" s="35"/>
      <c r="I12" s="35"/>
      <c r="J12" s="33" t="s">
        <v>358</v>
      </c>
      <c r="K12" s="60"/>
      <c r="L12" s="34"/>
      <c r="M12" s="34"/>
      <c r="N12" s="35">
        <v>1</v>
      </c>
      <c r="O12" s="35"/>
      <c r="P12" s="176">
        <v>44484</v>
      </c>
      <c r="Q12" s="35">
        <v>0</v>
      </c>
      <c r="R12" s="34"/>
      <c r="S12" s="36"/>
      <c r="T12" s="37"/>
      <c r="U12" s="185" t="e">
        <f>AND(((Критерий_дата-P12)&lt;Лист1!#REF!),Q12=0)</f>
        <v>#REF!</v>
      </c>
    </row>
    <row r="13" spans="1:25" s="1" customFormat="1" ht="48" x14ac:dyDescent="0.25">
      <c r="B13" s="35">
        <f>ROW()-ROW(Лист1!$B$5)</f>
        <v>8</v>
      </c>
      <c r="C13" s="77" t="s">
        <v>111</v>
      </c>
      <c r="D13" s="31"/>
      <c r="E13" s="32" t="s">
        <v>112</v>
      </c>
      <c r="F13" s="33" t="s">
        <v>113</v>
      </c>
      <c r="G13" s="37">
        <v>1931000</v>
      </c>
      <c r="H13" s="35"/>
      <c r="I13" s="35"/>
      <c r="J13" s="33" t="s">
        <v>377</v>
      </c>
      <c r="K13" s="34"/>
      <c r="L13" s="34"/>
      <c r="M13" s="34"/>
      <c r="N13" s="35"/>
      <c r="O13" s="35"/>
      <c r="P13" s="176">
        <v>44236</v>
      </c>
      <c r="Q13" s="35">
        <v>0</v>
      </c>
      <c r="R13" s="34"/>
      <c r="S13" s="36"/>
      <c r="T13" s="37"/>
      <c r="U13" s="185" t="e">
        <f>AND(((Критерий_дата-P13)&lt;Лист1!#REF!),Q13=0)</f>
        <v>#REF!</v>
      </c>
    </row>
    <row r="14" spans="1:25" s="1" customFormat="1" ht="36" x14ac:dyDescent="0.25">
      <c r="A14" s="22"/>
      <c r="B14" s="9">
        <f>ROW()-ROW(Лист1!$B$5)</f>
        <v>9</v>
      </c>
      <c r="C14" s="76" t="s">
        <v>120</v>
      </c>
      <c r="D14" s="31"/>
      <c r="E14" s="32" t="s">
        <v>121</v>
      </c>
      <c r="F14" s="33" t="s">
        <v>122</v>
      </c>
      <c r="G14" s="37">
        <v>2000000</v>
      </c>
      <c r="H14" s="35"/>
      <c r="I14" s="35"/>
      <c r="J14" s="33" t="s">
        <v>123</v>
      </c>
      <c r="K14" s="34"/>
      <c r="L14" s="34"/>
      <c r="M14" s="34"/>
      <c r="N14" s="35"/>
      <c r="O14" s="35"/>
      <c r="P14" s="176">
        <v>44242</v>
      </c>
      <c r="Q14" s="35">
        <v>0</v>
      </c>
      <c r="R14" s="34"/>
      <c r="S14" s="36"/>
      <c r="T14" s="37"/>
      <c r="U14" s="185" t="e">
        <f>AND(((Критерий_дата-P14)&lt;Лист1!#REF!),Q14=0)</f>
        <v>#REF!</v>
      </c>
    </row>
    <row r="15" spans="1:25" s="1" customFormat="1" ht="48" x14ac:dyDescent="0.25">
      <c r="B15" s="45">
        <f>ROW()-ROW(Лист1!$B$5)</f>
        <v>10</v>
      </c>
      <c r="C15" s="88" t="s">
        <v>275</v>
      </c>
      <c r="D15" s="127"/>
      <c r="E15" s="128" t="s">
        <v>57</v>
      </c>
      <c r="F15" s="73" t="s">
        <v>276</v>
      </c>
      <c r="G15" s="138">
        <v>6637690</v>
      </c>
      <c r="H15" s="45"/>
      <c r="I15" s="45"/>
      <c r="J15" s="73" t="s">
        <v>573</v>
      </c>
      <c r="K15" s="67"/>
      <c r="L15" s="67"/>
      <c r="M15" s="67" t="s">
        <v>705</v>
      </c>
      <c r="N15" s="45">
        <v>1</v>
      </c>
      <c r="O15" s="45"/>
      <c r="P15" s="178">
        <v>44623</v>
      </c>
      <c r="Q15" s="45">
        <v>0</v>
      </c>
      <c r="R15" s="67"/>
      <c r="S15" s="132"/>
      <c r="T15" s="129"/>
      <c r="U15" s="185" t="e">
        <f>AND(((Критерий_дата-P15)&lt;Лист1!#REF!),Q15=0)</f>
        <v>#REF!</v>
      </c>
      <c r="V15" s="12"/>
    </row>
    <row r="16" spans="1:25" s="1" customFormat="1" ht="60" x14ac:dyDescent="0.25">
      <c r="B16" s="35">
        <f>ROW()-ROW(Лист1!$B$5)</f>
        <v>11</v>
      </c>
      <c r="C16" s="76" t="s">
        <v>322</v>
      </c>
      <c r="D16" s="31"/>
      <c r="E16" s="32" t="s">
        <v>376</v>
      </c>
      <c r="F16" s="33" t="s">
        <v>323</v>
      </c>
      <c r="G16" s="38">
        <v>8000000</v>
      </c>
      <c r="H16" s="35"/>
      <c r="I16" s="35"/>
      <c r="J16" s="33" t="s">
        <v>324</v>
      </c>
      <c r="K16" s="34" t="s">
        <v>601</v>
      </c>
      <c r="L16" s="34"/>
      <c r="M16" s="34"/>
      <c r="N16" s="35"/>
      <c r="O16" s="35"/>
      <c r="P16" s="176">
        <v>44441</v>
      </c>
      <c r="Q16" s="35">
        <v>0</v>
      </c>
      <c r="R16" s="34"/>
      <c r="S16" s="36"/>
      <c r="T16" s="37"/>
      <c r="U16" s="185" t="e">
        <f>AND(((Критерий_дата-P16)&lt;Лист1!#REF!),Q16=0)</f>
        <v>#REF!</v>
      </c>
    </row>
    <row r="17" spans="1:24" s="1" customFormat="1" x14ac:dyDescent="0.25">
      <c r="A17" s="23"/>
      <c r="B17" s="83">
        <f>ROW()-ROW(Лист1!$B$5)</f>
        <v>12</v>
      </c>
      <c r="C17" s="88" t="s">
        <v>413</v>
      </c>
      <c r="D17" s="156">
        <v>2810</v>
      </c>
      <c r="E17" s="141" t="s">
        <v>273</v>
      </c>
      <c r="F17" s="142" t="s">
        <v>78</v>
      </c>
      <c r="G17" s="143">
        <v>8663030</v>
      </c>
      <c r="H17" s="49"/>
      <c r="I17" s="49"/>
      <c r="J17" s="142" t="s">
        <v>868</v>
      </c>
      <c r="K17" s="60"/>
      <c r="L17" s="68"/>
      <c r="M17" s="68">
        <v>1</v>
      </c>
      <c r="N17" s="49">
        <v>1</v>
      </c>
      <c r="O17" s="49"/>
      <c r="P17" s="177">
        <v>44531</v>
      </c>
      <c r="Q17" s="49">
        <v>0</v>
      </c>
      <c r="R17" s="68"/>
      <c r="S17" s="144"/>
      <c r="T17" s="145">
        <f>G17</f>
        <v>8663030</v>
      </c>
      <c r="U17" s="185" t="e">
        <f>AND(((Критерий_дата-P17)&lt;Лист1!#REF!),Q17=0)</f>
        <v>#REF!</v>
      </c>
    </row>
    <row r="18" spans="1:24" s="1" customFormat="1" ht="60" x14ac:dyDescent="0.25">
      <c r="B18" s="9">
        <v>223</v>
      </c>
      <c r="C18" s="77" t="s">
        <v>257</v>
      </c>
      <c r="D18" s="31"/>
      <c r="E18" s="32" t="s">
        <v>258</v>
      </c>
      <c r="F18" s="33" t="s">
        <v>8</v>
      </c>
      <c r="G18" s="37">
        <v>292454867</v>
      </c>
      <c r="H18" s="35" t="s">
        <v>438</v>
      </c>
      <c r="I18" s="35"/>
      <c r="J18" s="33" t="s">
        <v>439</v>
      </c>
      <c r="K18" s="34" t="s">
        <v>438</v>
      </c>
      <c r="L18" s="34"/>
      <c r="M18" s="103"/>
      <c r="N18" s="35">
        <v>1</v>
      </c>
      <c r="O18" s="35"/>
      <c r="P18" s="35"/>
      <c r="Q18" s="35">
        <v>2</v>
      </c>
      <c r="R18" s="34"/>
      <c r="S18" s="36"/>
      <c r="T18" s="37"/>
      <c r="U18" s="185" t="e">
        <f>AND(((Критерий_дата-P18)&lt;Лист1!#REF!),Q18=0)</f>
        <v>#REF!</v>
      </c>
    </row>
    <row r="19" spans="1:24" s="1" customFormat="1" ht="60" x14ac:dyDescent="0.25">
      <c r="B19" s="9">
        <f>ROW()-ROW(Лист1!$B$5)</f>
        <v>14</v>
      </c>
      <c r="C19" s="77" t="s">
        <v>257</v>
      </c>
      <c r="D19" s="31"/>
      <c r="E19" s="32" t="s">
        <v>258</v>
      </c>
      <c r="F19" s="33" t="s">
        <v>8</v>
      </c>
      <c r="G19" s="37">
        <v>292454867</v>
      </c>
      <c r="H19" s="35" t="s">
        <v>438</v>
      </c>
      <c r="I19" s="35"/>
      <c r="J19" s="33" t="s">
        <v>439</v>
      </c>
      <c r="K19" s="34"/>
      <c r="L19" s="34"/>
      <c r="M19" s="103"/>
      <c r="N19" s="35">
        <v>1</v>
      </c>
      <c r="O19" s="35"/>
      <c r="P19" s="35"/>
      <c r="Q19" s="35">
        <v>2</v>
      </c>
      <c r="R19" s="34"/>
      <c r="S19" s="36"/>
      <c r="T19" s="37"/>
      <c r="U19" s="185" t="e">
        <f>AND(((Критерий_дата-P19)&lt;Лист1!#REF!),Q19=0)</f>
        <v>#REF!</v>
      </c>
    </row>
    <row r="20" spans="1:24" s="1" customFormat="1" ht="24" x14ac:dyDescent="0.25">
      <c r="B20" s="9">
        <f>ROW()-ROW(Лист1!$B$5)</f>
        <v>15</v>
      </c>
      <c r="C20" s="30" t="s">
        <v>638</v>
      </c>
      <c r="D20" s="31"/>
      <c r="E20" s="32" t="s">
        <v>654</v>
      </c>
      <c r="F20" s="33" t="s">
        <v>8</v>
      </c>
      <c r="G20" s="38">
        <v>480000000</v>
      </c>
      <c r="H20" s="33"/>
      <c r="I20" s="289" t="s">
        <v>655</v>
      </c>
      <c r="J20" s="33" t="s">
        <v>639</v>
      </c>
      <c r="K20" s="34" t="s">
        <v>602</v>
      </c>
      <c r="L20" s="34"/>
      <c r="M20" s="34"/>
      <c r="N20" s="35">
        <v>0</v>
      </c>
      <c r="O20" s="35"/>
      <c r="P20" s="176">
        <v>44697</v>
      </c>
      <c r="Q20" s="35">
        <v>-1</v>
      </c>
      <c r="R20" s="34"/>
      <c r="S20" s="36"/>
      <c r="T20" s="37"/>
      <c r="U20" s="185" t="e">
        <f>AND(((Критерий_дата-P20)&lt;Лист1!#REF!),Q20=0)</f>
        <v>#REF!</v>
      </c>
      <c r="V20" s="2"/>
      <c r="W20" s="2"/>
      <c r="X20" s="2"/>
    </row>
    <row r="21" spans="1:24" s="2" customFormat="1" ht="108" x14ac:dyDescent="0.25">
      <c r="B21" s="9">
        <f>ROW()-ROW(Лист1!$B$5)</f>
        <v>16</v>
      </c>
      <c r="C21" s="77" t="s">
        <v>153</v>
      </c>
      <c r="D21" s="31"/>
      <c r="E21" s="32" t="s">
        <v>154</v>
      </c>
      <c r="F21" s="33" t="s">
        <v>8</v>
      </c>
      <c r="G21" s="37" t="s">
        <v>49</v>
      </c>
      <c r="H21" s="35"/>
      <c r="I21" s="35"/>
      <c r="J21" s="115" t="s">
        <v>196</v>
      </c>
      <c r="K21" s="34"/>
      <c r="L21" s="34"/>
      <c r="M21" s="34"/>
      <c r="N21" s="34"/>
      <c r="O21" s="34"/>
      <c r="P21" s="34"/>
      <c r="Q21" s="35">
        <v>-1</v>
      </c>
      <c r="R21" s="34"/>
      <c r="S21" s="36"/>
      <c r="T21" s="37"/>
      <c r="U21" s="185" t="e">
        <f>AND(((Критерий_дата-P21)&lt;Лист1!#REF!),Q21=0)</f>
        <v>#REF!</v>
      </c>
      <c r="V21" s="1"/>
      <c r="W21" s="1"/>
      <c r="X21" s="1"/>
    </row>
    <row r="22" spans="1:24" s="21" customFormat="1" ht="60" x14ac:dyDescent="0.25">
      <c r="B22" s="82">
        <f>ROW()-ROW(Лист1!$B$5)</f>
        <v>17</v>
      </c>
      <c r="C22" s="106" t="s">
        <v>259</v>
      </c>
      <c r="D22" s="89"/>
      <c r="E22" s="92" t="s">
        <v>260</v>
      </c>
      <c r="F22" s="94" t="s">
        <v>18</v>
      </c>
      <c r="G22" s="95">
        <v>50000000</v>
      </c>
      <c r="H22" s="16"/>
      <c r="I22" s="16"/>
      <c r="J22" s="94" t="s">
        <v>856</v>
      </c>
      <c r="K22" s="15"/>
      <c r="L22" s="15"/>
      <c r="M22" s="16">
        <v>1</v>
      </c>
      <c r="N22" s="16">
        <v>0</v>
      </c>
      <c r="O22" s="16"/>
      <c r="P22" s="175">
        <v>44704</v>
      </c>
      <c r="Q22" s="16">
        <v>-1</v>
      </c>
      <c r="R22" s="15"/>
      <c r="S22" s="99"/>
      <c r="T22" s="100"/>
      <c r="U22" s="185" t="e">
        <f>(Критерий_дата-P22)&lt;Лист1!#REF!</f>
        <v>#REF!</v>
      </c>
    </row>
    <row r="23" spans="1:24" s="1" customFormat="1" ht="60" x14ac:dyDescent="0.25">
      <c r="B23" s="25">
        <f>ROW()-ROW(Лист1!$B$5)</f>
        <v>18</v>
      </c>
      <c r="C23" s="30" t="s">
        <v>253</v>
      </c>
      <c r="D23" s="31"/>
      <c r="E23" s="32" t="s">
        <v>500</v>
      </c>
      <c r="F23" s="33" t="s">
        <v>20</v>
      </c>
      <c r="G23" s="37">
        <v>150000000</v>
      </c>
      <c r="H23" s="35"/>
      <c r="I23" s="35"/>
      <c r="J23" s="33" t="s">
        <v>577</v>
      </c>
      <c r="K23" s="60"/>
      <c r="L23" s="34"/>
      <c r="M23" s="34"/>
      <c r="N23" s="35">
        <v>0</v>
      </c>
      <c r="O23" s="35"/>
      <c r="P23" s="35"/>
      <c r="Q23" s="35">
        <v>-1</v>
      </c>
      <c r="R23" s="34"/>
      <c r="S23" s="36"/>
      <c r="T23" s="37"/>
      <c r="U23" s="185" t="e">
        <f>AND(((Критерий_дата-P23)&lt;Лист1!#REF!),Q23=0)</f>
        <v>#REF!</v>
      </c>
    </row>
    <row r="24" spans="1:24" s="1" customFormat="1" ht="24" x14ac:dyDescent="0.25">
      <c r="B24" s="25">
        <f>ROW()-ROW(Лист1!$B$5)</f>
        <v>19</v>
      </c>
      <c r="C24" s="76" t="s">
        <v>372</v>
      </c>
      <c r="D24" s="31"/>
      <c r="E24" s="32" t="s">
        <v>422</v>
      </c>
      <c r="F24" s="33" t="s">
        <v>8</v>
      </c>
      <c r="G24" s="38">
        <v>130000000</v>
      </c>
      <c r="H24" s="35"/>
      <c r="I24" s="35"/>
      <c r="J24" s="33" t="s">
        <v>373</v>
      </c>
      <c r="K24" s="60"/>
      <c r="L24" s="34"/>
      <c r="M24" s="34"/>
      <c r="N24" s="35">
        <v>1</v>
      </c>
      <c r="O24" s="35"/>
      <c r="P24" s="176">
        <v>44488</v>
      </c>
      <c r="Q24" s="35">
        <v>0</v>
      </c>
      <c r="R24" s="34"/>
      <c r="S24" s="36"/>
      <c r="T24" s="37"/>
      <c r="U24" s="185" t="e">
        <f>AND(((Критерий_дата-P24)&lt;Лист1!#REF!),Q24=0)</f>
        <v>#REF!</v>
      </c>
      <c r="V24" s="2"/>
      <c r="W24" s="2"/>
      <c r="X24" s="2"/>
    </row>
    <row r="25" spans="1:24" s="1" customFormat="1" x14ac:dyDescent="0.25">
      <c r="B25" s="8">
        <v>345</v>
      </c>
      <c r="C25" s="30" t="s">
        <v>35</v>
      </c>
      <c r="D25" s="45">
        <v>2691</v>
      </c>
      <c r="E25" s="73" t="s">
        <v>615</v>
      </c>
      <c r="F25" s="73" t="s">
        <v>18</v>
      </c>
      <c r="G25" s="129">
        <v>34304483.409999996</v>
      </c>
      <c r="H25" s="45"/>
      <c r="I25" s="73"/>
      <c r="J25" s="73" t="s">
        <v>964</v>
      </c>
      <c r="K25" s="67" t="s">
        <v>606</v>
      </c>
      <c r="L25" s="45"/>
      <c r="M25" s="45">
        <v>1</v>
      </c>
      <c r="N25" s="45"/>
      <c r="O25" s="45"/>
      <c r="P25" s="178">
        <v>44645</v>
      </c>
      <c r="Q25" s="45">
        <v>0</v>
      </c>
      <c r="R25" s="168"/>
      <c r="S25" s="45"/>
      <c r="T25" s="45"/>
      <c r="U25" s="185" t="e">
        <f>AND(((Критерий_дата-P25)&lt;Лист1!#REF!),Q25=0)</f>
        <v>#REF!</v>
      </c>
      <c r="V25" s="12"/>
    </row>
    <row r="26" spans="1:24" s="1" customFormat="1" ht="24" x14ac:dyDescent="0.25">
      <c r="B26" s="9">
        <f>ROW()-ROW(Лист1!$B$5)</f>
        <v>21</v>
      </c>
      <c r="C26" s="76" t="s">
        <v>155</v>
      </c>
      <c r="D26" s="31"/>
      <c r="E26" s="32" t="s">
        <v>151</v>
      </c>
      <c r="F26" s="33" t="s">
        <v>18</v>
      </c>
      <c r="G26" s="37">
        <v>18367000</v>
      </c>
      <c r="H26" s="35"/>
      <c r="I26" s="35"/>
      <c r="J26" s="33" t="s">
        <v>156</v>
      </c>
      <c r="K26" s="34"/>
      <c r="L26" s="34"/>
      <c r="M26" s="34"/>
      <c r="N26" s="35"/>
      <c r="O26" s="35"/>
      <c r="P26" s="176">
        <v>44258</v>
      </c>
      <c r="Q26" s="35">
        <v>0</v>
      </c>
      <c r="R26" s="34"/>
      <c r="S26" s="36"/>
      <c r="T26" s="37"/>
      <c r="U26" s="185" t="e">
        <f>AND(((Критерий_дата-P26)&lt;Лист1!#REF!),Q26=0)</f>
        <v>#REF!</v>
      </c>
    </row>
    <row r="27" spans="1:24" s="1" customFormat="1" ht="24" x14ac:dyDescent="0.25">
      <c r="A27" s="2"/>
      <c r="B27" s="9">
        <f>ROW()-ROW(Лист1!$B$5)</f>
        <v>22</v>
      </c>
      <c r="C27" s="88" t="s">
        <v>150</v>
      </c>
      <c r="D27" s="31"/>
      <c r="E27" s="32" t="s">
        <v>151</v>
      </c>
      <c r="F27" s="33" t="s">
        <v>18</v>
      </c>
      <c r="G27" s="37">
        <v>18000000</v>
      </c>
      <c r="H27" s="35"/>
      <c r="I27" s="35"/>
      <c r="J27" s="33" t="s">
        <v>152</v>
      </c>
      <c r="K27" s="34"/>
      <c r="L27" s="34"/>
      <c r="M27" s="34"/>
      <c r="N27" s="35"/>
      <c r="O27" s="35"/>
      <c r="P27" s="35"/>
      <c r="Q27" s="35">
        <v>-1</v>
      </c>
      <c r="R27" s="34"/>
      <c r="S27" s="36"/>
      <c r="T27" s="37"/>
      <c r="U27" s="185" t="e">
        <f>AND(((Критерий_дата-P27)&lt;Лист1!#REF!),Q27=0)</f>
        <v>#REF!</v>
      </c>
    </row>
    <row r="28" spans="1:24" s="1" customFormat="1" ht="48" x14ac:dyDescent="0.25">
      <c r="B28" s="9">
        <f>ROW()-ROW(Лист1!$B$5)</f>
        <v>23</v>
      </c>
      <c r="C28" s="76" t="s">
        <v>127</v>
      </c>
      <c r="D28" s="31"/>
      <c r="E28" s="32" t="s">
        <v>128</v>
      </c>
      <c r="F28" s="33" t="s">
        <v>129</v>
      </c>
      <c r="G28" s="37">
        <v>12100000</v>
      </c>
      <c r="H28" s="35"/>
      <c r="I28" s="35"/>
      <c r="J28" s="33" t="s">
        <v>130</v>
      </c>
      <c r="K28" s="34" t="s">
        <v>603</v>
      </c>
      <c r="L28" s="34"/>
      <c r="M28" s="34"/>
      <c r="N28" s="35"/>
      <c r="O28" s="35"/>
      <c r="P28" s="176">
        <v>44225</v>
      </c>
      <c r="Q28" s="35">
        <v>0</v>
      </c>
      <c r="R28" s="34"/>
      <c r="S28" s="36"/>
      <c r="T28" s="37"/>
      <c r="U28" s="185" t="e">
        <f>AND(((Критерий_дата-P28)&lt;Лист1!#REF!),Q28=0)</f>
        <v>#REF!</v>
      </c>
    </row>
    <row r="29" spans="1:24" s="1" customFormat="1" ht="60" x14ac:dyDescent="0.25">
      <c r="B29" s="35">
        <f>ROW()-ROW(Лист1!$B$5)</f>
        <v>24</v>
      </c>
      <c r="C29" s="76" t="s">
        <v>272</v>
      </c>
      <c r="D29" s="31"/>
      <c r="E29" s="32" t="s">
        <v>273</v>
      </c>
      <c r="F29" s="33" t="s">
        <v>104</v>
      </c>
      <c r="G29" s="38">
        <v>6738975</v>
      </c>
      <c r="H29" s="35"/>
      <c r="I29" s="35"/>
      <c r="J29" s="33" t="s">
        <v>274</v>
      </c>
      <c r="K29" s="34" t="s">
        <v>605</v>
      </c>
      <c r="L29" s="34"/>
      <c r="M29" s="34"/>
      <c r="N29" s="35"/>
      <c r="O29" s="35"/>
      <c r="P29" s="176">
        <v>44351</v>
      </c>
      <c r="Q29" s="35">
        <v>0</v>
      </c>
      <c r="R29" s="34"/>
      <c r="S29" s="36"/>
      <c r="T29" s="37"/>
      <c r="U29" s="185" t="e">
        <f>AND(((Критерий_дата-P29)&lt;Лист1!#REF!),Q29=0)</f>
        <v>#REF!</v>
      </c>
    </row>
    <row r="30" spans="1:24" s="1" customFormat="1" ht="48" x14ac:dyDescent="0.25">
      <c r="B30" s="35">
        <f>ROW()-ROW(Лист1!$B$5)</f>
        <v>25</v>
      </c>
      <c r="C30" s="107" t="s">
        <v>467</v>
      </c>
      <c r="D30" s="31"/>
      <c r="E30" s="32" t="s">
        <v>71</v>
      </c>
      <c r="F30" s="33" t="s">
        <v>590</v>
      </c>
      <c r="G30" s="38">
        <v>6366000</v>
      </c>
      <c r="H30" s="33"/>
      <c r="I30" s="33"/>
      <c r="J30" s="33" t="s">
        <v>718</v>
      </c>
      <c r="K30" s="60" t="s">
        <v>601</v>
      </c>
      <c r="L30" s="34"/>
      <c r="M30" s="34"/>
      <c r="N30" s="35"/>
      <c r="O30" s="35"/>
      <c r="P30" s="176">
        <v>44572</v>
      </c>
      <c r="Q30" s="35">
        <v>0</v>
      </c>
      <c r="R30" s="34"/>
      <c r="S30" s="36"/>
      <c r="T30" s="37"/>
      <c r="U30" s="185" t="e">
        <f>AND(((Критерий_дата-P30)&lt;Лист1!#REF!),Q30=0)</f>
        <v>#REF!</v>
      </c>
    </row>
    <row r="31" spans="1:24" s="1" customFormat="1" ht="36" x14ac:dyDescent="0.25">
      <c r="B31" s="35">
        <f>ROW()-ROW(Лист1!$B$5)</f>
        <v>26</v>
      </c>
      <c r="C31" s="76" t="s">
        <v>370</v>
      </c>
      <c r="D31" s="31"/>
      <c r="E31" s="32" t="s">
        <v>55</v>
      </c>
      <c r="F31" s="33" t="s">
        <v>371</v>
      </c>
      <c r="G31" s="38">
        <v>6200000</v>
      </c>
      <c r="H31" s="35"/>
      <c r="I31" s="35"/>
      <c r="J31" s="33" t="s">
        <v>569</v>
      </c>
      <c r="K31" s="60" t="s">
        <v>603</v>
      </c>
      <c r="L31" s="34"/>
      <c r="M31" s="34"/>
      <c r="N31" s="35">
        <v>1</v>
      </c>
      <c r="O31" s="35"/>
      <c r="P31" s="176">
        <v>44622</v>
      </c>
      <c r="Q31" s="35">
        <v>0</v>
      </c>
      <c r="R31" s="34"/>
      <c r="S31" s="36"/>
      <c r="T31" s="37"/>
      <c r="U31" s="185" t="e">
        <f>AND(((Критерий_дата-P31)&lt;Лист1!#REF!),Q31=0)</f>
        <v>#REF!</v>
      </c>
    </row>
    <row r="32" spans="1:24" s="23" customFormat="1" ht="120" x14ac:dyDescent="0.25">
      <c r="B32" s="35">
        <f>ROW()-ROW(Лист1!$B$5)</f>
        <v>27</v>
      </c>
      <c r="C32" s="76" t="s">
        <v>306</v>
      </c>
      <c r="D32" s="31"/>
      <c r="E32" s="32" t="s">
        <v>307</v>
      </c>
      <c r="F32" s="33" t="s">
        <v>18</v>
      </c>
      <c r="G32" s="37">
        <v>1300000</v>
      </c>
      <c r="H32" s="35"/>
      <c r="I32" s="35"/>
      <c r="J32" s="33" t="s">
        <v>574</v>
      </c>
      <c r="K32" s="34" t="s">
        <v>606</v>
      </c>
      <c r="L32" s="34"/>
      <c r="M32" s="34"/>
      <c r="N32" s="35">
        <v>1</v>
      </c>
      <c r="O32" s="35"/>
      <c r="P32" s="176">
        <v>44662</v>
      </c>
      <c r="Q32" s="35">
        <v>0</v>
      </c>
      <c r="R32" s="34"/>
      <c r="S32" s="36"/>
      <c r="T32" s="37"/>
      <c r="U32" s="185" t="e">
        <f>AND(((Критерий_дата-P32)&lt;Лист1!#REF!),Q32=0)</f>
        <v>#REF!</v>
      </c>
      <c r="V32" s="1"/>
      <c r="W32" s="1"/>
      <c r="X32" s="1"/>
    </row>
    <row r="33" spans="1:24" s="23" customFormat="1" ht="24" x14ac:dyDescent="0.25">
      <c r="A33" s="1"/>
      <c r="B33" s="35">
        <f>ROW()-ROW(Лист1!$B$5)</f>
        <v>28</v>
      </c>
      <c r="C33" s="76" t="s">
        <v>241</v>
      </c>
      <c r="D33" s="31"/>
      <c r="E33" s="32" t="s">
        <v>242</v>
      </c>
      <c r="F33" s="33" t="s">
        <v>48</v>
      </c>
      <c r="G33" s="37">
        <v>872038</v>
      </c>
      <c r="H33" s="35"/>
      <c r="I33" s="35"/>
      <c r="J33" s="33" t="s">
        <v>243</v>
      </c>
      <c r="K33" s="60"/>
      <c r="L33" s="34"/>
      <c r="M33" s="34"/>
      <c r="N33" s="35"/>
      <c r="O33" s="35"/>
      <c r="P33" s="176">
        <v>44284</v>
      </c>
      <c r="Q33" s="35">
        <v>0</v>
      </c>
      <c r="R33" s="34"/>
      <c r="S33" s="36"/>
      <c r="T33" s="37"/>
      <c r="U33" s="185" t="e">
        <f>AND(((Критерий_дата-P33)&lt;Лист1!#REF!),Q33=0)</f>
        <v>#REF!</v>
      </c>
      <c r="V33" s="1"/>
      <c r="W33" s="1"/>
      <c r="X33" s="1"/>
    </row>
    <row r="34" spans="1:24" s="23" customFormat="1" ht="36" x14ac:dyDescent="0.25">
      <c r="B34" s="35">
        <v>24</v>
      </c>
      <c r="C34" s="76" t="s">
        <v>398</v>
      </c>
      <c r="D34" s="31"/>
      <c r="E34" s="32" t="s">
        <v>399</v>
      </c>
      <c r="F34" s="33" t="s">
        <v>400</v>
      </c>
      <c r="G34" s="37">
        <v>756000</v>
      </c>
      <c r="H34" s="48"/>
      <c r="I34" s="48"/>
      <c r="J34" s="33" t="s">
        <v>499</v>
      </c>
      <c r="K34" s="75" t="s">
        <v>605</v>
      </c>
      <c r="L34" s="34"/>
      <c r="M34" s="34"/>
      <c r="N34" s="35"/>
      <c r="O34" s="35"/>
      <c r="P34" s="176">
        <v>44530</v>
      </c>
      <c r="Q34" s="35">
        <v>0</v>
      </c>
      <c r="R34" s="34"/>
      <c r="S34" s="36"/>
      <c r="T34" s="37"/>
      <c r="U34" s="185" t="e">
        <f>AND(((Критерий_дата-P34)&lt;Лист1!#REF!),Q34=0)</f>
        <v>#REF!</v>
      </c>
      <c r="V34" s="1"/>
      <c r="W34" s="1"/>
      <c r="X34" s="1"/>
    </row>
    <row r="35" spans="1:24" s="23" customFormat="1" ht="12" x14ac:dyDescent="0.25">
      <c r="B35" s="45">
        <f>ROW()-ROW(Лист1!$B$5)</f>
        <v>30</v>
      </c>
      <c r="C35" s="88" t="s">
        <v>406</v>
      </c>
      <c r="D35" s="127"/>
      <c r="E35" s="128" t="s">
        <v>407</v>
      </c>
      <c r="F35" s="73" t="s">
        <v>408</v>
      </c>
      <c r="G35" s="138">
        <v>752298</v>
      </c>
      <c r="H35" s="45"/>
      <c r="I35" s="45"/>
      <c r="J35" s="73" t="s">
        <v>575</v>
      </c>
      <c r="K35" s="67"/>
      <c r="L35" s="67"/>
      <c r="M35" s="45">
        <v>1</v>
      </c>
      <c r="N35" s="45">
        <v>1</v>
      </c>
      <c r="O35" s="45"/>
      <c r="P35" s="178">
        <v>44594</v>
      </c>
      <c r="Q35" s="45">
        <v>0</v>
      </c>
      <c r="R35" s="67"/>
      <c r="S35" s="132"/>
      <c r="T35" s="129"/>
      <c r="U35" s="185" t="e">
        <f>AND(((Критерий_дата-P35)&lt;Лист1!#REF!),Q35=0)</f>
        <v>#REF!</v>
      </c>
      <c r="V35" s="1"/>
      <c r="W35" s="1"/>
      <c r="X35" s="1"/>
    </row>
    <row r="36" spans="1:24" s="23" customFormat="1" ht="24" x14ac:dyDescent="0.25">
      <c r="A36" s="1"/>
      <c r="B36" s="35">
        <f>ROW()-ROW(Лист1!$B$5)</f>
        <v>31</v>
      </c>
      <c r="C36" s="76" t="s">
        <v>220</v>
      </c>
      <c r="D36" s="31"/>
      <c r="E36" s="32" t="s">
        <v>51</v>
      </c>
      <c r="F36" s="33" t="s">
        <v>221</v>
      </c>
      <c r="G36" s="37">
        <v>741909</v>
      </c>
      <c r="H36" s="35"/>
      <c r="I36" s="35"/>
      <c r="J36" s="33" t="s">
        <v>222</v>
      </c>
      <c r="K36" s="34"/>
      <c r="L36" s="34"/>
      <c r="M36" s="34"/>
      <c r="N36" s="35"/>
      <c r="O36" s="35"/>
      <c r="P36" s="176">
        <v>44307</v>
      </c>
      <c r="Q36" s="35">
        <v>0</v>
      </c>
      <c r="R36" s="34"/>
      <c r="S36" s="36"/>
      <c r="T36" s="37"/>
      <c r="U36" s="185" t="e">
        <f>AND(((Критерий_дата-P36)&lt;Лист1!#REF!),Q36=0)</f>
        <v>#REF!</v>
      </c>
      <c r="V36" s="1"/>
      <c r="W36" s="1"/>
      <c r="X36" s="1"/>
    </row>
    <row r="37" spans="1:24" s="23" customFormat="1" ht="12" x14ac:dyDescent="0.25">
      <c r="A37" s="1"/>
      <c r="B37" s="49">
        <f>ROW()-ROW(Лист1!$B$5)</f>
        <v>32</v>
      </c>
      <c r="C37" s="76" t="s">
        <v>266</v>
      </c>
      <c r="D37" s="140"/>
      <c r="E37" s="141" t="s">
        <v>267</v>
      </c>
      <c r="F37" s="142" t="s">
        <v>268</v>
      </c>
      <c r="G37" s="143">
        <v>646513</v>
      </c>
      <c r="H37" s="49"/>
      <c r="I37" s="49"/>
      <c r="J37" s="142" t="s">
        <v>708</v>
      </c>
      <c r="K37" s="68"/>
      <c r="L37" s="68"/>
      <c r="M37" s="49">
        <v>1</v>
      </c>
      <c r="N37" s="49"/>
      <c r="O37" s="49"/>
      <c r="P37" s="177">
        <v>44622</v>
      </c>
      <c r="Q37" s="49">
        <v>0</v>
      </c>
      <c r="R37" s="68"/>
      <c r="S37" s="144"/>
      <c r="T37" s="145"/>
      <c r="U37" s="185" t="e">
        <f>AND(((Критерий_дата-P37)&lt;Лист1!#REF!),Q37=0)</f>
        <v>#REF!</v>
      </c>
      <c r="V37" s="2"/>
      <c r="W37" s="2"/>
      <c r="X37" s="2"/>
    </row>
    <row r="38" spans="1:24" s="23" customFormat="1" ht="36" x14ac:dyDescent="0.25">
      <c r="B38" s="35">
        <f>ROW()-ROW(Лист1!$B$5)</f>
        <v>33</v>
      </c>
      <c r="C38" s="76" t="s">
        <v>355</v>
      </c>
      <c r="D38" s="31"/>
      <c r="E38" s="32" t="s">
        <v>53</v>
      </c>
      <c r="F38" s="33" t="s">
        <v>20</v>
      </c>
      <c r="G38" s="37">
        <v>549900</v>
      </c>
      <c r="H38" s="35"/>
      <c r="I38" s="35"/>
      <c r="J38" s="33" t="s">
        <v>356</v>
      </c>
      <c r="K38" s="60"/>
      <c r="L38" s="34"/>
      <c r="M38" s="34"/>
      <c r="N38" s="35">
        <v>1</v>
      </c>
      <c r="O38" s="35"/>
      <c r="P38" s="176">
        <v>44481</v>
      </c>
      <c r="Q38" s="35">
        <v>0</v>
      </c>
      <c r="R38" s="34"/>
      <c r="S38" s="36"/>
      <c r="T38" s="37"/>
      <c r="U38" s="185" t="e">
        <f>AND(((Критерий_дата-P38)&lt;Лист1!#REF!),Q38=0)</f>
        <v>#REF!</v>
      </c>
      <c r="V38" s="12"/>
      <c r="W38" s="1"/>
      <c r="X38" s="1"/>
    </row>
    <row r="39" spans="1:24" s="23" customFormat="1" ht="36" customHeight="1" x14ac:dyDescent="0.2">
      <c r="A39" s="1"/>
      <c r="B39" s="50">
        <f>ROW()-ROW(Лист1!$B$5)</f>
        <v>34</v>
      </c>
      <c r="C39" s="76" t="s">
        <v>300</v>
      </c>
      <c r="D39" s="120"/>
      <c r="E39" s="121" t="s">
        <v>301</v>
      </c>
      <c r="F39" s="122" t="s">
        <v>302</v>
      </c>
      <c r="G39" s="139">
        <v>521243</v>
      </c>
      <c r="H39" s="50"/>
      <c r="I39" s="50"/>
      <c r="J39" s="218" t="s">
        <v>641</v>
      </c>
      <c r="K39" s="69"/>
      <c r="L39" s="69"/>
      <c r="M39" s="73">
        <v>1</v>
      </c>
      <c r="N39" s="50"/>
      <c r="O39" s="50"/>
      <c r="P39" s="50"/>
      <c r="Q39" s="50">
        <v>0</v>
      </c>
      <c r="R39" s="69"/>
      <c r="S39" s="125"/>
      <c r="T39" s="123"/>
      <c r="U39" s="185" t="e">
        <f>AND(((Критерий_дата-P39)&lt;Лист1!#REF!),Q39=0)</f>
        <v>#REF!</v>
      </c>
      <c r="V39" s="2"/>
      <c r="W39" s="2"/>
      <c r="X39" s="2"/>
    </row>
    <row r="40" spans="1:24" s="23" customFormat="1" ht="24" x14ac:dyDescent="0.25">
      <c r="B40" s="35">
        <f>ROW()-ROW(Лист1!$B$5)</f>
        <v>35</v>
      </c>
      <c r="C40" s="133" t="s">
        <v>719</v>
      </c>
      <c r="D40" s="59"/>
      <c r="E40" s="32" t="s">
        <v>720</v>
      </c>
      <c r="F40" s="33" t="s">
        <v>721</v>
      </c>
      <c r="G40" s="37">
        <v>498500</v>
      </c>
      <c r="H40" s="31" t="s">
        <v>745</v>
      </c>
      <c r="I40" s="33"/>
      <c r="J40" s="33" t="s">
        <v>722</v>
      </c>
      <c r="K40" s="34" t="s">
        <v>605</v>
      </c>
      <c r="L40" s="72"/>
      <c r="M40" s="35"/>
      <c r="N40" s="35"/>
      <c r="O40" s="35"/>
      <c r="P40" s="176">
        <v>44658</v>
      </c>
      <c r="Q40" s="35">
        <v>0</v>
      </c>
      <c r="R40" s="72"/>
      <c r="S40" s="35"/>
      <c r="T40" s="35"/>
      <c r="U40" s="185" t="e">
        <f>AND(((Критерий_дата-P40)&lt;Лист1!#REF!),Q40=0)</f>
        <v>#REF!</v>
      </c>
      <c r="V40" s="1"/>
      <c r="W40" s="1"/>
      <c r="X40" s="1"/>
    </row>
    <row r="41" spans="1:24" s="23" customFormat="1" ht="36" x14ac:dyDescent="0.25">
      <c r="B41" s="35">
        <f>ROW()-ROW(Лист1!$B$5)</f>
        <v>36</v>
      </c>
      <c r="C41" s="88" t="s">
        <v>184</v>
      </c>
      <c r="D41" s="31"/>
      <c r="E41" s="32" t="s">
        <v>185</v>
      </c>
      <c r="F41" s="33" t="s">
        <v>3</v>
      </c>
      <c r="G41" s="37">
        <v>497500</v>
      </c>
      <c r="H41" s="35"/>
      <c r="I41" s="35"/>
      <c r="J41" s="33" t="s">
        <v>568</v>
      </c>
      <c r="K41" s="60" t="s">
        <v>605</v>
      </c>
      <c r="L41" s="34"/>
      <c r="M41" s="34"/>
      <c r="N41" s="35">
        <v>1</v>
      </c>
      <c r="O41" s="35"/>
      <c r="P41" s="176">
        <v>44589</v>
      </c>
      <c r="Q41" s="35">
        <v>0</v>
      </c>
      <c r="R41" s="34"/>
      <c r="S41" s="36"/>
      <c r="T41" s="37"/>
      <c r="U41" s="185" t="e">
        <f>AND(((Критерий_дата-P41)&lt;Лист1!#REF!),Q41=0)</f>
        <v>#REF!</v>
      </c>
      <c r="V41" s="1"/>
      <c r="W41" s="1"/>
      <c r="X41" s="1"/>
    </row>
    <row r="42" spans="1:24" s="23" customFormat="1" ht="36" x14ac:dyDescent="0.25">
      <c r="B42" s="35">
        <f>ROW()-ROW(Лист1!$B$5)</f>
        <v>37</v>
      </c>
      <c r="C42" s="76" t="s">
        <v>223</v>
      </c>
      <c r="D42" s="31"/>
      <c r="E42" s="32" t="s">
        <v>224</v>
      </c>
      <c r="F42" s="33" t="s">
        <v>198</v>
      </c>
      <c r="G42" s="37">
        <v>270000</v>
      </c>
      <c r="H42" s="35"/>
      <c r="I42" s="35"/>
      <c r="J42" s="33" t="s">
        <v>225</v>
      </c>
      <c r="K42" s="34"/>
      <c r="L42" s="34"/>
      <c r="M42" s="34"/>
      <c r="N42" s="35"/>
      <c r="O42" s="35"/>
      <c r="P42" s="176">
        <v>44308</v>
      </c>
      <c r="Q42" s="35">
        <v>0</v>
      </c>
      <c r="R42" s="34"/>
      <c r="S42" s="36"/>
      <c r="T42" s="37"/>
      <c r="U42" s="185" t="e">
        <f>AND(((Критерий_дата-P42)&lt;Лист1!#REF!),Q42=0)</f>
        <v>#REF!</v>
      </c>
      <c r="V42" s="1"/>
      <c r="W42" s="1"/>
      <c r="X42" s="1"/>
    </row>
    <row r="43" spans="1:24" s="23" customFormat="1" ht="84" x14ac:dyDescent="0.25">
      <c r="B43" s="25">
        <f>ROW()-ROW(Лист1!$B$5)</f>
        <v>38</v>
      </c>
      <c r="C43" s="77" t="s">
        <v>153</v>
      </c>
      <c r="D43" s="31"/>
      <c r="E43" s="32" t="s">
        <v>154</v>
      </c>
      <c r="F43" s="33" t="s">
        <v>8</v>
      </c>
      <c r="G43" s="37">
        <v>0</v>
      </c>
      <c r="H43" s="35"/>
      <c r="I43" s="35"/>
      <c r="J43" s="33" t="s">
        <v>141</v>
      </c>
      <c r="K43" s="34"/>
      <c r="L43" s="34"/>
      <c r="M43" s="34"/>
      <c r="N43" s="34"/>
      <c r="O43" s="34"/>
      <c r="P43" s="34"/>
      <c r="Q43" s="35">
        <v>-1</v>
      </c>
      <c r="R43" s="34"/>
      <c r="S43" s="36"/>
      <c r="T43" s="37"/>
      <c r="U43" s="185" t="e">
        <f>AND(((Критерий_дата-P43)&lt;Лист1!#REF!),Q43=0)</f>
        <v>#REF!</v>
      </c>
      <c r="V43" s="1"/>
      <c r="W43" s="1"/>
      <c r="X43" s="1"/>
    </row>
    <row r="44" spans="1:24" s="23" customFormat="1" ht="60" x14ac:dyDescent="0.25">
      <c r="B44" s="25">
        <f>ROW()-ROW(Лист1!$B$5)</f>
        <v>39</v>
      </c>
      <c r="C44" s="76" t="s">
        <v>157</v>
      </c>
      <c r="D44" s="31"/>
      <c r="E44" s="32" t="s">
        <v>158</v>
      </c>
      <c r="F44" s="33" t="s">
        <v>75</v>
      </c>
      <c r="G44" s="37">
        <v>0</v>
      </c>
      <c r="H44" s="35"/>
      <c r="I44" s="35"/>
      <c r="J44" s="33" t="s">
        <v>159</v>
      </c>
      <c r="K44" s="196"/>
      <c r="L44" s="34"/>
      <c r="M44" s="34"/>
      <c r="N44" s="34"/>
      <c r="O44" s="34"/>
      <c r="P44" s="34"/>
      <c r="Q44" s="35">
        <v>-1</v>
      </c>
      <c r="R44" s="34"/>
      <c r="S44" s="36"/>
      <c r="T44" s="37"/>
      <c r="U44" s="185" t="e">
        <f>AND(((Критерий_дата-P44)&lt;Лист1!#REF!),Q44=0)</f>
        <v>#REF!</v>
      </c>
      <c r="V44" s="1"/>
      <c r="W44" s="1"/>
      <c r="X44" s="1"/>
    </row>
    <row r="45" spans="1:24" s="23" customFormat="1" ht="24" x14ac:dyDescent="0.25">
      <c r="B45" s="105">
        <f>ROW()-ROW(Лист1!$B$5)</f>
        <v>40</v>
      </c>
      <c r="C45" s="86" t="s">
        <v>96</v>
      </c>
      <c r="D45" s="135"/>
      <c r="E45" s="116" t="s">
        <v>97</v>
      </c>
      <c r="F45" s="117" t="s">
        <v>98</v>
      </c>
      <c r="G45" s="118"/>
      <c r="H45" s="29"/>
      <c r="I45" s="29"/>
      <c r="J45" s="117" t="s">
        <v>99</v>
      </c>
      <c r="K45" s="207"/>
      <c r="L45" s="60"/>
      <c r="M45" s="60"/>
      <c r="N45" s="60"/>
      <c r="O45" s="60"/>
      <c r="P45" s="60"/>
      <c r="Q45" s="29">
        <v>-1</v>
      </c>
      <c r="R45" s="60"/>
      <c r="S45" s="60"/>
      <c r="T45" s="136"/>
      <c r="U45" s="185" t="e">
        <f>AND(((Критерий_дата-P45)&lt;Лист1!#REF!),Q45=0)</f>
        <v>#REF!</v>
      </c>
      <c r="V45" s="2"/>
      <c r="W45" s="2"/>
      <c r="X45" s="2"/>
    </row>
    <row r="46" spans="1:24" s="23" customFormat="1" ht="60" x14ac:dyDescent="0.25">
      <c r="B46" s="35">
        <f>ROW()-ROW(Лист1!$B$5)</f>
        <v>41</v>
      </c>
      <c r="C46" s="76" t="s">
        <v>134</v>
      </c>
      <c r="D46" s="31"/>
      <c r="E46" s="32" t="s">
        <v>135</v>
      </c>
      <c r="F46" s="33" t="s">
        <v>3</v>
      </c>
      <c r="G46" s="37"/>
      <c r="H46" s="35"/>
      <c r="I46" s="35"/>
      <c r="J46" s="33" t="s">
        <v>136</v>
      </c>
      <c r="K46" s="196"/>
      <c r="L46" s="34"/>
      <c r="M46" s="34"/>
      <c r="N46" s="34"/>
      <c r="O46" s="34"/>
      <c r="P46" s="34"/>
      <c r="Q46" s="35">
        <v>-1</v>
      </c>
      <c r="R46" s="34"/>
      <c r="S46" s="36"/>
      <c r="T46" s="37"/>
      <c r="U46" s="185" t="e">
        <f>AND(((Критерий_дата-P46)&lt;Лист1!#REF!),Q46=0)</f>
        <v>#REF!</v>
      </c>
      <c r="V46" s="1"/>
      <c r="W46" s="1"/>
      <c r="X46" s="1"/>
    </row>
    <row r="47" spans="1:24" s="23" customFormat="1" ht="60" x14ac:dyDescent="0.25">
      <c r="B47" s="39">
        <f>ROW()-ROW(Лист1!$B$5)</f>
        <v>42</v>
      </c>
      <c r="C47" s="85" t="s">
        <v>33</v>
      </c>
      <c r="D47" s="91"/>
      <c r="E47" s="93" t="s">
        <v>26</v>
      </c>
      <c r="F47" s="40" t="s">
        <v>11</v>
      </c>
      <c r="G47" s="96"/>
      <c r="H47" s="39" t="s">
        <v>88</v>
      </c>
      <c r="I47" s="39"/>
      <c r="J47" s="40" t="s">
        <v>44</v>
      </c>
      <c r="K47" s="208" t="s">
        <v>602</v>
      </c>
      <c r="L47" s="62" t="s">
        <v>12</v>
      </c>
      <c r="M47" s="62"/>
      <c r="N47" s="59"/>
      <c r="O47" s="59"/>
      <c r="P47" s="59"/>
      <c r="Q47" s="35">
        <v>-1</v>
      </c>
      <c r="R47" s="59"/>
      <c r="S47" s="59"/>
      <c r="T47" s="101"/>
      <c r="U47" s="185" t="e">
        <f>AND(((Критерий_дата-P47)&lt;Лист1!#REF!),Q47=0)</f>
        <v>#REF!</v>
      </c>
      <c r="V47" s="1"/>
      <c r="W47" s="1"/>
      <c r="X47" s="1"/>
    </row>
    <row r="48" spans="1:24" s="23" customFormat="1" ht="36" x14ac:dyDescent="0.25">
      <c r="B48" s="35">
        <f>ROW()-ROW(Лист1!$B$5)</f>
        <v>43</v>
      </c>
      <c r="C48" s="77" t="s">
        <v>142</v>
      </c>
      <c r="D48" s="31"/>
      <c r="E48" s="32" t="s">
        <v>143</v>
      </c>
      <c r="F48" s="33" t="s">
        <v>8</v>
      </c>
      <c r="G48" s="37"/>
      <c r="H48" s="35"/>
      <c r="I48" s="35"/>
      <c r="J48" s="33" t="s">
        <v>144</v>
      </c>
      <c r="K48" s="196"/>
      <c r="L48" s="34"/>
      <c r="M48" s="34"/>
      <c r="N48" s="34"/>
      <c r="O48" s="34"/>
      <c r="P48" s="34"/>
      <c r="Q48" s="35">
        <v>-1</v>
      </c>
      <c r="R48" s="34"/>
      <c r="S48" s="36"/>
      <c r="T48" s="37"/>
      <c r="U48" s="185" t="e">
        <f>AND(((Критерий_дата-P48)&lt;Лист1!#REF!),Q48=0)</f>
        <v>#REF!</v>
      </c>
      <c r="V48" s="1"/>
      <c r="W48" s="1"/>
      <c r="X48" s="1"/>
    </row>
    <row r="49" spans="1:24" s="23" customFormat="1" ht="36" x14ac:dyDescent="0.25">
      <c r="B49" s="35">
        <f>ROW()-ROW(Лист1!$B$5)</f>
        <v>44</v>
      </c>
      <c r="C49" s="77" t="s">
        <v>145</v>
      </c>
      <c r="D49" s="31"/>
      <c r="E49" s="32" t="s">
        <v>146</v>
      </c>
      <c r="F49" s="33" t="s">
        <v>8</v>
      </c>
      <c r="G49" s="37"/>
      <c r="H49" s="35"/>
      <c r="I49" s="35"/>
      <c r="J49" s="33" t="s">
        <v>147</v>
      </c>
      <c r="K49" s="98"/>
      <c r="L49" s="34"/>
      <c r="M49" s="34"/>
      <c r="N49" s="34"/>
      <c r="O49" s="34"/>
      <c r="P49" s="34"/>
      <c r="Q49" s="35">
        <v>-1</v>
      </c>
      <c r="R49" s="34"/>
      <c r="S49" s="36"/>
      <c r="T49" s="37"/>
      <c r="U49" s="185" t="e">
        <f>AND(((Критерий_дата-P49)&lt;Лист1!#REF!),Q49=0)</f>
        <v>#REF!</v>
      </c>
      <c r="V49" s="12"/>
      <c r="W49" s="1"/>
      <c r="X49" s="1"/>
    </row>
    <row r="50" spans="1:24" s="23" customFormat="1" ht="12" x14ac:dyDescent="0.25">
      <c r="B50" s="39">
        <f>ROW()-ROW(Лист1!$B$5)</f>
        <v>45</v>
      </c>
      <c r="C50" s="85" t="s">
        <v>36</v>
      </c>
      <c r="D50" s="90"/>
      <c r="E50" s="79" t="s">
        <v>17</v>
      </c>
      <c r="F50" s="40" t="s">
        <v>16</v>
      </c>
      <c r="G50" s="96"/>
      <c r="H50" s="39" t="s">
        <v>39</v>
      </c>
      <c r="I50" s="39"/>
      <c r="J50" s="39"/>
      <c r="K50" s="97"/>
      <c r="L50" s="59"/>
      <c r="M50" s="59"/>
      <c r="N50" s="59"/>
      <c r="O50" s="59"/>
      <c r="P50" s="59"/>
      <c r="Q50" s="39">
        <v>-1</v>
      </c>
      <c r="R50" s="59"/>
      <c r="S50" s="59"/>
      <c r="T50" s="101"/>
      <c r="U50" s="185" t="e">
        <f>AND(((Критерий_дата-P50)&lt;Лист1!#REF!),Q50=0)</f>
        <v>#REF!</v>
      </c>
      <c r="V50" s="1"/>
      <c r="W50" s="1"/>
      <c r="X50" s="1"/>
    </row>
    <row r="51" spans="1:24" s="23" customFormat="1" ht="36" x14ac:dyDescent="0.25">
      <c r="B51" s="35">
        <f>ROW()-ROW(Лист1!$B$5)</f>
        <v>46</v>
      </c>
      <c r="C51" s="76" t="s">
        <v>116</v>
      </c>
      <c r="D51" s="31"/>
      <c r="E51" s="32" t="s">
        <v>117</v>
      </c>
      <c r="F51" s="33" t="s">
        <v>118</v>
      </c>
      <c r="G51" s="37"/>
      <c r="H51" s="35"/>
      <c r="I51" s="35"/>
      <c r="J51" s="33" t="s">
        <v>119</v>
      </c>
      <c r="K51" s="98"/>
      <c r="L51" s="34"/>
      <c r="M51" s="34"/>
      <c r="N51" s="34"/>
      <c r="O51" s="34"/>
      <c r="P51" s="34"/>
      <c r="Q51" s="35">
        <v>-1</v>
      </c>
      <c r="R51" s="34"/>
      <c r="S51" s="36"/>
      <c r="T51" s="37"/>
      <c r="U51" s="185" t="e">
        <f>AND(((Критерий_дата-P51)&lt;Лист1!#REF!),Q51=0)</f>
        <v>#REF!</v>
      </c>
      <c r="V51" s="1"/>
      <c r="W51" s="1"/>
      <c r="X51" s="1"/>
    </row>
    <row r="52" spans="1:24" s="23" customFormat="1" ht="36" x14ac:dyDescent="0.25">
      <c r="B52" s="39">
        <f>ROW()-ROW(Лист1!$B$5)</f>
        <v>47</v>
      </c>
      <c r="C52" s="85" t="s">
        <v>34</v>
      </c>
      <c r="D52" s="91"/>
      <c r="E52" s="93" t="s">
        <v>19</v>
      </c>
      <c r="F52" s="40" t="s">
        <v>15</v>
      </c>
      <c r="G52" s="96"/>
      <c r="H52" s="39" t="s">
        <v>39</v>
      </c>
      <c r="I52" s="39"/>
      <c r="J52" s="39"/>
      <c r="K52" s="97"/>
      <c r="L52" s="59"/>
      <c r="M52" s="59"/>
      <c r="N52" s="59"/>
      <c r="O52" s="59"/>
      <c r="P52" s="59"/>
      <c r="Q52" s="39">
        <v>-1</v>
      </c>
      <c r="R52" s="59"/>
      <c r="S52" s="59"/>
      <c r="T52" s="101"/>
      <c r="U52" s="185" t="e">
        <f>AND(((Критерий_дата-P52)&lt;Лист1!#REF!),Q52=0)</f>
        <v>#REF!</v>
      </c>
      <c r="V52" s="1"/>
      <c r="W52" s="1"/>
      <c r="X52" s="1"/>
    </row>
    <row r="53" spans="1:24" s="1" customFormat="1" ht="12" x14ac:dyDescent="0.25">
      <c r="A53" s="2"/>
      <c r="B53" s="35">
        <f>ROW()-ROW(Лист1!$B$5)</f>
        <v>48</v>
      </c>
      <c r="C53" s="76" t="s">
        <v>247</v>
      </c>
      <c r="D53" s="31"/>
      <c r="E53" s="32" t="s">
        <v>248</v>
      </c>
      <c r="F53" s="33" t="s">
        <v>91</v>
      </c>
      <c r="G53" s="37"/>
      <c r="H53" s="35"/>
      <c r="I53" s="35"/>
      <c r="J53" s="33" t="s">
        <v>249</v>
      </c>
      <c r="K53" s="60"/>
      <c r="L53" s="34"/>
      <c r="M53" s="34"/>
      <c r="N53" s="34"/>
      <c r="O53" s="34"/>
      <c r="P53" s="34"/>
      <c r="Q53" s="35">
        <v>-1</v>
      </c>
      <c r="R53" s="34"/>
      <c r="S53" s="36"/>
      <c r="T53" s="37"/>
      <c r="U53" s="185" t="e">
        <f>AND(((Критерий_дата-P53)&lt;Лист1!#REF!),Q53=0)</f>
        <v>#REF!</v>
      </c>
      <c r="V53" s="228"/>
    </row>
    <row r="54" spans="1:24" s="1" customFormat="1" ht="24" x14ac:dyDescent="0.25">
      <c r="A54" s="2"/>
      <c r="B54" s="35">
        <f>ROW()-ROW(Лист1!$B$5)</f>
        <v>49</v>
      </c>
      <c r="C54" s="76" t="s">
        <v>231</v>
      </c>
      <c r="D54" s="31"/>
      <c r="E54" s="32" t="s">
        <v>232</v>
      </c>
      <c r="F54" s="33" t="s">
        <v>252</v>
      </c>
      <c r="G54" s="37"/>
      <c r="H54" s="35"/>
      <c r="I54" s="35"/>
      <c r="J54" s="33" t="s">
        <v>233</v>
      </c>
      <c r="K54" s="60"/>
      <c r="L54" s="34"/>
      <c r="M54" s="34"/>
      <c r="N54" s="34"/>
      <c r="O54" s="34"/>
      <c r="P54" s="34"/>
      <c r="Q54" s="35">
        <v>-1</v>
      </c>
      <c r="R54" s="34"/>
      <c r="S54" s="36"/>
      <c r="T54" s="37"/>
      <c r="U54" s="185" t="e">
        <f>AND(((Критерий_дата-P54)&lt;Лист1!#REF!),Q54=0)</f>
        <v>#REF!</v>
      </c>
    </row>
    <row r="55" spans="1:24" s="1" customFormat="1" ht="48" x14ac:dyDescent="0.25">
      <c r="A55" s="2"/>
      <c r="B55" s="46">
        <f>ROW()-ROW(Лист1!$B$5)</f>
        <v>50</v>
      </c>
      <c r="C55" s="88" t="s">
        <v>31</v>
      </c>
      <c r="D55" s="169">
        <v>2623</v>
      </c>
      <c r="E55" s="170" t="s">
        <v>13</v>
      </c>
      <c r="F55" s="74" t="s">
        <v>3</v>
      </c>
      <c r="G55" s="37"/>
      <c r="H55" s="46" t="s">
        <v>29</v>
      </c>
      <c r="I55" s="46"/>
      <c r="J55" s="74" t="s">
        <v>42</v>
      </c>
      <c r="K55" s="171" t="s">
        <v>605</v>
      </c>
      <c r="L55" s="63"/>
      <c r="M55" s="63"/>
      <c r="N55" s="46"/>
      <c r="O55" s="46"/>
      <c r="P55" s="184">
        <v>43850</v>
      </c>
      <c r="Q55" s="46">
        <v>0</v>
      </c>
      <c r="R55" s="63"/>
      <c r="S55" s="63"/>
      <c r="T55" s="172"/>
      <c r="U55" s="185" t="e">
        <f>AND(((Критерий_дата-P55)&lt;Лист1!#REF!),Q55=0)</f>
        <v>#REF!</v>
      </c>
      <c r="V55" s="19"/>
      <c r="W55" s="19"/>
      <c r="X55" s="19"/>
    </row>
    <row r="56" spans="1:24" s="1" customFormat="1" ht="24" x14ac:dyDescent="0.25">
      <c r="A56" s="2"/>
      <c r="B56" s="29">
        <v>239</v>
      </c>
      <c r="C56" s="76" t="s">
        <v>292</v>
      </c>
      <c r="D56" s="78"/>
      <c r="E56" s="116" t="s">
        <v>293</v>
      </c>
      <c r="F56" s="117" t="s">
        <v>8</v>
      </c>
      <c r="G56" s="37"/>
      <c r="H56" s="35"/>
      <c r="I56" s="35"/>
      <c r="J56" s="33" t="s">
        <v>294</v>
      </c>
      <c r="K56" s="60"/>
      <c r="L56" s="34"/>
      <c r="M56" s="34"/>
      <c r="N56" s="35">
        <v>1</v>
      </c>
      <c r="O56" s="35"/>
      <c r="P56" s="35"/>
      <c r="Q56" s="35">
        <v>2</v>
      </c>
      <c r="R56" s="34"/>
      <c r="S56" s="36"/>
      <c r="T56" s="37"/>
      <c r="U56" s="185" t="e">
        <f>AND(((Критерий_дата-P56)&lt;Лист1!#REF!),Q56=0)</f>
        <v>#REF!</v>
      </c>
    </row>
    <row r="57" spans="1:24" s="1" customFormat="1" ht="24" x14ac:dyDescent="0.25">
      <c r="A57" s="2"/>
      <c r="B57" s="29">
        <f>ROW()-ROW(Лист1!$B$5)</f>
        <v>52</v>
      </c>
      <c r="C57" s="76" t="s">
        <v>292</v>
      </c>
      <c r="D57" s="78"/>
      <c r="E57" s="116" t="s">
        <v>293</v>
      </c>
      <c r="F57" s="117" t="s">
        <v>8</v>
      </c>
      <c r="G57" s="37"/>
      <c r="H57" s="35"/>
      <c r="I57" s="35"/>
      <c r="J57" s="33" t="s">
        <v>294</v>
      </c>
      <c r="K57" s="60"/>
      <c r="L57" s="34"/>
      <c r="M57" s="34"/>
      <c r="N57" s="35">
        <v>1</v>
      </c>
      <c r="O57" s="35"/>
      <c r="P57" s="35"/>
      <c r="Q57" s="35">
        <v>2</v>
      </c>
      <c r="R57" s="34"/>
      <c r="S57" s="36"/>
      <c r="T57" s="37"/>
      <c r="U57" s="185" t="e">
        <f>AND(((Критерий_дата-P57)&lt;Лист1!#REF!),Q57=0)</f>
        <v>#REF!</v>
      </c>
      <c r="V57" s="228"/>
    </row>
    <row r="58" spans="1:24" s="1" customFormat="1" ht="36" x14ac:dyDescent="0.25">
      <c r="A58" s="2"/>
      <c r="B58" s="52">
        <f>ROW()-ROW(Лист1!$B$5)</f>
        <v>53</v>
      </c>
      <c r="C58" s="76" t="s">
        <v>348</v>
      </c>
      <c r="D58" s="108"/>
      <c r="E58" s="109" t="s">
        <v>349</v>
      </c>
      <c r="F58" s="110" t="s">
        <v>48</v>
      </c>
      <c r="G58" s="37"/>
      <c r="H58" s="52"/>
      <c r="I58" s="52"/>
      <c r="J58" s="110" t="s">
        <v>350</v>
      </c>
      <c r="K58" s="60"/>
      <c r="L58" s="71"/>
      <c r="M58" s="71"/>
      <c r="N58" s="71"/>
      <c r="O58" s="71"/>
      <c r="P58" s="71"/>
      <c r="Q58" s="52">
        <v>-1</v>
      </c>
      <c r="R58" s="71"/>
      <c r="S58" s="113"/>
      <c r="T58" s="114"/>
      <c r="U58" s="185" t="e">
        <f>AND(((Критерий_дата-P58)&lt;Лист1!#REF!),Q58=0)</f>
        <v>#REF!</v>
      </c>
      <c r="V58" s="228"/>
    </row>
    <row r="59" spans="1:24" s="1" customFormat="1" ht="36" x14ac:dyDescent="0.25">
      <c r="A59" s="2"/>
      <c r="B59" s="35">
        <f>ROW()-ROW(Лист1!$B$5)</f>
        <v>54</v>
      </c>
      <c r="C59" s="76" t="s">
        <v>303</v>
      </c>
      <c r="D59" s="31"/>
      <c r="E59" s="32" t="s">
        <v>304</v>
      </c>
      <c r="F59" s="33" t="s">
        <v>18</v>
      </c>
      <c r="G59" s="37"/>
      <c r="H59" s="35"/>
      <c r="I59" s="35"/>
      <c r="J59" s="33" t="s">
        <v>305</v>
      </c>
      <c r="K59" s="34"/>
      <c r="L59" s="34"/>
      <c r="M59" s="34"/>
      <c r="N59" s="34"/>
      <c r="O59" s="34"/>
      <c r="P59" s="34"/>
      <c r="Q59" s="35">
        <v>-1</v>
      </c>
      <c r="R59" s="34"/>
      <c r="S59" s="36"/>
      <c r="T59" s="37"/>
      <c r="U59" s="185" t="e">
        <f>AND(((Критерий_дата-P59)&lt;Лист1!#REF!),Q59=0)</f>
        <v>#REF!</v>
      </c>
    </row>
    <row r="60" spans="1:24" s="1" customFormat="1" ht="36" x14ac:dyDescent="0.25">
      <c r="A60" s="2"/>
      <c r="B60" s="35">
        <f>ROW()-ROW(Лист1!$B$5)</f>
        <v>55</v>
      </c>
      <c r="C60" s="76" t="s">
        <v>331</v>
      </c>
      <c r="D60" s="31"/>
      <c r="E60" s="32" t="s">
        <v>332</v>
      </c>
      <c r="F60" s="33" t="s">
        <v>104</v>
      </c>
      <c r="G60" s="37"/>
      <c r="H60" s="35"/>
      <c r="I60" s="35"/>
      <c r="J60" s="33" t="s">
        <v>333</v>
      </c>
      <c r="K60" s="34"/>
      <c r="L60" s="34"/>
      <c r="M60" s="34"/>
      <c r="N60" s="34"/>
      <c r="O60" s="34"/>
      <c r="P60" s="34"/>
      <c r="Q60" s="35">
        <v>-1</v>
      </c>
      <c r="R60" s="34"/>
      <c r="S60" s="36"/>
      <c r="T60" s="37"/>
      <c r="U60" s="185" t="e">
        <f>AND(((Критерий_дата-P60)&lt;Лист1!#REF!),Q60=0)</f>
        <v>#REF!</v>
      </c>
    </row>
    <row r="61" spans="1:24" s="1" customFormat="1" ht="24" x14ac:dyDescent="0.25">
      <c r="A61" s="2"/>
      <c r="B61" s="35">
        <f>ROW()-ROW(Лист1!$B$5)</f>
        <v>56</v>
      </c>
      <c r="C61" s="88" t="s">
        <v>124</v>
      </c>
      <c r="D61" s="213"/>
      <c r="E61" s="32" t="s">
        <v>85</v>
      </c>
      <c r="F61" s="33" t="s">
        <v>125</v>
      </c>
      <c r="G61" s="37"/>
      <c r="H61" s="35"/>
      <c r="I61" s="35"/>
      <c r="J61" s="33" t="s">
        <v>126</v>
      </c>
      <c r="K61" s="34"/>
      <c r="L61" s="34"/>
      <c r="M61" s="34"/>
      <c r="N61" s="35"/>
      <c r="O61" s="35"/>
      <c r="P61" s="176">
        <v>44239</v>
      </c>
      <c r="Q61" s="35">
        <v>0</v>
      </c>
      <c r="R61" s="34"/>
      <c r="S61" s="36"/>
      <c r="T61" s="37"/>
      <c r="U61" s="185" t="e">
        <f>AND(((Критерий_дата-P61)&lt;Лист1!#REF!),Q61=0)</f>
        <v>#REF!</v>
      </c>
    </row>
    <row r="62" spans="1:24" s="1" customFormat="1" ht="24" x14ac:dyDescent="0.25">
      <c r="A62" s="2"/>
      <c r="B62" s="35">
        <f>ROW()-ROW(Лист1!$B$5)</f>
        <v>57</v>
      </c>
      <c r="C62" s="76" t="s">
        <v>190</v>
      </c>
      <c r="D62" s="31"/>
      <c r="E62" s="32" t="s">
        <v>191</v>
      </c>
      <c r="F62" s="33" t="s">
        <v>102</v>
      </c>
      <c r="G62" s="37"/>
      <c r="H62" s="35"/>
      <c r="I62" s="35"/>
      <c r="J62" s="33" t="s">
        <v>192</v>
      </c>
      <c r="K62" s="34"/>
      <c r="L62" s="34"/>
      <c r="M62" s="34"/>
      <c r="N62" s="35">
        <v>1</v>
      </c>
      <c r="O62" s="35"/>
      <c r="P62" s="176">
        <v>44285</v>
      </c>
      <c r="Q62" s="35">
        <v>0</v>
      </c>
      <c r="R62" s="34"/>
      <c r="S62" s="36"/>
      <c r="T62" s="37"/>
      <c r="U62" s="185" t="e">
        <f>AND(((Критерий_дата-P62)&lt;Лист1!#REF!),Q62=0)</f>
        <v>#REF!</v>
      </c>
    </row>
    <row r="63" spans="1:24" s="23" customFormat="1" ht="48" x14ac:dyDescent="0.25">
      <c r="A63" s="1"/>
      <c r="B63" s="35">
        <f>ROW()-ROW(Лист1!$B$5)</f>
        <v>58</v>
      </c>
      <c r="C63" s="76" t="s">
        <v>216</v>
      </c>
      <c r="D63" s="31"/>
      <c r="E63" s="32" t="s">
        <v>217</v>
      </c>
      <c r="F63" s="33" t="s">
        <v>218</v>
      </c>
      <c r="G63" s="37">
        <v>1037475</v>
      </c>
      <c r="H63" s="35"/>
      <c r="I63" s="35"/>
      <c r="J63" s="33" t="s">
        <v>219</v>
      </c>
      <c r="K63" s="34"/>
      <c r="L63" s="34"/>
      <c r="M63" s="34"/>
      <c r="N63" s="35"/>
      <c r="O63" s="35"/>
      <c r="P63" s="176">
        <v>44314</v>
      </c>
      <c r="Q63" s="35">
        <v>0</v>
      </c>
      <c r="R63" s="34"/>
      <c r="S63" s="36"/>
      <c r="T63" s="37"/>
      <c r="U63" s="185" t="e">
        <f>AND(((Критерий_дата-P63)&lt;Лист1!#REF!),Q63=0)</f>
        <v>#REF!</v>
      </c>
      <c r="V63" s="1"/>
      <c r="W63" s="1"/>
      <c r="X63" s="1"/>
    </row>
    <row r="64" spans="1:24" s="1" customFormat="1" ht="36" x14ac:dyDescent="0.25">
      <c r="B64" s="35">
        <f>ROW()-ROW(Лист1!$B$5)</f>
        <v>59</v>
      </c>
      <c r="C64" s="76" t="s">
        <v>311</v>
      </c>
      <c r="D64" s="31"/>
      <c r="E64" s="32" t="s">
        <v>56</v>
      </c>
      <c r="F64" s="33" t="s">
        <v>8</v>
      </c>
      <c r="G64" s="38">
        <v>3429587</v>
      </c>
      <c r="H64" s="35"/>
      <c r="I64" s="35"/>
      <c r="J64" s="33" t="s">
        <v>312</v>
      </c>
      <c r="K64" s="34"/>
      <c r="L64" s="34"/>
      <c r="M64" s="34"/>
      <c r="N64" s="35">
        <v>1</v>
      </c>
      <c r="O64" s="35"/>
      <c r="P64" s="176">
        <v>44334</v>
      </c>
      <c r="Q64" s="35">
        <v>0</v>
      </c>
      <c r="R64" s="34"/>
      <c r="S64" s="36"/>
      <c r="T64" s="37"/>
      <c r="U64" s="185" t="e">
        <f>AND(((Критерий_дата-P64)&lt;Лист1!#REF!),Q64=0)</f>
        <v>#REF!</v>
      </c>
    </row>
    <row r="65" spans="2:24" s="1" customFormat="1" ht="36" x14ac:dyDescent="0.25">
      <c r="B65" s="35">
        <f>ROW()-ROW(Лист1!$B$5)</f>
        <v>60</v>
      </c>
      <c r="C65" s="76" t="s">
        <v>404</v>
      </c>
      <c r="D65" s="31"/>
      <c r="E65" s="32" t="s">
        <v>70</v>
      </c>
      <c r="F65" s="33" t="s">
        <v>405</v>
      </c>
      <c r="G65" s="38">
        <v>3400000</v>
      </c>
      <c r="H65" s="35"/>
      <c r="I65" s="35"/>
      <c r="J65" s="33" t="s">
        <v>419</v>
      </c>
      <c r="K65" s="60"/>
      <c r="L65" s="34"/>
      <c r="M65" s="34"/>
      <c r="N65" s="35"/>
      <c r="O65" s="35"/>
      <c r="P65" s="176">
        <v>44532</v>
      </c>
      <c r="Q65" s="35">
        <v>0</v>
      </c>
      <c r="R65" s="34"/>
      <c r="S65" s="36"/>
      <c r="T65" s="37"/>
      <c r="U65" s="185" t="e">
        <f>AND(((Критерий_дата-P65)&lt;Лист1!#REF!),Q65=0)</f>
        <v>#REF!</v>
      </c>
    </row>
    <row r="66" spans="2:24" s="1" customFormat="1" ht="60" x14ac:dyDescent="0.25">
      <c r="B66" s="35">
        <f>ROW()-ROW(Лист1!$B$5)</f>
        <v>61</v>
      </c>
      <c r="C66" s="76" t="s">
        <v>176</v>
      </c>
      <c r="D66" s="31"/>
      <c r="E66" s="32" t="s">
        <v>112</v>
      </c>
      <c r="F66" s="33" t="s">
        <v>177</v>
      </c>
      <c r="G66" s="37">
        <v>3523567</v>
      </c>
      <c r="H66" s="35"/>
      <c r="I66" s="35"/>
      <c r="J66" s="33" t="s">
        <v>178</v>
      </c>
      <c r="K66" s="34"/>
      <c r="L66" s="34"/>
      <c r="M66" s="34"/>
      <c r="N66" s="35"/>
      <c r="O66" s="35"/>
      <c r="P66" s="176">
        <v>44291</v>
      </c>
      <c r="Q66" s="35">
        <v>0</v>
      </c>
      <c r="R66" s="34"/>
      <c r="S66" s="36"/>
      <c r="T66" s="37"/>
      <c r="U66" s="185" t="e">
        <f>AND(((Критерий_дата-P66)&lt;Лист1!#REF!),Q66=0)</f>
        <v>#REF!</v>
      </c>
    </row>
    <row r="67" spans="2:24" s="1" customFormat="1" ht="24" x14ac:dyDescent="0.25">
      <c r="B67" s="35">
        <f>ROW()-ROW(Лист1!$B$5)</f>
        <v>62</v>
      </c>
      <c r="C67" s="30" t="s">
        <v>351</v>
      </c>
      <c r="D67" s="31"/>
      <c r="E67" s="32" t="s">
        <v>112</v>
      </c>
      <c r="F67" s="33" t="s">
        <v>177</v>
      </c>
      <c r="G67" s="38">
        <v>3523567</v>
      </c>
      <c r="H67" s="35" t="s">
        <v>381</v>
      </c>
      <c r="I67" s="35"/>
      <c r="J67" s="33" t="s">
        <v>567</v>
      </c>
      <c r="K67" s="60"/>
      <c r="L67" s="34"/>
      <c r="M67" s="34"/>
      <c r="N67" s="35">
        <v>1</v>
      </c>
      <c r="O67" s="35"/>
      <c r="P67" s="176">
        <v>44588</v>
      </c>
      <c r="Q67" s="35">
        <v>0</v>
      </c>
      <c r="R67" s="34"/>
      <c r="S67" s="36"/>
      <c r="T67" s="37"/>
      <c r="U67" s="185" t="e">
        <f>AND(((Критерий_дата-P67)&lt;Лист1!#REF!),Q67=0)</f>
        <v>#REF!</v>
      </c>
    </row>
    <row r="68" spans="2:24" s="1" customFormat="1" ht="36" x14ac:dyDescent="0.25">
      <c r="B68" s="35">
        <f>ROW()-ROW(Лист1!$B$5)</f>
        <v>63</v>
      </c>
      <c r="C68" s="88" t="s">
        <v>281</v>
      </c>
      <c r="D68" s="31"/>
      <c r="E68" s="32" t="s">
        <v>282</v>
      </c>
      <c r="F68" s="33" t="s">
        <v>52</v>
      </c>
      <c r="G68" s="38">
        <v>4372120</v>
      </c>
      <c r="H68" s="35"/>
      <c r="I68" s="35"/>
      <c r="J68" s="33" t="s">
        <v>283</v>
      </c>
      <c r="K68" s="34" t="s">
        <v>605</v>
      </c>
      <c r="L68" s="34"/>
      <c r="M68" s="34"/>
      <c r="N68" s="35">
        <v>1</v>
      </c>
      <c r="O68" s="35"/>
      <c r="P68" s="176">
        <v>44376</v>
      </c>
      <c r="Q68" s="35">
        <v>0</v>
      </c>
      <c r="R68" s="34"/>
      <c r="S68" s="36"/>
      <c r="T68" s="37"/>
      <c r="U68" s="185" t="e">
        <f>AND(((Критерий_дата-P68)&lt;Лист1!#REF!),Q68=0)</f>
        <v>#REF!</v>
      </c>
    </row>
    <row r="69" spans="2:24" s="1" customFormat="1" ht="24" x14ac:dyDescent="0.25">
      <c r="B69" s="35">
        <f>ROW()-ROW(Лист1!$B$5)</f>
        <v>64</v>
      </c>
      <c r="C69" s="76" t="s">
        <v>352</v>
      </c>
      <c r="D69" s="31"/>
      <c r="E69" s="32" t="s">
        <v>71</v>
      </c>
      <c r="F69" s="33" t="s">
        <v>353</v>
      </c>
      <c r="G69" s="38">
        <v>4169157</v>
      </c>
      <c r="H69" s="35"/>
      <c r="I69" s="35"/>
      <c r="J69" s="33" t="s">
        <v>354</v>
      </c>
      <c r="K69" s="60" t="s">
        <v>601</v>
      </c>
      <c r="L69" s="34"/>
      <c r="M69" s="34"/>
      <c r="N69" s="35">
        <v>1</v>
      </c>
      <c r="O69" s="35"/>
      <c r="P69" s="176">
        <v>44447</v>
      </c>
      <c r="Q69" s="35">
        <v>0</v>
      </c>
      <c r="R69" s="34"/>
      <c r="S69" s="36"/>
      <c r="T69" s="37"/>
      <c r="U69" s="185" t="e">
        <f>AND(((Критерий_дата-P69)&lt;Лист1!#REF!),Q69=0)</f>
        <v>#REF!</v>
      </c>
    </row>
    <row r="70" spans="2:24" s="1" customFormat="1" ht="12" x14ac:dyDescent="0.25">
      <c r="B70" s="45">
        <f>ROW()-ROW(Лист1!$B$5)</f>
        <v>65</v>
      </c>
      <c r="C70" s="88" t="s">
        <v>244</v>
      </c>
      <c r="D70" s="127"/>
      <c r="E70" s="128" t="s">
        <v>245</v>
      </c>
      <c r="F70" s="73" t="s">
        <v>246</v>
      </c>
      <c r="G70" s="129">
        <v>5854614</v>
      </c>
      <c r="H70" s="45"/>
      <c r="I70" s="45"/>
      <c r="J70" s="73" t="s">
        <v>571</v>
      </c>
      <c r="K70" s="67" t="s">
        <v>603</v>
      </c>
      <c r="L70" s="67"/>
      <c r="M70" s="67" t="s">
        <v>572</v>
      </c>
      <c r="N70" s="45">
        <v>1</v>
      </c>
      <c r="O70" s="45"/>
      <c r="P70" s="178">
        <v>44593</v>
      </c>
      <c r="Q70" s="45">
        <v>0</v>
      </c>
      <c r="R70" s="67"/>
      <c r="S70" s="132"/>
      <c r="T70" s="129"/>
      <c r="U70" s="185" t="e">
        <f>AND(((Критерий_дата-P70)&lt;Лист1!#REF!),Q70=0)</f>
        <v>#REF!</v>
      </c>
    </row>
    <row r="71" spans="2:24" s="1" customFormat="1" ht="60" x14ac:dyDescent="0.25">
      <c r="B71" s="35">
        <f>ROW()-ROW(Лист1!$B$5)</f>
        <v>66</v>
      </c>
      <c r="C71" s="88" t="s">
        <v>359</v>
      </c>
      <c r="D71" s="31">
        <v>2815</v>
      </c>
      <c r="E71" s="32" t="s">
        <v>360</v>
      </c>
      <c r="F71" s="33" t="s">
        <v>62</v>
      </c>
      <c r="G71" s="38">
        <v>5442389</v>
      </c>
      <c r="H71" s="35"/>
      <c r="I71" s="35"/>
      <c r="J71" s="33" t="s">
        <v>361</v>
      </c>
      <c r="K71" s="60" t="s">
        <v>603</v>
      </c>
      <c r="L71" s="34"/>
      <c r="M71" s="34"/>
      <c r="N71" s="35">
        <v>1</v>
      </c>
      <c r="O71" s="35"/>
      <c r="P71" s="176">
        <v>44461</v>
      </c>
      <c r="Q71" s="35">
        <v>0</v>
      </c>
      <c r="R71" s="34"/>
      <c r="S71" s="36"/>
      <c r="T71" s="37">
        <f>G71</f>
        <v>5442389</v>
      </c>
      <c r="U71" s="185" t="e">
        <f>AND(((Критерий_дата-P71)&lt;Лист1!#REF!),Q71=0)</f>
        <v>#REF!</v>
      </c>
    </row>
    <row r="72" spans="2:24" s="1" customFormat="1" ht="60" x14ac:dyDescent="0.25">
      <c r="B72" s="35">
        <f>ROW()-ROW(Лист1!$B$5)</f>
        <v>67</v>
      </c>
      <c r="C72" s="88" t="s">
        <v>362</v>
      </c>
      <c r="D72" s="31">
        <v>2816</v>
      </c>
      <c r="E72" s="32" t="s">
        <v>360</v>
      </c>
      <c r="F72" s="33" t="s">
        <v>62</v>
      </c>
      <c r="G72" s="38">
        <v>5442389</v>
      </c>
      <c r="H72" s="35"/>
      <c r="I72" s="35"/>
      <c r="J72" s="33" t="s">
        <v>363</v>
      </c>
      <c r="K72" s="60" t="s">
        <v>603</v>
      </c>
      <c r="L72" s="34"/>
      <c r="M72" s="34"/>
      <c r="N72" s="35">
        <v>1</v>
      </c>
      <c r="O72" s="35"/>
      <c r="P72" s="176">
        <v>44461</v>
      </c>
      <c r="Q72" s="35">
        <v>0</v>
      </c>
      <c r="R72" s="34"/>
      <c r="S72" s="36"/>
      <c r="T72" s="37">
        <f>G72</f>
        <v>5442389</v>
      </c>
      <c r="U72" s="185" t="e">
        <f>AND(((Критерий_дата-P72)&lt;Лист1!#REF!),Q72=0)</f>
        <v>#REF!</v>
      </c>
    </row>
    <row r="73" spans="2:24" s="1" customFormat="1" ht="45" x14ac:dyDescent="0.25">
      <c r="B73" s="35">
        <f>ROW()-ROW(Лист1!$B$5)</f>
        <v>68</v>
      </c>
      <c r="C73" s="76" t="s">
        <v>417</v>
      </c>
      <c r="D73" s="31"/>
      <c r="E73" s="157" t="s">
        <v>420</v>
      </c>
      <c r="F73" s="158" t="s">
        <v>421</v>
      </c>
      <c r="G73" s="38">
        <v>6000000</v>
      </c>
      <c r="H73" s="48" t="s">
        <v>380</v>
      </c>
      <c r="I73" s="48"/>
      <c r="J73" s="33" t="s">
        <v>418</v>
      </c>
      <c r="K73" s="60" t="s">
        <v>601</v>
      </c>
      <c r="L73" s="66" t="s">
        <v>12</v>
      </c>
      <c r="M73" s="66"/>
      <c r="N73" s="35">
        <v>1</v>
      </c>
      <c r="O73" s="35"/>
      <c r="P73" s="176">
        <v>44543</v>
      </c>
      <c r="Q73" s="35">
        <v>0</v>
      </c>
      <c r="R73" s="66" t="s">
        <v>21</v>
      </c>
      <c r="S73" s="36"/>
      <c r="T73" s="37"/>
      <c r="U73" s="185" t="e">
        <f>AND(((Критерий_дата-P73)&lt;Лист1!#REF!),Q73=0)</f>
        <v>#REF!</v>
      </c>
    </row>
    <row r="74" spans="2:24" s="1" customFormat="1" ht="24" x14ac:dyDescent="0.25">
      <c r="B74" s="35">
        <f>ROW()-ROW(Лист1!$B$5)</f>
        <v>69</v>
      </c>
      <c r="C74" s="88" t="s">
        <v>193</v>
      </c>
      <c r="D74" s="31"/>
      <c r="E74" s="32" t="s">
        <v>194</v>
      </c>
      <c r="F74" s="33" t="s">
        <v>62</v>
      </c>
      <c r="G74" s="37">
        <v>7700000</v>
      </c>
      <c r="H74" s="35"/>
      <c r="I74" s="35"/>
      <c r="J74" s="33" t="s">
        <v>195</v>
      </c>
      <c r="K74" s="35" t="s">
        <v>603</v>
      </c>
      <c r="L74" s="34"/>
      <c r="M74" s="35">
        <v>1</v>
      </c>
      <c r="N74" s="35">
        <v>1</v>
      </c>
      <c r="O74" s="35"/>
      <c r="P74" s="176">
        <v>44292</v>
      </c>
      <c r="Q74" s="35">
        <v>0</v>
      </c>
      <c r="R74" s="34"/>
      <c r="S74" s="36"/>
      <c r="T74" s="37"/>
      <c r="U74" s="185" t="e">
        <f>AND(((Критерий_дата-P74)&lt;Лист1!#REF!),Q74=0)</f>
        <v>#REF!</v>
      </c>
      <c r="V74" s="11"/>
      <c r="W74" s="2"/>
      <c r="X74" s="2"/>
    </row>
    <row r="75" spans="2:24" s="1" customFormat="1" ht="48" x14ac:dyDescent="0.25">
      <c r="B75" s="35">
        <f>ROW()-ROW(Лист1!$B$5)</f>
        <v>70</v>
      </c>
      <c r="C75" s="76" t="s">
        <v>313</v>
      </c>
      <c r="D75" s="31"/>
      <c r="E75" s="32" t="s">
        <v>273</v>
      </c>
      <c r="F75" s="33" t="s">
        <v>314</v>
      </c>
      <c r="G75" s="38">
        <v>7593535</v>
      </c>
      <c r="H75" s="35"/>
      <c r="I75" s="35"/>
      <c r="J75" s="33" t="s">
        <v>315</v>
      </c>
      <c r="K75" s="34" t="s">
        <v>605</v>
      </c>
      <c r="L75" s="34"/>
      <c r="M75" s="34"/>
      <c r="N75" s="35"/>
      <c r="O75" s="35"/>
      <c r="P75" s="176">
        <v>44342</v>
      </c>
      <c r="Q75" s="35">
        <v>0</v>
      </c>
      <c r="R75" s="34"/>
      <c r="S75" s="36"/>
      <c r="T75" s="37"/>
      <c r="U75" s="185" t="e">
        <f>AND(((Критерий_дата-P75)&lt;Лист1!#REF!),Q75=0)</f>
        <v>#REF!</v>
      </c>
    </row>
    <row r="76" spans="2:24" s="1" customFormat="1" ht="72" x14ac:dyDescent="0.25">
      <c r="B76" s="35">
        <f>ROW()-ROW(Лист1!$B$5)</f>
        <v>71</v>
      </c>
      <c r="C76" s="76" t="s">
        <v>367</v>
      </c>
      <c r="D76" s="31"/>
      <c r="E76" s="32" t="s">
        <v>55</v>
      </c>
      <c r="F76" s="33" t="s">
        <v>365</v>
      </c>
      <c r="G76" s="38">
        <v>7516049</v>
      </c>
      <c r="H76" s="35"/>
      <c r="I76" s="35"/>
      <c r="J76" s="33" t="s">
        <v>368</v>
      </c>
      <c r="K76" s="60" t="s">
        <v>605</v>
      </c>
      <c r="L76" s="34"/>
      <c r="M76" s="34"/>
      <c r="N76" s="35">
        <v>1</v>
      </c>
      <c r="O76" s="35"/>
      <c r="P76" s="176">
        <v>44461</v>
      </c>
      <c r="Q76" s="35">
        <v>0</v>
      </c>
      <c r="R76" s="34"/>
      <c r="S76" s="36"/>
      <c r="T76" s="37"/>
      <c r="U76" s="185" t="e">
        <f>AND(((Критерий_дата-P76)&lt;Лист1!#REF!),Q76=0)</f>
        <v>#REF!</v>
      </c>
    </row>
    <row r="77" spans="2:24" s="1" customFormat="1" ht="168" x14ac:dyDescent="0.25">
      <c r="B77" s="45">
        <f>ROW()-ROW(Лист1!$B$5)</f>
        <v>72</v>
      </c>
      <c r="C77" s="88" t="s">
        <v>174</v>
      </c>
      <c r="D77" s="127"/>
      <c r="E77" s="128" t="s">
        <v>175</v>
      </c>
      <c r="F77" s="73" t="s">
        <v>58</v>
      </c>
      <c r="G77" s="129">
        <v>7874950</v>
      </c>
      <c r="H77" s="45"/>
      <c r="I77" s="45"/>
      <c r="J77" s="73" t="s">
        <v>725</v>
      </c>
      <c r="K77" s="67" t="s">
        <v>603</v>
      </c>
      <c r="L77" s="67"/>
      <c r="M77" s="67" t="s">
        <v>684</v>
      </c>
      <c r="N77" s="45">
        <v>1</v>
      </c>
      <c r="O77" s="45"/>
      <c r="P77" s="178">
        <v>44776</v>
      </c>
      <c r="Q77" s="45">
        <v>0</v>
      </c>
      <c r="R77" s="67"/>
      <c r="S77" s="132"/>
      <c r="T77" s="129"/>
      <c r="U77" s="185" t="e">
        <f>AND(((Критерий_дата-P77)&lt;Лист1!#REF!),Q77=0)</f>
        <v>#REF!</v>
      </c>
      <c r="V77" s="12"/>
    </row>
    <row r="78" spans="2:24" s="1" customFormat="1" ht="48" x14ac:dyDescent="0.25">
      <c r="B78" s="45">
        <f>ROW()-ROW(Лист1!$B$5)</f>
        <v>73</v>
      </c>
      <c r="C78" s="133" t="s">
        <v>174</v>
      </c>
      <c r="D78" s="127">
        <v>2822</v>
      </c>
      <c r="E78" s="128" t="s">
        <v>660</v>
      </c>
      <c r="F78" s="73" t="s">
        <v>661</v>
      </c>
      <c r="G78" s="129">
        <v>7874950</v>
      </c>
      <c r="H78" s="45"/>
      <c r="I78" s="289" t="s">
        <v>688</v>
      </c>
      <c r="J78" s="73" t="s">
        <v>649</v>
      </c>
      <c r="K78" s="67"/>
      <c r="L78" s="67"/>
      <c r="M78" s="130" t="s">
        <v>684</v>
      </c>
      <c r="N78" s="67"/>
      <c r="O78" s="67"/>
      <c r="P78" s="67"/>
      <c r="Q78" s="45">
        <v>-1</v>
      </c>
      <c r="R78" s="131"/>
      <c r="S78" s="132"/>
      <c r="T78" s="129"/>
      <c r="U78" s="185" t="e">
        <f>AND(((Критерий_дата-P78)&lt;Лист1!#REF!),Q78=0)</f>
        <v>#REF!</v>
      </c>
      <c r="V78" s="227"/>
    </row>
    <row r="79" spans="2:24" s="1" customFormat="1" ht="36" x14ac:dyDescent="0.25">
      <c r="B79" s="35">
        <f>ROW()-ROW(Лист1!$B$5)</f>
        <v>74</v>
      </c>
      <c r="C79" s="88" t="s">
        <v>160</v>
      </c>
      <c r="D79" s="31"/>
      <c r="E79" s="32" t="s">
        <v>112</v>
      </c>
      <c r="F79" s="33" t="s">
        <v>129</v>
      </c>
      <c r="G79" s="37">
        <v>7800000</v>
      </c>
      <c r="H79" s="35"/>
      <c r="I79" s="35"/>
      <c r="J79" s="33" t="s">
        <v>161</v>
      </c>
      <c r="K79" s="34" t="s">
        <v>605</v>
      </c>
      <c r="L79" s="34"/>
      <c r="M79" s="34"/>
      <c r="N79" s="35"/>
      <c r="O79" s="35"/>
      <c r="P79" s="176">
        <v>44245</v>
      </c>
      <c r="Q79" s="35">
        <v>0</v>
      </c>
      <c r="R79" s="34"/>
      <c r="S79" s="36"/>
      <c r="T79" s="37"/>
      <c r="U79" s="185" t="e">
        <f>AND(((Критерий_дата-P79)&lt;Лист1!#REF!),Q79=0)</f>
        <v>#REF!</v>
      </c>
    </row>
    <row r="80" spans="2:24" s="1" customFormat="1" x14ac:dyDescent="0.25">
      <c r="B80" s="9">
        <f>ROW()-ROW(Лист1!$B$5)</f>
        <v>75</v>
      </c>
      <c r="C80" s="133" t="s">
        <v>714</v>
      </c>
      <c r="D80" s="31"/>
      <c r="E80" s="32" t="s">
        <v>715</v>
      </c>
      <c r="F80" s="33" t="s">
        <v>286</v>
      </c>
      <c r="G80" s="37">
        <v>8091437</v>
      </c>
      <c r="H80" s="35"/>
      <c r="I80" s="33"/>
      <c r="J80" s="33" t="s">
        <v>1134</v>
      </c>
      <c r="K80" s="34" t="s">
        <v>601</v>
      </c>
      <c r="L80" s="72"/>
      <c r="M80" s="35"/>
      <c r="N80" s="35"/>
      <c r="O80" s="35"/>
      <c r="P80" s="176">
        <v>44645</v>
      </c>
      <c r="Q80" s="35">
        <v>0</v>
      </c>
      <c r="R80" s="72"/>
      <c r="S80" s="35"/>
      <c r="T80" s="35"/>
      <c r="U80" s="185" t="e">
        <f>AND(((Критерий_дата-P80)&lt;Лист1!#REF!),Q80=0)</f>
        <v>#REF!</v>
      </c>
    </row>
    <row r="81" spans="1:24" s="1" customFormat="1" ht="72" x14ac:dyDescent="0.25">
      <c r="B81" s="35">
        <f>ROW()-ROW(Лист1!$B$5)</f>
        <v>76</v>
      </c>
      <c r="C81" s="133" t="s">
        <v>714</v>
      </c>
      <c r="D81" s="31"/>
      <c r="E81" s="32" t="s">
        <v>746</v>
      </c>
      <c r="F81" s="33" t="s">
        <v>286</v>
      </c>
      <c r="G81" s="37">
        <v>8091437</v>
      </c>
      <c r="H81" s="35" t="s">
        <v>745</v>
      </c>
      <c r="I81" s="33"/>
      <c r="J81" s="33" t="s">
        <v>716</v>
      </c>
      <c r="K81" s="34" t="s">
        <v>605</v>
      </c>
      <c r="L81" s="72"/>
      <c r="M81" s="35"/>
      <c r="N81" s="35"/>
      <c r="O81" s="35"/>
      <c r="P81" s="176">
        <v>44645</v>
      </c>
      <c r="Q81" s="35">
        <v>0</v>
      </c>
      <c r="R81" s="72"/>
      <c r="S81" s="35"/>
      <c r="T81" s="35"/>
      <c r="U81" s="185" t="e">
        <f>AND(((Критерий_дата-P81)&lt;Лист1!#REF!),Q81=0)</f>
        <v>#REF!</v>
      </c>
    </row>
    <row r="82" spans="1:24" s="1" customFormat="1" ht="72" x14ac:dyDescent="0.25">
      <c r="B82" s="35">
        <f>ROW()-ROW(Лист1!$B$5)</f>
        <v>77</v>
      </c>
      <c r="C82" s="133" t="s">
        <v>714</v>
      </c>
      <c r="D82" s="31"/>
      <c r="E82" s="32" t="s">
        <v>715</v>
      </c>
      <c r="F82" s="33" t="s">
        <v>286</v>
      </c>
      <c r="G82" s="37">
        <v>8091437</v>
      </c>
      <c r="H82" s="35"/>
      <c r="I82" s="33"/>
      <c r="J82" s="33" t="s">
        <v>716</v>
      </c>
      <c r="K82" s="34" t="s">
        <v>605</v>
      </c>
      <c r="L82" s="72"/>
      <c r="M82" s="35"/>
      <c r="N82" s="35"/>
      <c r="O82" s="35"/>
      <c r="P82" s="176">
        <v>44645</v>
      </c>
      <c r="Q82" s="35">
        <v>0</v>
      </c>
      <c r="R82" s="72"/>
      <c r="S82" s="35"/>
      <c r="T82" s="35"/>
      <c r="U82" s="185" t="e">
        <f>AND(((Критерий_дата-P82)&lt;Лист1!#REF!),Q82=0)</f>
        <v>#REF!</v>
      </c>
    </row>
    <row r="83" spans="1:24" s="1" customFormat="1" ht="24" x14ac:dyDescent="0.25">
      <c r="B83" s="9">
        <f>ROW()-ROW(Лист1!$B$5)</f>
        <v>78</v>
      </c>
      <c r="C83" s="76" t="s">
        <v>214</v>
      </c>
      <c r="D83" s="31"/>
      <c r="E83" s="32" t="s">
        <v>59</v>
      </c>
      <c r="F83" s="33" t="s">
        <v>8</v>
      </c>
      <c r="G83" s="37">
        <v>10042154</v>
      </c>
      <c r="H83" s="35"/>
      <c r="I83" s="35"/>
      <c r="J83" s="33" t="s">
        <v>215</v>
      </c>
      <c r="K83" s="34" t="s">
        <v>603</v>
      </c>
      <c r="L83" s="34"/>
      <c r="M83" s="34"/>
      <c r="N83" s="35">
        <v>1</v>
      </c>
      <c r="O83" s="35"/>
      <c r="P83" s="176">
        <v>44300</v>
      </c>
      <c r="Q83" s="35">
        <v>0</v>
      </c>
      <c r="R83" s="34"/>
      <c r="S83" s="36"/>
      <c r="T83" s="37"/>
      <c r="U83" s="185" t="e">
        <f>AND(((Критерий_дата-P83)&lt;Лист1!#REF!),Q83=0)</f>
        <v>#REF!</v>
      </c>
    </row>
    <row r="84" spans="1:24" s="1" customFormat="1" ht="36" x14ac:dyDescent="0.25">
      <c r="B84" s="14">
        <f>ROW()-ROW(Лист1!$B$5)</f>
        <v>79</v>
      </c>
      <c r="C84" s="133" t="s">
        <v>103</v>
      </c>
      <c r="D84" s="135"/>
      <c r="E84" s="116" t="s">
        <v>379</v>
      </c>
      <c r="F84" s="117" t="s">
        <v>104</v>
      </c>
      <c r="G84" s="37">
        <v>9687000</v>
      </c>
      <c r="H84" s="29"/>
      <c r="I84" s="29"/>
      <c r="J84" s="117" t="s">
        <v>105</v>
      </c>
      <c r="K84" s="60"/>
      <c r="L84" s="60"/>
      <c r="M84" s="29">
        <v>1</v>
      </c>
      <c r="N84" s="29"/>
      <c r="O84" s="29"/>
      <c r="P84" s="182">
        <v>44208</v>
      </c>
      <c r="Q84" s="29">
        <v>0</v>
      </c>
      <c r="R84" s="60"/>
      <c r="S84" s="60"/>
      <c r="T84" s="136"/>
      <c r="U84" s="185" t="e">
        <f>AND(((Критерий_дата-P84)&lt;Лист1!#REF!),Q84=0)</f>
        <v>#REF!</v>
      </c>
    </row>
    <row r="85" spans="1:24" s="1" customFormat="1" ht="24" x14ac:dyDescent="0.25">
      <c r="B85" s="9">
        <f>ROW()-ROW(Лист1!$B$5)</f>
        <v>80</v>
      </c>
      <c r="C85" s="76" t="s">
        <v>167</v>
      </c>
      <c r="D85" s="31"/>
      <c r="E85" s="32" t="s">
        <v>168</v>
      </c>
      <c r="F85" s="33" t="s">
        <v>3</v>
      </c>
      <c r="G85" s="37">
        <v>9500000</v>
      </c>
      <c r="H85" s="35"/>
      <c r="I85" s="35"/>
      <c r="J85" s="33" t="s">
        <v>169</v>
      </c>
      <c r="K85" s="34"/>
      <c r="L85" s="34"/>
      <c r="M85" s="34"/>
      <c r="N85" s="34"/>
      <c r="O85" s="34"/>
      <c r="P85" s="34"/>
      <c r="Q85" s="35">
        <v>-1</v>
      </c>
      <c r="R85" s="34"/>
      <c r="S85" s="36"/>
      <c r="T85" s="37"/>
      <c r="U85" s="185" t="e">
        <f>AND(((Критерий_дата-P85)&lt;Лист1!#REF!),Q85=0)</f>
        <v>#REF!</v>
      </c>
    </row>
    <row r="86" spans="1:24" s="1" customFormat="1" ht="96" x14ac:dyDescent="0.25">
      <c r="B86" s="9">
        <f>ROW()-ROW(Лист1!$B$5)</f>
        <v>81</v>
      </c>
      <c r="C86" s="76" t="s">
        <v>364</v>
      </c>
      <c r="D86" s="31"/>
      <c r="E86" s="32" t="s">
        <v>112</v>
      </c>
      <c r="F86" s="33" t="s">
        <v>365</v>
      </c>
      <c r="G86" s="38">
        <v>9000000</v>
      </c>
      <c r="H86" s="35"/>
      <c r="I86" s="35"/>
      <c r="J86" s="33" t="s">
        <v>366</v>
      </c>
      <c r="K86" s="60" t="s">
        <v>603</v>
      </c>
      <c r="L86" s="34"/>
      <c r="M86" s="34"/>
      <c r="N86" s="35">
        <v>1</v>
      </c>
      <c r="O86" s="35"/>
      <c r="P86" s="176">
        <v>44461</v>
      </c>
      <c r="Q86" s="35">
        <v>0</v>
      </c>
      <c r="R86" s="34"/>
      <c r="S86" s="36"/>
      <c r="T86" s="37"/>
      <c r="U86" s="185" t="e">
        <f>AND(((Критерий_дата-P86)&lt;Лист1!#REF!),Q86=0)</f>
        <v>#REF!</v>
      </c>
    </row>
    <row r="87" spans="1:24" s="1" customFormat="1" ht="12" x14ac:dyDescent="0.25">
      <c r="B87" s="9">
        <f>ROW()-ROW(Лист1!$B$5)</f>
        <v>82</v>
      </c>
      <c r="C87" s="88" t="s">
        <v>148</v>
      </c>
      <c r="D87" s="31"/>
      <c r="E87" s="32" t="s">
        <v>59</v>
      </c>
      <c r="F87" s="33" t="s">
        <v>20</v>
      </c>
      <c r="G87" s="37">
        <v>11000000</v>
      </c>
      <c r="H87" s="35"/>
      <c r="I87" s="35"/>
      <c r="J87" s="33" t="s">
        <v>149</v>
      </c>
      <c r="K87" s="34"/>
      <c r="L87" s="34"/>
      <c r="M87" s="34"/>
      <c r="N87" s="35"/>
      <c r="O87" s="35"/>
      <c r="P87" s="176">
        <v>44242</v>
      </c>
      <c r="Q87" s="35">
        <v>0</v>
      </c>
      <c r="R87" s="34"/>
      <c r="S87" s="36"/>
      <c r="T87" s="37"/>
      <c r="U87" s="185" t="e">
        <f>AND(((Критерий_дата-P87)&lt;Лист1!#REF!),Q87=0)</f>
        <v>#REF!</v>
      </c>
    </row>
    <row r="88" spans="1:24" s="1" customFormat="1" ht="60" x14ac:dyDescent="0.25">
      <c r="B88" s="9">
        <f>ROW()-ROW(Лист1!$B$5)</f>
        <v>83</v>
      </c>
      <c r="C88" s="76" t="s">
        <v>325</v>
      </c>
      <c r="D88" s="31"/>
      <c r="E88" s="32" t="s">
        <v>273</v>
      </c>
      <c r="F88" s="33" t="s">
        <v>326</v>
      </c>
      <c r="G88" s="38">
        <v>10395636</v>
      </c>
      <c r="H88" s="35"/>
      <c r="I88" s="35"/>
      <c r="J88" s="33" t="s">
        <v>327</v>
      </c>
      <c r="K88" s="34" t="s">
        <v>603</v>
      </c>
      <c r="L88" s="34"/>
      <c r="M88" s="34"/>
      <c r="N88" s="35"/>
      <c r="O88" s="35"/>
      <c r="P88" s="176">
        <v>44419</v>
      </c>
      <c r="Q88" s="35">
        <v>0</v>
      </c>
      <c r="R88" s="34"/>
      <c r="S88" s="36"/>
      <c r="T88" s="37"/>
      <c r="U88" s="185" t="e">
        <f>AND(((Критерий_дата-P88)&lt;Лист1!#REF!),Q88=0)</f>
        <v>#REF!</v>
      </c>
    </row>
    <row r="89" spans="1:24" s="1" customFormat="1" ht="168" x14ac:dyDescent="0.25">
      <c r="A89" s="2"/>
      <c r="B89" s="366">
        <f>ROW()-ROW(Лист1!$B$5)</f>
        <v>84</v>
      </c>
      <c r="C89" s="431" t="s">
        <v>1182</v>
      </c>
      <c r="D89" s="602"/>
      <c r="E89" s="604" t="s">
        <v>1255</v>
      </c>
      <c r="F89" s="415" t="s">
        <v>6</v>
      </c>
      <c r="G89" s="416">
        <v>30000000</v>
      </c>
      <c r="H89" s="634" t="s">
        <v>54</v>
      </c>
      <c r="I89" s="618" t="s">
        <v>1795</v>
      </c>
      <c r="J89" s="426" t="s">
        <v>1379</v>
      </c>
      <c r="K89" s="417" t="str">
        <f>[345]!ТКП_Тематика</f>
        <v>NKF</v>
      </c>
      <c r="L89" s="414"/>
      <c r="M89" s="422"/>
      <c r="N89" s="418"/>
      <c r="O89" s="627">
        <f>[345]!Результат_число</f>
        <v>0</v>
      </c>
      <c r="P89" s="414"/>
      <c r="Q89" s="414"/>
      <c r="R89" s="424"/>
    </row>
    <row r="90" spans="1:24" s="1" customFormat="1" ht="96" x14ac:dyDescent="0.25">
      <c r="A90" s="2"/>
      <c r="B90" s="432">
        <f>ROW()-ROW(Лист1!$B$5)</f>
        <v>85</v>
      </c>
      <c r="C90" s="456" t="s">
        <v>1231</v>
      </c>
      <c r="D90" s="432"/>
      <c r="E90" s="439" t="s">
        <v>1230</v>
      </c>
      <c r="F90" s="433" t="s">
        <v>6</v>
      </c>
      <c r="G90" s="434"/>
      <c r="H90" s="432" t="s">
        <v>423</v>
      </c>
      <c r="I90" s="753" t="s">
        <v>1796</v>
      </c>
      <c r="J90" s="439" t="s">
        <v>1256</v>
      </c>
      <c r="K90" s="474" t="str">
        <f>[346]!ТКП_Тематика</f>
        <v>BJF</v>
      </c>
      <c r="L90" s="432"/>
      <c r="M90" s="432"/>
      <c r="N90" s="436"/>
      <c r="O90" s="432">
        <f>[346]!Результат_число</f>
        <v>-1</v>
      </c>
      <c r="P90" s="432"/>
      <c r="Q90" s="432"/>
      <c r="R90" s="437"/>
      <c r="S90" s="461"/>
      <c r="T90" s="461"/>
      <c r="U90" s="461"/>
      <c r="V90" s="461"/>
      <c r="W90" s="461"/>
      <c r="X90" s="461"/>
    </row>
    <row r="91" spans="1:24" s="1" customFormat="1" ht="156" x14ac:dyDescent="0.2">
      <c r="A91" s="2"/>
      <c r="B91" s="432">
        <f>ROW()-ROW(Лист1!$B$5)</f>
        <v>86</v>
      </c>
      <c r="C91" s="319" t="s">
        <v>1073</v>
      </c>
      <c r="D91" s="427"/>
      <c r="E91" s="472" t="s">
        <v>1078</v>
      </c>
      <c r="F91" s="428" t="s">
        <v>1081</v>
      </c>
      <c r="G91" s="429"/>
      <c r="H91" s="427" t="s">
        <v>92</v>
      </c>
      <c r="I91" s="327" t="s">
        <v>1797</v>
      </c>
      <c r="J91" s="484" t="s">
        <v>1135</v>
      </c>
      <c r="K91" s="475" t="str">
        <f>[34]!ТКП_Тематика</f>
        <v>Виброконтроль</v>
      </c>
      <c r="L91" s="475"/>
      <c r="M91" s="478"/>
      <c r="N91" s="475"/>
      <c r="O91" s="481">
        <f>[34]!Результат_число</f>
        <v>-1</v>
      </c>
      <c r="P91" s="475"/>
      <c r="Q91" s="475"/>
      <c r="R91" s="475"/>
      <c r="S91" s="430"/>
      <c r="T91" s="430"/>
      <c r="U91" s="430"/>
      <c r="V91" s="430"/>
      <c r="W91" s="430"/>
      <c r="X91" s="430"/>
    </row>
    <row r="92" spans="1:24" s="1" customFormat="1" ht="72" x14ac:dyDescent="0.25">
      <c r="A92" s="2"/>
      <c r="B92" s="394">
        <f>ROW()-ROW(Лист1!$B$5)</f>
        <v>87</v>
      </c>
      <c r="C92" s="407" t="s">
        <v>1164</v>
      </c>
      <c r="D92" s="390"/>
      <c r="E92" s="391"/>
      <c r="F92" s="391" t="s">
        <v>6</v>
      </c>
      <c r="G92" s="392">
        <v>1400000</v>
      </c>
      <c r="H92" s="390"/>
      <c r="I92" s="327" t="s">
        <v>1798</v>
      </c>
      <c r="J92" s="656" t="s">
        <v>1173</v>
      </c>
      <c r="K92" s="393">
        <f>[347]!ТКП_Тематика</f>
        <v>0</v>
      </c>
      <c r="L92" s="390"/>
      <c r="M92" s="199"/>
      <c r="N92" s="390"/>
      <c r="O92" s="666">
        <f>[347]!Результат_число</f>
        <v>0</v>
      </c>
      <c r="P92" s="390"/>
      <c r="Q92" s="390"/>
      <c r="R92" s="390"/>
      <c r="S92" s="401"/>
      <c r="T92" s="401"/>
      <c r="U92" s="401"/>
      <c r="V92" s="401"/>
      <c r="W92" s="401"/>
      <c r="X92" s="401"/>
    </row>
    <row r="93" spans="1:24" s="1" customFormat="1" ht="24" x14ac:dyDescent="0.25">
      <c r="A93" s="2"/>
      <c r="B93" s="291">
        <f>ROW()-ROW(Лист1!$B$5)</f>
        <v>88</v>
      </c>
      <c r="C93" s="284" t="s">
        <v>1045</v>
      </c>
      <c r="D93" s="271"/>
      <c r="E93" s="273" t="s">
        <v>1048</v>
      </c>
      <c r="F93" s="273" t="s">
        <v>1046</v>
      </c>
      <c r="G93" s="271"/>
      <c r="H93" s="271" t="s">
        <v>39</v>
      </c>
      <c r="I93" s="298" t="s">
        <v>1799</v>
      </c>
      <c r="J93" s="445" t="s">
        <v>1053</v>
      </c>
      <c r="K93" s="271">
        <f>[348]!ТКП_Тематика</f>
        <v>0</v>
      </c>
      <c r="L93" s="271"/>
      <c r="M93" s="2"/>
      <c r="N93" s="271"/>
      <c r="O93" s="304">
        <f>[348]!Результат_число</f>
        <v>-1</v>
      </c>
      <c r="P93" s="271"/>
      <c r="Q93" s="271"/>
      <c r="R93" s="271"/>
      <c r="S93" s="275"/>
      <c r="T93" s="275"/>
      <c r="U93" s="275"/>
      <c r="V93" s="275"/>
      <c r="W93" s="275"/>
      <c r="X93" s="275"/>
    </row>
    <row r="94" spans="1:24" s="1" customFormat="1" ht="108" x14ac:dyDescent="0.25">
      <c r="A94" s="2"/>
      <c r="B94" s="271">
        <v>392</v>
      </c>
      <c r="C94" s="284" t="s">
        <v>1034</v>
      </c>
      <c r="D94" s="271"/>
      <c r="E94" s="273" t="s">
        <v>532</v>
      </c>
      <c r="F94" s="273" t="s">
        <v>765</v>
      </c>
      <c r="G94" s="272">
        <v>2939000</v>
      </c>
      <c r="H94" s="271" t="s">
        <v>88</v>
      </c>
      <c r="I94" s="318" t="s">
        <v>1800</v>
      </c>
      <c r="J94" s="445" t="s">
        <v>1060</v>
      </c>
      <c r="K94" s="271"/>
      <c r="L94" s="271"/>
      <c r="M94" s="2"/>
      <c r="N94" s="271"/>
      <c r="O94" s="271">
        <f>[27]!Результат_число</f>
        <v>0</v>
      </c>
      <c r="P94" s="271"/>
      <c r="Q94" s="271"/>
      <c r="R94" s="271"/>
      <c r="S94" s="275"/>
      <c r="T94" s="275"/>
      <c r="U94" s="275"/>
      <c r="V94" s="275"/>
      <c r="W94" s="275"/>
      <c r="X94" s="275"/>
    </row>
    <row r="95" spans="1:24" s="1" customFormat="1" ht="30" x14ac:dyDescent="0.25">
      <c r="A95" s="2"/>
      <c r="B95" s="291">
        <f>ROW()-ROW(Лист1!$B$5)</f>
        <v>90</v>
      </c>
      <c r="C95" s="284" t="s">
        <v>1062</v>
      </c>
      <c r="D95" s="271"/>
      <c r="E95" s="273" t="s">
        <v>71</v>
      </c>
      <c r="F95" s="273" t="s">
        <v>1063</v>
      </c>
      <c r="G95" s="272">
        <v>10000000</v>
      </c>
      <c r="H95" s="271" t="s">
        <v>65</v>
      </c>
      <c r="I95" s="318" t="s">
        <v>1801</v>
      </c>
      <c r="J95" s="445"/>
      <c r="K95" s="274" t="str">
        <f>[349]!ТКП_Тематика</f>
        <v>N</v>
      </c>
      <c r="L95" s="271"/>
      <c r="M95" s="2"/>
      <c r="N95" s="271"/>
      <c r="O95" s="304">
        <f>[349]!Результат_число</f>
        <v>0</v>
      </c>
      <c r="P95" s="271"/>
      <c r="Q95" s="271"/>
      <c r="R95" s="271"/>
      <c r="S95" s="275"/>
      <c r="T95" s="275"/>
      <c r="U95" s="275"/>
      <c r="V95" s="275"/>
      <c r="W95" s="275"/>
      <c r="X95" s="275"/>
    </row>
    <row r="96" spans="1:24" s="1" customFormat="1" ht="24" x14ac:dyDescent="0.25">
      <c r="A96" s="2"/>
      <c r="B96" s="248">
        <f>ROW()-ROW(Лист1!$B$5)</f>
        <v>91</v>
      </c>
      <c r="C96" s="254" t="s">
        <v>991</v>
      </c>
      <c r="D96" s="249"/>
      <c r="E96" s="251" t="s">
        <v>56</v>
      </c>
      <c r="F96" s="251" t="s">
        <v>992</v>
      </c>
      <c r="G96" s="252">
        <v>2463288</v>
      </c>
      <c r="H96" s="248" t="s">
        <v>423</v>
      </c>
      <c r="I96" s="741"/>
      <c r="J96" s="651" t="s">
        <v>1466</v>
      </c>
      <c r="K96" s="253"/>
      <c r="L96" s="249"/>
      <c r="M96" s="219"/>
      <c r="N96" s="249"/>
      <c r="O96" s="248">
        <v>0</v>
      </c>
      <c r="P96" s="249"/>
      <c r="Q96" s="249"/>
      <c r="R96" s="249"/>
      <c r="S96" s="249"/>
      <c r="T96" s="249"/>
      <c r="U96" s="249"/>
      <c r="V96" s="249"/>
    </row>
    <row r="97" spans="1:22" s="1" customFormat="1" ht="96" x14ac:dyDescent="0.25">
      <c r="A97" s="2"/>
      <c r="B97" s="255">
        <f>ROW()-ROW(Лист1!$B$5)</f>
        <v>92</v>
      </c>
      <c r="C97" s="261" t="s">
        <v>1000</v>
      </c>
      <c r="D97" s="256"/>
      <c r="E97" s="257" t="s">
        <v>1010</v>
      </c>
      <c r="F97" s="258" t="s">
        <v>994</v>
      </c>
      <c r="G97" s="259">
        <v>100000000</v>
      </c>
      <c r="H97" s="248" t="s">
        <v>380</v>
      </c>
      <c r="I97" s="308" t="s">
        <v>1802</v>
      </c>
      <c r="J97" s="766" t="s">
        <v>1036</v>
      </c>
      <c r="K97" s="260">
        <f>[350]!ТКП_Тематика</f>
        <v>0</v>
      </c>
      <c r="L97" s="256"/>
      <c r="M97" s="219"/>
      <c r="N97" s="256"/>
      <c r="O97" s="317">
        <v>-1</v>
      </c>
      <c r="P97" s="256"/>
      <c r="Q97" s="256"/>
      <c r="R97" s="256"/>
      <c r="S97" s="256"/>
      <c r="T97" s="256"/>
      <c r="U97" s="256"/>
      <c r="V97" s="256"/>
    </row>
    <row r="98" spans="1:22" s="1" customFormat="1" ht="72" x14ac:dyDescent="0.25">
      <c r="A98" s="2"/>
      <c r="B98" s="262">
        <f>ROW()-ROW(Лист1!$B$5)</f>
        <v>93</v>
      </c>
      <c r="C98" s="276" t="s">
        <v>1003</v>
      </c>
      <c r="D98" s="263"/>
      <c r="E98" s="264" t="s">
        <v>1004</v>
      </c>
      <c r="F98" s="264" t="s">
        <v>1005</v>
      </c>
      <c r="G98" s="265">
        <v>5217144</v>
      </c>
      <c r="H98" s="262" t="s">
        <v>92</v>
      </c>
      <c r="I98" s="742"/>
      <c r="J98" s="652" t="s">
        <v>1006</v>
      </c>
      <c r="K98" s="266"/>
      <c r="L98" s="263"/>
      <c r="M98" s="219"/>
      <c r="N98" s="263"/>
      <c r="O98" s="262">
        <v>0</v>
      </c>
      <c r="P98" s="263"/>
      <c r="Q98" s="263"/>
      <c r="R98" s="263"/>
      <c r="S98" s="267"/>
      <c r="T98" s="267"/>
      <c r="U98" s="267"/>
      <c r="V98" s="267"/>
    </row>
    <row r="99" spans="1:22" s="1" customFormat="1" ht="60" x14ac:dyDescent="0.25">
      <c r="B99" s="35">
        <f>ROW()-ROW(Лист1!$B$5)</f>
        <v>94</v>
      </c>
      <c r="C99" s="284" t="s">
        <v>1064</v>
      </c>
      <c r="D99" s="321"/>
      <c r="E99" s="322" t="s">
        <v>1065</v>
      </c>
      <c r="F99" s="33" t="s">
        <v>940</v>
      </c>
      <c r="G99" s="272"/>
      <c r="H99" s="271" t="s">
        <v>54</v>
      </c>
      <c r="I99" s="327" t="s">
        <v>1803</v>
      </c>
      <c r="J99" s="273" t="s">
        <v>1096</v>
      </c>
      <c r="K99" s="275" t="str">
        <f>[351]!ТКП_Тематика</f>
        <v>RF</v>
      </c>
      <c r="L99" s="275"/>
      <c r="M99" s="271"/>
      <c r="N99" s="271"/>
      <c r="O99" s="271">
        <f>[351]!Результат_число</f>
        <v>-1</v>
      </c>
      <c r="P99" s="275"/>
      <c r="Q99" s="324"/>
      <c r="R99" s="272"/>
    </row>
    <row r="100" spans="1:22" s="20" customFormat="1" ht="48" x14ac:dyDescent="0.25">
      <c r="A100" s="1"/>
      <c r="B100" s="35">
        <f>ROW()-ROW(Лист1!$B$5)</f>
        <v>95</v>
      </c>
      <c r="C100" s="30" t="s">
        <v>945</v>
      </c>
      <c r="D100" s="35"/>
      <c r="E100" s="42" t="s">
        <v>64</v>
      </c>
      <c r="F100" s="33" t="s">
        <v>47</v>
      </c>
      <c r="G100" s="37">
        <v>2600000</v>
      </c>
      <c r="H100" s="35" t="s">
        <v>66</v>
      </c>
      <c r="I100" s="734">
        <v>44956</v>
      </c>
      <c r="J100" s="42" t="s">
        <v>949</v>
      </c>
      <c r="K100" s="34" t="s">
        <v>597</v>
      </c>
      <c r="L100" s="35"/>
      <c r="M100" s="39"/>
      <c r="N100" s="35"/>
      <c r="O100" s="35">
        <v>0</v>
      </c>
      <c r="P100" s="35"/>
      <c r="Q100" s="35"/>
      <c r="R100" s="35"/>
      <c r="S100" s="98"/>
      <c r="T100" s="98"/>
      <c r="U100" s="98"/>
    </row>
    <row r="101" spans="1:22" s="1" customFormat="1" ht="60" x14ac:dyDescent="0.25">
      <c r="A101" s="2"/>
      <c r="B101" s="35">
        <f>ROW()-ROW(Лист1!$B$5)</f>
        <v>96</v>
      </c>
      <c r="C101" s="76"/>
      <c r="D101" s="31"/>
      <c r="E101" s="32" t="s">
        <v>635</v>
      </c>
      <c r="F101" s="33" t="s">
        <v>633</v>
      </c>
      <c r="G101" s="37"/>
      <c r="H101" s="40" t="s">
        <v>634</v>
      </c>
      <c r="I101" s="734" t="s">
        <v>659</v>
      </c>
      <c r="J101" s="42" t="s">
        <v>1158</v>
      </c>
      <c r="K101" s="34"/>
      <c r="L101" s="34"/>
      <c r="M101" s="35"/>
      <c r="N101" s="35"/>
      <c r="O101" s="35">
        <v>-1</v>
      </c>
      <c r="P101" s="34"/>
      <c r="Q101" s="36"/>
      <c r="R101" s="37"/>
    </row>
    <row r="102" spans="1:22" s="1" customFormat="1" ht="24" x14ac:dyDescent="0.25">
      <c r="A102" s="2"/>
      <c r="B102" s="200">
        <f>ROW()-ROW(Лист1!$B$5)</f>
        <v>97</v>
      </c>
      <c r="C102" s="201" t="s">
        <v>960</v>
      </c>
      <c r="D102" s="200"/>
      <c r="E102" s="202" t="s">
        <v>961</v>
      </c>
      <c r="F102" s="33" t="s">
        <v>27</v>
      </c>
      <c r="G102" s="204"/>
      <c r="H102" s="200"/>
      <c r="I102" s="727"/>
      <c r="J102" s="202" t="s">
        <v>962</v>
      </c>
      <c r="K102" s="205"/>
      <c r="L102" s="200"/>
      <c r="M102" s="199"/>
      <c r="N102" s="200"/>
      <c r="O102" s="200">
        <v>-1</v>
      </c>
      <c r="P102" s="200"/>
      <c r="Q102" s="200"/>
      <c r="R102" s="200"/>
      <c r="S102" s="205"/>
      <c r="T102" s="205"/>
      <c r="U102" s="205"/>
      <c r="V102" s="205"/>
    </row>
    <row r="103" spans="1:22" s="1" customFormat="1" ht="60" x14ac:dyDescent="0.25">
      <c r="B103" s="35">
        <f>ROW()-ROW(Лист1!$B$5)</f>
        <v>98</v>
      </c>
      <c r="C103" s="30" t="s">
        <v>774</v>
      </c>
      <c r="D103" s="31"/>
      <c r="E103" s="32" t="s">
        <v>775</v>
      </c>
      <c r="F103" s="33" t="s">
        <v>239</v>
      </c>
      <c r="G103" s="37">
        <v>3318155</v>
      </c>
      <c r="H103" s="35"/>
      <c r="I103" s="726" t="s">
        <v>1107</v>
      </c>
      <c r="J103" s="42" t="s">
        <v>776</v>
      </c>
      <c r="K103" s="34" t="s">
        <v>605</v>
      </c>
      <c r="L103" s="72"/>
      <c r="M103" s="35"/>
      <c r="N103" s="35"/>
      <c r="O103" s="35">
        <v>0</v>
      </c>
      <c r="P103" s="72"/>
      <c r="Q103" s="35"/>
      <c r="R103" s="35"/>
      <c r="S103" s="98"/>
    </row>
    <row r="104" spans="1:22" s="1" customFormat="1" ht="36" x14ac:dyDescent="0.25">
      <c r="A104" s="23"/>
      <c r="B104" s="35">
        <f>ROW()-ROW(Лист1!$B$5)</f>
        <v>99</v>
      </c>
      <c r="C104" s="76" t="s">
        <v>387</v>
      </c>
      <c r="D104" s="31"/>
      <c r="E104" s="32" t="s">
        <v>388</v>
      </c>
      <c r="F104" s="33" t="s">
        <v>18</v>
      </c>
      <c r="G104" s="38">
        <v>3139023</v>
      </c>
      <c r="H104" s="35"/>
      <c r="I104" s="51"/>
      <c r="J104" s="33" t="s">
        <v>576</v>
      </c>
      <c r="K104" s="60"/>
      <c r="L104" s="34"/>
      <c r="M104" s="34"/>
      <c r="N104" s="34"/>
      <c r="O104" s="35">
        <v>-1</v>
      </c>
      <c r="P104" s="34"/>
      <c r="Q104" s="36"/>
      <c r="R104" s="37"/>
    </row>
    <row r="105" spans="1:22" s="1" customFormat="1" ht="36" x14ac:dyDescent="0.25">
      <c r="B105" s="35">
        <f>ROW()-ROW(Лист1!$B$5)</f>
        <v>100</v>
      </c>
      <c r="C105" s="76" t="s">
        <v>197</v>
      </c>
      <c r="D105" s="31"/>
      <c r="E105" s="32" t="s">
        <v>55</v>
      </c>
      <c r="F105" s="33" t="s">
        <v>198</v>
      </c>
      <c r="G105" s="37">
        <v>2832722</v>
      </c>
      <c r="H105" s="35"/>
      <c r="I105" s="51"/>
      <c r="J105" s="42" t="s">
        <v>199</v>
      </c>
      <c r="K105" s="34"/>
      <c r="L105" s="34"/>
      <c r="M105" s="35">
        <v>1</v>
      </c>
      <c r="N105" s="35"/>
      <c r="O105" s="35">
        <v>0</v>
      </c>
      <c r="P105" s="34"/>
      <c r="Q105" s="36"/>
      <c r="R105" s="37"/>
    </row>
    <row r="106" spans="1:22" s="1" customFormat="1" ht="120" x14ac:dyDescent="0.25">
      <c r="B106" s="35">
        <f>ROW()-ROW(Лист1!$B$5)</f>
        <v>101</v>
      </c>
      <c r="C106" s="30" t="s">
        <v>939</v>
      </c>
      <c r="D106" s="31"/>
      <c r="E106" s="32" t="s">
        <v>64</v>
      </c>
      <c r="F106" s="33" t="s">
        <v>940</v>
      </c>
      <c r="G106" s="37">
        <v>5000000</v>
      </c>
      <c r="H106" s="35" t="s">
        <v>380</v>
      </c>
      <c r="I106" s="303" t="s">
        <v>1804</v>
      </c>
      <c r="J106" s="42" t="s">
        <v>959</v>
      </c>
      <c r="K106" s="34" t="str">
        <f>[352]!ТКП_Тематика</f>
        <v>E</v>
      </c>
      <c r="L106" s="186"/>
      <c r="M106" s="35"/>
      <c r="N106" s="35"/>
      <c r="O106" s="51">
        <f>[352]!Результат_число</f>
        <v>0</v>
      </c>
      <c r="P106" s="35"/>
      <c r="Q106" s="187"/>
      <c r="R106" s="187"/>
      <c r="S106" s="98"/>
      <c r="T106" s="98"/>
      <c r="U106" s="98"/>
    </row>
    <row r="107" spans="1:22" s="1" customFormat="1" x14ac:dyDescent="0.25">
      <c r="B107" s="9">
        <f>ROW()-ROW(Лист1!$B$5)</f>
        <v>102</v>
      </c>
      <c r="C107" s="133" t="s">
        <v>950</v>
      </c>
      <c r="D107" s="35"/>
      <c r="E107" s="42" t="s">
        <v>951</v>
      </c>
      <c r="F107" s="33" t="s">
        <v>8</v>
      </c>
      <c r="G107" s="37">
        <v>11108845</v>
      </c>
      <c r="H107" s="35" t="s">
        <v>88</v>
      </c>
      <c r="I107" s="726"/>
      <c r="J107" s="42" t="s">
        <v>1156</v>
      </c>
      <c r="K107" s="34" t="s">
        <v>603</v>
      </c>
      <c r="L107" s="35"/>
      <c r="M107" s="29"/>
      <c r="N107" s="35"/>
      <c r="O107" s="35">
        <v>0</v>
      </c>
      <c r="P107" s="35"/>
      <c r="Q107" s="35"/>
      <c r="R107" s="35"/>
      <c r="S107" s="98"/>
      <c r="T107" s="98"/>
      <c r="U107" s="98"/>
    </row>
    <row r="108" spans="1:22" s="1" customFormat="1" ht="96" x14ac:dyDescent="0.25">
      <c r="B108" s="9">
        <f>ROW()-ROW(Лист1!$B$5)</f>
        <v>103</v>
      </c>
      <c r="C108" s="133" t="s">
        <v>955</v>
      </c>
      <c r="D108" s="35"/>
      <c r="E108" s="42" t="s">
        <v>956</v>
      </c>
      <c r="F108" s="33" t="s">
        <v>957</v>
      </c>
      <c r="G108" s="37">
        <v>8382155</v>
      </c>
      <c r="H108" s="35" t="s">
        <v>66</v>
      </c>
      <c r="I108" s="726"/>
      <c r="J108" s="42" t="s">
        <v>1170</v>
      </c>
      <c r="K108" s="34" t="s">
        <v>605</v>
      </c>
      <c r="L108" s="35"/>
      <c r="M108" s="29"/>
      <c r="N108" s="35"/>
      <c r="O108" s="35">
        <v>0</v>
      </c>
      <c r="P108" s="35"/>
      <c r="Q108" s="35"/>
      <c r="R108" s="35"/>
      <c r="S108" s="98"/>
      <c r="T108" s="98"/>
      <c r="U108" s="98"/>
    </row>
    <row r="109" spans="1:22" s="1" customFormat="1" ht="24" x14ac:dyDescent="0.25">
      <c r="B109" s="9">
        <v>352</v>
      </c>
      <c r="C109" s="133" t="s">
        <v>921</v>
      </c>
      <c r="D109" s="31"/>
      <c r="E109" s="32" t="s">
        <v>922</v>
      </c>
      <c r="F109" s="33" t="s">
        <v>52</v>
      </c>
      <c r="G109" s="37">
        <v>12701676</v>
      </c>
      <c r="H109" s="35"/>
      <c r="I109" s="295"/>
      <c r="J109" s="42" t="s">
        <v>1397</v>
      </c>
      <c r="K109" s="34" t="s">
        <v>605</v>
      </c>
      <c r="L109" s="186"/>
      <c r="M109" s="35"/>
      <c r="N109" s="35"/>
      <c r="O109" s="35">
        <v>0</v>
      </c>
      <c r="P109" s="35"/>
      <c r="Q109" s="187"/>
      <c r="R109" s="187"/>
      <c r="S109" s="98"/>
      <c r="T109" s="98"/>
      <c r="U109" s="98"/>
    </row>
    <row r="110" spans="1:22" s="1" customFormat="1" ht="48" x14ac:dyDescent="0.2">
      <c r="A110" s="2"/>
      <c r="B110" s="9">
        <f>ROW()-ROW(Лист1!$B$5)</f>
        <v>105</v>
      </c>
      <c r="C110" s="30" t="s">
        <v>1070</v>
      </c>
      <c r="D110" s="35"/>
      <c r="E110" s="42" t="s">
        <v>1167</v>
      </c>
      <c r="F110" s="33" t="s">
        <v>1071</v>
      </c>
      <c r="G110" s="37">
        <v>200000000</v>
      </c>
      <c r="H110" s="35" t="s">
        <v>92</v>
      </c>
      <c r="I110" s="618" t="s">
        <v>1805</v>
      </c>
      <c r="J110" s="573" t="s">
        <v>1177</v>
      </c>
      <c r="K110" s="103" t="str">
        <f>[353]!ТКП_Тематика</f>
        <v>B</v>
      </c>
      <c r="L110" s="103"/>
      <c r="M110" s="103"/>
      <c r="N110" s="103"/>
      <c r="O110" s="558">
        <f>[353]!Результат_число</f>
        <v>-1</v>
      </c>
      <c r="P110" s="103"/>
      <c r="Q110" s="103"/>
      <c r="R110" s="185"/>
      <c r="S110" s="98"/>
      <c r="T110" s="98"/>
      <c r="U110" s="98"/>
    </row>
    <row r="111" spans="1:22" s="1" customFormat="1" ht="75" x14ac:dyDescent="0.25">
      <c r="B111" s="9">
        <f>ROW()-ROW(Лист1!$B$5)</f>
        <v>106</v>
      </c>
      <c r="C111" s="188" t="s">
        <v>523</v>
      </c>
      <c r="D111" s="39"/>
      <c r="E111" s="148" t="s">
        <v>524</v>
      </c>
      <c r="F111" s="40" t="s">
        <v>7</v>
      </c>
      <c r="G111" s="37">
        <v>25000000</v>
      </c>
      <c r="H111" s="39" t="s">
        <v>88</v>
      </c>
      <c r="I111" s="295" t="s">
        <v>1806</v>
      </c>
      <c r="J111" s="93" t="s">
        <v>993</v>
      </c>
      <c r="K111" s="79">
        <f>[354]!ТКП_Тематика</f>
        <v>0</v>
      </c>
      <c r="L111" s="41" t="s">
        <v>12</v>
      </c>
      <c r="M111" s="39">
        <v>1</v>
      </c>
      <c r="N111" s="39"/>
      <c r="O111" s="51">
        <f>[354]!Результат_число</f>
        <v>-2</v>
      </c>
      <c r="P111" s="39"/>
      <c r="Q111" s="39"/>
      <c r="R111" s="39"/>
    </row>
    <row r="112" spans="1:22" s="1" customFormat="1" ht="72" x14ac:dyDescent="0.25">
      <c r="B112" s="9">
        <v>345</v>
      </c>
      <c r="C112" s="30" t="s">
        <v>609</v>
      </c>
      <c r="D112" s="35"/>
      <c r="E112" s="42" t="s">
        <v>610</v>
      </c>
      <c r="F112" s="33" t="s">
        <v>212</v>
      </c>
      <c r="G112" s="37">
        <v>24511514</v>
      </c>
      <c r="H112" s="35"/>
      <c r="I112" s="295"/>
      <c r="J112" s="42" t="s">
        <v>707</v>
      </c>
      <c r="K112" s="34" t="s">
        <v>601</v>
      </c>
      <c r="L112" s="35"/>
      <c r="M112" s="35"/>
      <c r="N112" s="35"/>
      <c r="O112" s="35">
        <v>0</v>
      </c>
      <c r="P112" s="72"/>
      <c r="Q112" s="35"/>
      <c r="R112" s="35"/>
    </row>
    <row r="113" spans="1:24" s="1" customFormat="1" ht="48" x14ac:dyDescent="0.25">
      <c r="A113" s="2"/>
      <c r="B113" s="9">
        <f>ROW()-ROW(Лист1!$B$5)</f>
        <v>108</v>
      </c>
      <c r="C113" s="76" t="s">
        <v>209</v>
      </c>
      <c r="D113" s="31"/>
      <c r="E113" s="32" t="s">
        <v>250</v>
      </c>
      <c r="F113" s="33" t="s">
        <v>78</v>
      </c>
      <c r="G113" s="37">
        <v>52343496</v>
      </c>
      <c r="H113" s="35"/>
      <c r="I113" s="295"/>
      <c r="J113" s="33" t="s">
        <v>570</v>
      </c>
      <c r="K113" s="34"/>
      <c r="L113" s="34"/>
      <c r="M113" s="35">
        <v>1</v>
      </c>
      <c r="N113" s="35"/>
      <c r="O113" s="35">
        <v>-1</v>
      </c>
      <c r="P113" s="34"/>
      <c r="Q113" s="36"/>
      <c r="R113" s="37"/>
    </row>
    <row r="114" spans="1:24" s="1" customFormat="1" ht="180" x14ac:dyDescent="0.25">
      <c r="B114" s="35">
        <f>ROW()-ROW(Лист1!$B$5)</f>
        <v>109</v>
      </c>
      <c r="C114" s="188" t="s">
        <v>944</v>
      </c>
      <c r="D114" s="39"/>
      <c r="E114" s="93" t="s">
        <v>943</v>
      </c>
      <c r="F114" s="40" t="s">
        <v>6</v>
      </c>
      <c r="G114" s="37">
        <v>58000000</v>
      </c>
      <c r="H114" s="39" t="s">
        <v>423</v>
      </c>
      <c r="I114" s="732" t="s">
        <v>1807</v>
      </c>
      <c r="J114" s="93" t="s">
        <v>1021</v>
      </c>
      <c r="K114" s="34" t="s">
        <v>602</v>
      </c>
      <c r="L114" s="39"/>
      <c r="M114" s="39"/>
      <c r="N114" s="39"/>
      <c r="O114" s="294">
        <f>[355]Лист2!$D$14</f>
        <v>-2</v>
      </c>
      <c r="P114" s="39"/>
      <c r="Q114" s="39"/>
      <c r="R114" s="39"/>
    </row>
    <row r="115" spans="1:24" s="1" customFormat="1" ht="36" x14ac:dyDescent="0.25">
      <c r="B115" s="200">
        <f>ROW()-ROW(Лист1!$B$5)</f>
        <v>110</v>
      </c>
      <c r="C115" s="244" t="s">
        <v>975</v>
      </c>
      <c r="D115" s="200">
        <v>2954</v>
      </c>
      <c r="E115" s="202" t="s">
        <v>977</v>
      </c>
      <c r="F115" s="203" t="s">
        <v>369</v>
      </c>
      <c r="G115" s="204">
        <v>83584662</v>
      </c>
      <c r="H115" s="200"/>
      <c r="I115" s="732"/>
      <c r="J115" s="202" t="s">
        <v>976</v>
      </c>
      <c r="K115" s="288" t="s">
        <v>602</v>
      </c>
      <c r="L115" s="200"/>
      <c r="M115" s="236"/>
      <c r="N115" s="200"/>
      <c r="O115" s="200">
        <v>0</v>
      </c>
      <c r="P115" s="200"/>
      <c r="Q115" s="200"/>
      <c r="R115" s="200"/>
    </row>
    <row r="116" spans="1:24" s="2" customFormat="1" x14ac:dyDescent="0.25">
      <c r="B116" s="200">
        <f>ROW()-ROW(Лист1!$B$5)</f>
        <v>111</v>
      </c>
      <c r="C116" s="241" t="s">
        <v>983</v>
      </c>
      <c r="D116" s="230"/>
      <c r="E116" s="231" t="s">
        <v>982</v>
      </c>
      <c r="F116" s="232" t="s">
        <v>104</v>
      </c>
      <c r="G116" s="233"/>
      <c r="H116" s="230" t="s">
        <v>380</v>
      </c>
      <c r="I116" s="729"/>
      <c r="J116" s="231"/>
      <c r="K116" s="234"/>
      <c r="L116" s="230"/>
      <c r="M116" s="235"/>
      <c r="N116" s="230"/>
      <c r="O116" s="230">
        <v>-1</v>
      </c>
      <c r="P116" s="230"/>
      <c r="Q116" s="230"/>
      <c r="R116" s="230"/>
      <c r="S116" s="98"/>
      <c r="T116" s="98"/>
      <c r="U116" s="98"/>
      <c r="V116" s="98"/>
    </row>
    <row r="117" spans="1:24" s="1" customFormat="1" ht="92.45" customHeight="1" x14ac:dyDescent="0.25">
      <c r="A117" s="855"/>
      <c r="B117" s="812">
        <v>273</v>
      </c>
      <c r="C117" s="817" t="s">
        <v>1529</v>
      </c>
      <c r="D117" s="937">
        <v>3209</v>
      </c>
      <c r="E117" s="604" t="s">
        <v>1405</v>
      </c>
      <c r="F117" s="642" t="s">
        <v>205</v>
      </c>
      <c r="G117" s="593">
        <v>150000000</v>
      </c>
      <c r="H117" s="642" t="s">
        <v>378</v>
      </c>
      <c r="I117" s="856" t="s">
        <v>1808</v>
      </c>
      <c r="J117" s="686" t="s">
        <v>1648</v>
      </c>
      <c r="K117" s="594" t="str">
        <f>[192]!ТКП_Тематика</f>
        <v>BFI</v>
      </c>
      <c r="L117" s="591"/>
      <c r="M117" s="617">
        <v>1</v>
      </c>
      <c r="N117" s="595"/>
      <c r="O117" s="617">
        <f>[192]!Результат_число</f>
        <v>0</v>
      </c>
      <c r="P117" s="595"/>
      <c r="Q117" s="716"/>
      <c r="R117" s="716"/>
      <c r="S117" s="716"/>
      <c r="T117" s="98"/>
      <c r="U117" s="98"/>
      <c r="V117" s="98"/>
      <c r="W117" s="98"/>
      <c r="X117" s="98"/>
    </row>
    <row r="118" spans="1:24" s="1" customFormat="1" ht="40.9" customHeight="1" x14ac:dyDescent="0.25">
      <c r="B118" s="432">
        <v>345</v>
      </c>
      <c r="C118" s="659" t="s">
        <v>556</v>
      </c>
      <c r="D118" s="511"/>
      <c r="E118" s="486" t="s">
        <v>557</v>
      </c>
      <c r="F118" s="464" t="s">
        <v>558</v>
      </c>
      <c r="G118" s="458">
        <v>27500000</v>
      </c>
      <c r="H118" s="457" t="s">
        <v>378</v>
      </c>
      <c r="I118" s="572" t="s">
        <v>1809</v>
      </c>
      <c r="J118" s="486" t="s">
        <v>1485</v>
      </c>
      <c r="K118" s="574" t="str">
        <f>[204]!ТКП_Тематика</f>
        <v>IRB</v>
      </c>
      <c r="L118" s="457"/>
      <c r="M118" s="457"/>
      <c r="N118" s="457"/>
      <c r="O118" s="553">
        <f>[204]!Результат_число</f>
        <v>0</v>
      </c>
      <c r="P118" s="580"/>
      <c r="Q118" s="457"/>
      <c r="R118" s="504"/>
      <c r="S118" s="584"/>
      <c r="T118" s="584"/>
      <c r="U118" s="584"/>
      <c r="V118" s="509"/>
      <c r="W118" s="509"/>
      <c r="X118" s="509"/>
    </row>
    <row r="119" spans="1:24" s="1" customFormat="1" ht="51" customHeight="1" x14ac:dyDescent="0.25">
      <c r="A119" s="2"/>
      <c r="B119" s="432">
        <f>ROW()-ROW(Лист1!$B$5)</f>
        <v>114</v>
      </c>
      <c r="C119" s="488" t="s">
        <v>1197</v>
      </c>
      <c r="D119" s="432"/>
      <c r="E119" s="439" t="s">
        <v>1198</v>
      </c>
      <c r="F119" s="439" t="s">
        <v>78</v>
      </c>
      <c r="G119" s="434">
        <v>80000000</v>
      </c>
      <c r="H119" s="435" t="s">
        <v>378</v>
      </c>
      <c r="I119" s="754" t="s">
        <v>1810</v>
      </c>
      <c r="J119" s="439" t="s">
        <v>1467</v>
      </c>
      <c r="K119" s="435" t="str">
        <f>[202]!ТКП_Тематика</f>
        <v>BD</v>
      </c>
      <c r="L119" s="432"/>
      <c r="M119" s="174"/>
      <c r="N119" s="436"/>
      <c r="O119" s="628">
        <f>[202]!Результат_число</f>
        <v>0</v>
      </c>
      <c r="P119" s="432"/>
      <c r="Q119" s="432"/>
      <c r="R119" s="437"/>
      <c r="S119" s="438"/>
      <c r="T119" s="438"/>
      <c r="U119" s="98"/>
      <c r="X119" s="98"/>
    </row>
    <row r="120" spans="1:24" s="1" customFormat="1" ht="36" x14ac:dyDescent="0.25">
      <c r="B120" s="35">
        <f>ROW()-ROW(Лист1!$B$5)</f>
        <v>115</v>
      </c>
      <c r="C120" s="30" t="s">
        <v>861</v>
      </c>
      <c r="D120" s="35"/>
      <c r="E120" s="42" t="s">
        <v>862</v>
      </c>
      <c r="F120" s="33" t="s">
        <v>863</v>
      </c>
      <c r="G120" s="38">
        <v>4871951</v>
      </c>
      <c r="H120" s="35"/>
      <c r="I120" s="51"/>
      <c r="J120" s="42" t="s">
        <v>864</v>
      </c>
      <c r="K120" s="34" t="s">
        <v>603</v>
      </c>
      <c r="L120" s="35"/>
      <c r="M120" s="39"/>
      <c r="N120" s="35"/>
      <c r="O120" s="35">
        <v>0</v>
      </c>
      <c r="P120" s="35"/>
      <c r="Q120" s="35"/>
      <c r="R120" s="35"/>
    </row>
    <row r="121" spans="1:24" s="1" customFormat="1" ht="24" x14ac:dyDescent="0.25">
      <c r="B121" s="35">
        <f>ROW()-ROW(Лист1!$B$5)</f>
        <v>116</v>
      </c>
      <c r="C121" s="88" t="s">
        <v>389</v>
      </c>
      <c r="D121" s="31"/>
      <c r="E121" s="32" t="s">
        <v>390</v>
      </c>
      <c r="F121" s="33" t="s">
        <v>62</v>
      </c>
      <c r="G121" s="37">
        <v>4480000</v>
      </c>
      <c r="H121" s="35"/>
      <c r="I121" s="51"/>
      <c r="J121" s="42" t="s">
        <v>717</v>
      </c>
      <c r="K121" s="35" t="s">
        <v>603</v>
      </c>
      <c r="L121" s="34"/>
      <c r="M121" s="35">
        <v>1</v>
      </c>
      <c r="N121" s="35"/>
      <c r="O121" s="35">
        <v>0</v>
      </c>
      <c r="P121" s="34"/>
      <c r="Q121" s="36"/>
      <c r="R121" s="37"/>
      <c r="S121" s="2"/>
      <c r="T121" s="2"/>
      <c r="U121" s="2"/>
    </row>
    <row r="122" spans="1:24" s="1" customFormat="1" ht="96" x14ac:dyDescent="0.25">
      <c r="A122" s="23"/>
      <c r="B122" s="105">
        <f>ROW()-ROW(Лист1!$B$5)</f>
        <v>117</v>
      </c>
      <c r="C122" s="133" t="s">
        <v>894</v>
      </c>
      <c r="D122" s="31"/>
      <c r="E122" s="32" t="s">
        <v>895</v>
      </c>
      <c r="F122" s="33" t="s">
        <v>3</v>
      </c>
      <c r="G122" s="37">
        <v>4433932</v>
      </c>
      <c r="H122" s="35" t="s">
        <v>54</v>
      </c>
      <c r="I122" s="726" t="s">
        <v>897</v>
      </c>
      <c r="J122" s="42" t="s">
        <v>1174</v>
      </c>
      <c r="K122" s="34" t="s">
        <v>603</v>
      </c>
      <c r="L122" s="186"/>
      <c r="M122" s="39"/>
      <c r="N122" s="35"/>
      <c r="O122" s="35">
        <v>0</v>
      </c>
      <c r="P122" s="35"/>
      <c r="Q122" s="35"/>
      <c r="R122" s="187"/>
    </row>
    <row r="123" spans="1:24" s="1" customFormat="1" ht="72" x14ac:dyDescent="0.25">
      <c r="B123" s="35">
        <f>ROW()-ROW(Лист1!$B$5)</f>
        <v>118</v>
      </c>
      <c r="C123" s="30" t="s">
        <v>465</v>
      </c>
      <c r="D123" s="31"/>
      <c r="E123" s="32" t="s">
        <v>71</v>
      </c>
      <c r="F123" s="33" t="s">
        <v>466</v>
      </c>
      <c r="G123" s="38">
        <v>4169000</v>
      </c>
      <c r="H123" s="33"/>
      <c r="I123" s="726" t="s">
        <v>593</v>
      </c>
      <c r="J123" s="33" t="s">
        <v>852</v>
      </c>
      <c r="K123" s="60" t="s">
        <v>601</v>
      </c>
      <c r="L123" s="34"/>
      <c r="M123" s="35"/>
      <c r="N123" s="35"/>
      <c r="O123" s="35">
        <v>2</v>
      </c>
      <c r="P123" s="34"/>
      <c r="Q123" s="36"/>
      <c r="R123" s="37"/>
    </row>
    <row r="124" spans="1:24" s="1" customFormat="1" ht="72" x14ac:dyDescent="0.25">
      <c r="B124" s="35">
        <f>ROW()-ROW(Лист1!$B$5)</f>
        <v>119</v>
      </c>
      <c r="C124" s="30" t="s">
        <v>465</v>
      </c>
      <c r="D124" s="31"/>
      <c r="E124" s="32" t="s">
        <v>1993</v>
      </c>
      <c r="F124" s="33" t="s">
        <v>466</v>
      </c>
      <c r="G124" s="38">
        <v>4169000</v>
      </c>
      <c r="H124" s="33"/>
      <c r="I124" s="726" t="s">
        <v>593</v>
      </c>
      <c r="J124" s="33" t="s">
        <v>583</v>
      </c>
      <c r="K124" s="60" t="s">
        <v>601</v>
      </c>
      <c r="L124" s="34"/>
      <c r="M124" s="35"/>
      <c r="N124" s="35"/>
      <c r="O124" s="35">
        <v>-1</v>
      </c>
      <c r="P124" s="34"/>
      <c r="Q124" s="36"/>
      <c r="R124" s="37"/>
    </row>
    <row r="125" spans="1:24" s="1" customFormat="1" ht="108" x14ac:dyDescent="0.25">
      <c r="B125" s="35">
        <f>ROW()-ROW(Лист1!$B$5)</f>
        <v>120</v>
      </c>
      <c r="C125" s="30" t="s">
        <v>737</v>
      </c>
      <c r="D125" s="31"/>
      <c r="E125" s="32" t="s">
        <v>112</v>
      </c>
      <c r="F125" s="33" t="s">
        <v>113</v>
      </c>
      <c r="G125" s="37">
        <v>4063000</v>
      </c>
      <c r="H125" s="35" t="s">
        <v>745</v>
      </c>
      <c r="I125" s="726" t="s">
        <v>767</v>
      </c>
      <c r="J125" s="42" t="s">
        <v>773</v>
      </c>
      <c r="K125" s="34" t="s">
        <v>605</v>
      </c>
      <c r="L125" s="72"/>
      <c r="M125" s="35"/>
      <c r="N125" s="35"/>
      <c r="O125" s="35">
        <v>0</v>
      </c>
      <c r="P125" s="72"/>
      <c r="Q125" s="35"/>
      <c r="R125" s="35"/>
    </row>
    <row r="126" spans="1:24" s="1" customFormat="1" ht="60" x14ac:dyDescent="0.25">
      <c r="A126" s="23"/>
      <c r="B126" s="35">
        <f>ROW()-ROW(Лист1!$B$5)</f>
        <v>121</v>
      </c>
      <c r="C126" s="30" t="s">
        <v>786</v>
      </c>
      <c r="D126" s="31"/>
      <c r="E126" s="32" t="s">
        <v>787</v>
      </c>
      <c r="F126" s="33" t="s">
        <v>18</v>
      </c>
      <c r="G126" s="37">
        <v>3981048</v>
      </c>
      <c r="H126" s="35"/>
      <c r="I126" s="726"/>
      <c r="J126" s="42" t="s">
        <v>1142</v>
      </c>
      <c r="K126" s="34" t="s">
        <v>606</v>
      </c>
      <c r="L126" s="72"/>
      <c r="M126" s="35"/>
      <c r="N126" s="35"/>
      <c r="O126" s="35">
        <v>0</v>
      </c>
      <c r="P126" s="72"/>
      <c r="Q126" s="35"/>
      <c r="R126" s="35"/>
    </row>
    <row r="127" spans="1:24" s="1" customFormat="1" ht="48" x14ac:dyDescent="0.25">
      <c r="B127" s="50">
        <f>ROW()-ROW(Лист1!$B$5)</f>
        <v>122</v>
      </c>
      <c r="C127" s="133" t="s">
        <v>662</v>
      </c>
      <c r="D127" s="120"/>
      <c r="E127" s="121" t="s">
        <v>663</v>
      </c>
      <c r="F127" s="122" t="s">
        <v>664</v>
      </c>
      <c r="G127" s="123">
        <v>3673006</v>
      </c>
      <c r="H127" s="50"/>
      <c r="I127" s="726"/>
      <c r="J127" s="647" t="s">
        <v>734</v>
      </c>
      <c r="K127" s="69" t="s">
        <v>602</v>
      </c>
      <c r="L127" s="69"/>
      <c r="M127" s="69"/>
      <c r="N127" s="69"/>
      <c r="O127" s="50">
        <v>0</v>
      </c>
      <c r="P127" s="124"/>
      <c r="Q127" s="125"/>
      <c r="R127" s="123"/>
      <c r="S127" s="219"/>
    </row>
    <row r="128" spans="1:24" s="1" customFormat="1" ht="36" x14ac:dyDescent="0.25">
      <c r="B128" s="35">
        <f>ROW()-ROW(Лист1!$B$5)</f>
        <v>123</v>
      </c>
      <c r="C128" s="107" t="s">
        <v>731</v>
      </c>
      <c r="D128" s="31"/>
      <c r="E128" s="32" t="s">
        <v>732</v>
      </c>
      <c r="F128" s="33" t="s">
        <v>733</v>
      </c>
      <c r="G128" s="37">
        <v>192000000</v>
      </c>
      <c r="H128" s="42" t="s">
        <v>378</v>
      </c>
      <c r="I128" s="692" t="s">
        <v>1811</v>
      </c>
      <c r="J128" s="42" t="s">
        <v>1333</v>
      </c>
      <c r="K128" s="42" t="str">
        <f>[203]!ТКП_Тематика</f>
        <v>BRFJ</v>
      </c>
      <c r="L128" s="72"/>
      <c r="M128" s="35"/>
      <c r="N128" s="35"/>
      <c r="O128" s="558">
        <f>[203]!Результат_число</f>
        <v>0</v>
      </c>
      <c r="P128" s="72"/>
      <c r="Q128" s="35"/>
      <c r="R128" s="35"/>
    </row>
    <row r="129" spans="1:19" s="1" customFormat="1" ht="120" x14ac:dyDescent="0.25">
      <c r="B129" s="35">
        <f>ROW()-ROW(Лист1!$B$5)</f>
        <v>124</v>
      </c>
      <c r="C129" s="30" t="s">
        <v>793</v>
      </c>
      <c r="D129" s="31"/>
      <c r="E129" s="32" t="s">
        <v>71</v>
      </c>
      <c r="F129" s="33" t="s">
        <v>794</v>
      </c>
      <c r="G129" s="37">
        <v>6000000</v>
      </c>
      <c r="H129" s="35" t="s">
        <v>423</v>
      </c>
      <c r="I129" s="736"/>
      <c r="J129" s="42" t="s">
        <v>814</v>
      </c>
      <c r="K129" s="34" t="s">
        <v>605</v>
      </c>
      <c r="L129" s="72"/>
      <c r="M129" s="35"/>
      <c r="N129" s="35"/>
      <c r="O129" s="35">
        <v>0</v>
      </c>
      <c r="P129" s="72"/>
      <c r="Q129" s="35"/>
      <c r="R129" s="35"/>
    </row>
    <row r="130" spans="1:19" s="1" customFormat="1" ht="48" x14ac:dyDescent="0.25">
      <c r="B130" s="35">
        <f>ROW()-ROW(Лист1!$B$5)</f>
        <v>125</v>
      </c>
      <c r="C130" s="30" t="s">
        <v>844</v>
      </c>
      <c r="D130" s="35"/>
      <c r="E130" s="42" t="s">
        <v>845</v>
      </c>
      <c r="F130" s="33" t="s">
        <v>846</v>
      </c>
      <c r="G130" s="38">
        <v>5421135</v>
      </c>
      <c r="H130" s="35"/>
      <c r="I130" s="726"/>
      <c r="J130" s="42" t="s">
        <v>772</v>
      </c>
      <c r="K130" s="34" t="s">
        <v>606</v>
      </c>
      <c r="L130" s="35"/>
      <c r="M130" s="35"/>
      <c r="N130" s="35"/>
      <c r="O130" s="35">
        <v>0</v>
      </c>
      <c r="P130" s="35"/>
      <c r="Q130" s="35"/>
      <c r="R130" s="34"/>
    </row>
    <row r="131" spans="1:19" s="1" customFormat="1" ht="60" x14ac:dyDescent="0.25">
      <c r="B131" s="105">
        <f>ROW()-ROW(Лист1!$B$5)</f>
        <v>126</v>
      </c>
      <c r="C131" s="30" t="s">
        <v>695</v>
      </c>
      <c r="D131" s="39"/>
      <c r="E131" s="42" t="s">
        <v>502</v>
      </c>
      <c r="F131" s="40" t="s">
        <v>27</v>
      </c>
      <c r="G131" s="38">
        <v>5396228</v>
      </c>
      <c r="H131" s="35" t="s">
        <v>380</v>
      </c>
      <c r="I131" s="726" t="s">
        <v>696</v>
      </c>
      <c r="J131" s="42" t="s">
        <v>581</v>
      </c>
      <c r="K131" s="60" t="s">
        <v>607</v>
      </c>
      <c r="L131" s="34"/>
      <c r="M131" s="35"/>
      <c r="N131" s="35"/>
      <c r="O131" s="35">
        <v>0</v>
      </c>
      <c r="P131" s="34"/>
      <c r="Q131" s="36"/>
      <c r="R131" s="37"/>
    </row>
    <row r="132" spans="1:19" s="1" customFormat="1" ht="66" x14ac:dyDescent="0.25">
      <c r="B132" s="105">
        <f>ROW()-ROW(Лист1!$B$5)</f>
        <v>127</v>
      </c>
      <c r="C132" s="86" t="s">
        <v>37</v>
      </c>
      <c r="D132" s="150">
        <v>2612</v>
      </c>
      <c r="E132" s="47" t="s">
        <v>25</v>
      </c>
      <c r="F132" s="47" t="s">
        <v>9</v>
      </c>
      <c r="G132" s="151">
        <v>5160765</v>
      </c>
      <c r="H132" s="47" t="s">
        <v>88</v>
      </c>
      <c r="I132" s="737"/>
      <c r="J132" s="648" t="s">
        <v>93</v>
      </c>
      <c r="K132" s="173" t="s">
        <v>603</v>
      </c>
      <c r="L132" s="64" t="s">
        <v>12</v>
      </c>
      <c r="M132" s="47"/>
      <c r="N132" s="47"/>
      <c r="O132" s="47">
        <v>0</v>
      </c>
      <c r="P132" s="47"/>
      <c r="Q132" s="47"/>
      <c r="R132" s="152">
        <v>4128612</v>
      </c>
    </row>
    <row r="133" spans="1:19" s="1" customFormat="1" ht="60" x14ac:dyDescent="0.25">
      <c r="B133" s="35">
        <f>ROW()-ROW(Лист1!$B$5)</f>
        <v>128</v>
      </c>
      <c r="C133" s="30" t="s">
        <v>478</v>
      </c>
      <c r="D133" s="31"/>
      <c r="E133" s="32" t="s">
        <v>74</v>
      </c>
      <c r="F133" s="33" t="s">
        <v>79</v>
      </c>
      <c r="G133" s="38">
        <v>5097535</v>
      </c>
      <c r="H133" s="33"/>
      <c r="I133" s="726"/>
      <c r="J133" s="42" t="s">
        <v>479</v>
      </c>
      <c r="K133" s="60" t="s">
        <v>603</v>
      </c>
      <c r="L133" s="34"/>
      <c r="M133" s="35"/>
      <c r="N133" s="35"/>
      <c r="O133" s="35">
        <v>0</v>
      </c>
      <c r="P133" s="34"/>
      <c r="Q133" s="36"/>
      <c r="R133" s="37"/>
    </row>
    <row r="134" spans="1:19" s="1" customFormat="1" ht="72" x14ac:dyDescent="0.25">
      <c r="B134" s="35">
        <f>ROW()-ROW(Лист1!$B$5)</f>
        <v>129</v>
      </c>
      <c r="C134" s="30" t="s">
        <v>449</v>
      </c>
      <c r="D134" s="31"/>
      <c r="E134" s="32" t="s">
        <v>68</v>
      </c>
      <c r="F134" s="33" t="s">
        <v>450</v>
      </c>
      <c r="G134" s="38">
        <v>5040141</v>
      </c>
      <c r="H134" s="33" t="s">
        <v>423</v>
      </c>
      <c r="I134" s="726"/>
      <c r="J134" s="42" t="s">
        <v>451</v>
      </c>
      <c r="K134" s="60" t="s">
        <v>601</v>
      </c>
      <c r="L134" s="34"/>
      <c r="M134" s="35"/>
      <c r="N134" s="35"/>
      <c r="O134" s="35">
        <v>0</v>
      </c>
      <c r="P134" s="34"/>
      <c r="Q134" s="36"/>
      <c r="R134" s="37"/>
    </row>
    <row r="135" spans="1:19" s="1" customFormat="1" ht="72" x14ac:dyDescent="0.25">
      <c r="B135" s="35">
        <v>319</v>
      </c>
      <c r="C135" s="30" t="s">
        <v>485</v>
      </c>
      <c r="D135" s="31"/>
      <c r="E135" s="32" t="s">
        <v>486</v>
      </c>
      <c r="F135" s="33" t="s">
        <v>487</v>
      </c>
      <c r="G135" s="38">
        <v>8000000</v>
      </c>
      <c r="H135" s="33" t="s">
        <v>92</v>
      </c>
      <c r="I135" s="734">
        <v>44698</v>
      </c>
      <c r="J135" s="42" t="s">
        <v>586</v>
      </c>
      <c r="K135" s="60" t="s">
        <v>606</v>
      </c>
      <c r="L135" s="34"/>
      <c r="M135" s="35"/>
      <c r="N135" s="35"/>
      <c r="O135" s="35">
        <v>2</v>
      </c>
      <c r="P135" s="34"/>
      <c r="Q135" s="36"/>
      <c r="R135" s="37"/>
    </row>
    <row r="136" spans="1:19" s="1" customFormat="1" ht="24" x14ac:dyDescent="0.25">
      <c r="B136" s="45">
        <v>338</v>
      </c>
      <c r="C136" s="30" t="s">
        <v>529</v>
      </c>
      <c r="D136" s="45"/>
      <c r="E136" s="154" t="s">
        <v>194</v>
      </c>
      <c r="F136" s="73" t="s">
        <v>62</v>
      </c>
      <c r="G136" s="138">
        <v>7719835</v>
      </c>
      <c r="H136" s="45"/>
      <c r="I136" s="51"/>
      <c r="J136" s="154" t="s">
        <v>530</v>
      </c>
      <c r="K136" s="79" t="s">
        <v>603</v>
      </c>
      <c r="L136" s="155"/>
      <c r="M136" s="45"/>
      <c r="N136" s="45"/>
      <c r="O136" s="45">
        <v>0</v>
      </c>
      <c r="P136" s="45"/>
      <c r="Q136" s="45"/>
      <c r="R136" s="45"/>
    </row>
    <row r="137" spans="1:19" s="1" customFormat="1" ht="48" x14ac:dyDescent="0.25">
      <c r="B137" s="35">
        <f>ROW()-ROW(Лист1!$B$5)</f>
        <v>132</v>
      </c>
      <c r="C137" s="133" t="s">
        <v>783</v>
      </c>
      <c r="D137" s="31"/>
      <c r="E137" s="32" t="s">
        <v>784</v>
      </c>
      <c r="F137" s="33" t="s">
        <v>785</v>
      </c>
      <c r="G137" s="37">
        <v>7421806</v>
      </c>
      <c r="H137" s="35" t="s">
        <v>423</v>
      </c>
      <c r="I137" s="726"/>
      <c r="J137" s="42" t="s">
        <v>1300</v>
      </c>
      <c r="K137" s="34" t="s">
        <v>603</v>
      </c>
      <c r="L137" s="72"/>
      <c r="M137" s="35"/>
      <c r="N137" s="35"/>
      <c r="O137" s="35">
        <v>0</v>
      </c>
      <c r="P137" s="72"/>
      <c r="Q137" s="35"/>
      <c r="R137" s="35"/>
      <c r="S137" s="98"/>
    </row>
    <row r="138" spans="1:19" s="1" customFormat="1" ht="60" x14ac:dyDescent="0.25">
      <c r="B138" s="35">
        <f>ROW()-ROW(Лист1!$B$5)</f>
        <v>133</v>
      </c>
      <c r="C138" s="30" t="s">
        <v>476</v>
      </c>
      <c r="D138" s="31"/>
      <c r="E138" s="32" t="s">
        <v>74</v>
      </c>
      <c r="F138" s="33" t="s">
        <v>474</v>
      </c>
      <c r="G138" s="38">
        <v>7293567</v>
      </c>
      <c r="H138" s="33"/>
      <c r="I138" s="726"/>
      <c r="J138" s="42" t="s">
        <v>477</v>
      </c>
      <c r="K138" s="60" t="s">
        <v>603</v>
      </c>
      <c r="L138" s="34"/>
      <c r="M138" s="35"/>
      <c r="N138" s="35"/>
      <c r="O138" s="35">
        <v>0</v>
      </c>
      <c r="P138" s="34"/>
      <c r="Q138" s="36"/>
      <c r="R138" s="37"/>
    </row>
    <row r="139" spans="1:19" s="1" customFormat="1" ht="84" x14ac:dyDescent="0.25">
      <c r="B139" s="35">
        <f>ROW()-ROW(Лист1!$B$5)</f>
        <v>134</v>
      </c>
      <c r="C139" s="30" t="s">
        <v>740</v>
      </c>
      <c r="D139" s="31"/>
      <c r="E139" s="32" t="s">
        <v>71</v>
      </c>
      <c r="F139" s="33" t="s">
        <v>353</v>
      </c>
      <c r="G139" s="37">
        <v>7125886</v>
      </c>
      <c r="H139" s="35"/>
      <c r="I139" s="726"/>
      <c r="J139" s="42" t="s">
        <v>741</v>
      </c>
      <c r="K139" s="34" t="s">
        <v>601</v>
      </c>
      <c r="L139" s="72"/>
      <c r="M139" s="35"/>
      <c r="N139" s="35"/>
      <c r="O139" s="35">
        <v>0</v>
      </c>
      <c r="P139" s="72"/>
      <c r="Q139" s="35"/>
      <c r="R139" s="35"/>
    </row>
    <row r="140" spans="1:19" s="1" customFormat="1" ht="84" x14ac:dyDescent="0.25">
      <c r="A140" s="23"/>
      <c r="B140" s="35">
        <f>ROW()-ROW(Лист1!$B$5)</f>
        <v>135</v>
      </c>
      <c r="C140" s="30" t="s">
        <v>740</v>
      </c>
      <c r="D140" s="31"/>
      <c r="E140" s="32" t="s">
        <v>71</v>
      </c>
      <c r="F140" s="33" t="s">
        <v>353</v>
      </c>
      <c r="G140" s="37">
        <v>7125886</v>
      </c>
      <c r="H140" s="35" t="s">
        <v>423</v>
      </c>
      <c r="I140" s="726"/>
      <c r="J140" s="42" t="s">
        <v>741</v>
      </c>
      <c r="K140" s="34" t="s">
        <v>601</v>
      </c>
      <c r="L140" s="72"/>
      <c r="M140" s="35"/>
      <c r="N140" s="35"/>
      <c r="O140" s="35">
        <v>0</v>
      </c>
      <c r="P140" s="72"/>
      <c r="Q140" s="35"/>
      <c r="R140" s="35"/>
    </row>
    <row r="141" spans="1:19" s="1" customFormat="1" ht="252" x14ac:dyDescent="0.25">
      <c r="A141" s="2"/>
      <c r="B141" s="35">
        <f>ROW()-ROW(Лист1!$B$5)</f>
        <v>136</v>
      </c>
      <c r="C141" s="30" t="s">
        <v>494</v>
      </c>
      <c r="D141" s="31"/>
      <c r="E141" s="32" t="s">
        <v>495</v>
      </c>
      <c r="F141" s="33" t="s">
        <v>18</v>
      </c>
      <c r="G141" s="38">
        <v>50000000</v>
      </c>
      <c r="H141" s="33" t="s">
        <v>423</v>
      </c>
      <c r="I141" s="545" t="s">
        <v>657</v>
      </c>
      <c r="J141" s="42" t="s">
        <v>704</v>
      </c>
      <c r="K141" s="34" t="s">
        <v>602</v>
      </c>
      <c r="L141" s="34"/>
      <c r="M141" s="35">
        <v>1</v>
      </c>
      <c r="N141" s="35"/>
      <c r="O141" s="35">
        <v>-1</v>
      </c>
      <c r="P141" s="34"/>
      <c r="Q141" s="36"/>
      <c r="R141" s="37"/>
    </row>
    <row r="142" spans="1:19" s="1" customFormat="1" ht="72" x14ac:dyDescent="0.25">
      <c r="B142" s="35">
        <f>ROW()-ROW(Лист1!$B$5)</f>
        <v>137</v>
      </c>
      <c r="C142" s="30" t="s">
        <v>540</v>
      </c>
      <c r="D142" s="35"/>
      <c r="E142" s="42" t="s">
        <v>541</v>
      </c>
      <c r="F142" s="33" t="s">
        <v>542</v>
      </c>
      <c r="G142" s="38">
        <v>50000000</v>
      </c>
      <c r="H142" s="35" t="s">
        <v>39</v>
      </c>
      <c r="I142" s="295" t="s">
        <v>632</v>
      </c>
      <c r="J142" s="42" t="s">
        <v>640</v>
      </c>
      <c r="K142" s="59" t="s">
        <v>602</v>
      </c>
      <c r="L142" s="43"/>
      <c r="M142" s="35"/>
      <c r="N142" s="35"/>
      <c r="O142" s="35">
        <v>2</v>
      </c>
      <c r="P142" s="35"/>
      <c r="Q142" s="35"/>
      <c r="R142" s="35"/>
    </row>
    <row r="143" spans="1:19" s="1" customFormat="1" ht="135" x14ac:dyDescent="0.25">
      <c r="B143" s="35">
        <f>ROW()-ROW(Лист1!$B$5)</f>
        <v>138</v>
      </c>
      <c r="C143" s="30" t="s">
        <v>666</v>
      </c>
      <c r="D143" s="31"/>
      <c r="E143" s="32" t="s">
        <v>667</v>
      </c>
      <c r="F143" s="33" t="s">
        <v>668</v>
      </c>
      <c r="G143" s="37">
        <v>49662528</v>
      </c>
      <c r="H143" s="35" t="s">
        <v>380</v>
      </c>
      <c r="I143" s="295" t="s">
        <v>751</v>
      </c>
      <c r="J143" s="42" t="s">
        <v>713</v>
      </c>
      <c r="K143" s="34" t="s">
        <v>602</v>
      </c>
      <c r="L143" s="34"/>
      <c r="M143" s="34"/>
      <c r="N143" s="34"/>
      <c r="O143" s="35">
        <v>-1</v>
      </c>
      <c r="P143" s="65"/>
      <c r="Q143" s="36"/>
      <c r="R143" s="37"/>
    </row>
    <row r="144" spans="1:19" s="1" customFormat="1" ht="60" x14ac:dyDescent="0.25">
      <c r="B144" s="35">
        <f>ROW()-ROW(Лист1!$B$5)</f>
        <v>139</v>
      </c>
      <c r="C144" s="30" t="s">
        <v>701</v>
      </c>
      <c r="D144" s="31"/>
      <c r="E144" s="32" t="s">
        <v>702</v>
      </c>
      <c r="F144" s="33" t="s">
        <v>703</v>
      </c>
      <c r="G144" s="37">
        <v>48500000</v>
      </c>
      <c r="H144" s="35" t="s">
        <v>380</v>
      </c>
      <c r="I144" s="295"/>
      <c r="J144" s="42" t="s">
        <v>724</v>
      </c>
      <c r="K144" s="34" t="s">
        <v>601</v>
      </c>
      <c r="L144" s="72"/>
      <c r="M144" s="35"/>
      <c r="N144" s="35"/>
      <c r="O144" s="35">
        <v>0</v>
      </c>
      <c r="P144" s="72"/>
      <c r="Q144" s="35"/>
      <c r="R144" s="35"/>
      <c r="S144" s="219"/>
    </row>
    <row r="145" spans="2:24" s="1" customFormat="1" ht="240" x14ac:dyDescent="0.25">
      <c r="B145" s="9">
        <f>ROW()-ROW(Лист1!$B$5)</f>
        <v>140</v>
      </c>
      <c r="C145" s="30" t="s">
        <v>680</v>
      </c>
      <c r="D145" s="31"/>
      <c r="E145" s="32" t="s">
        <v>681</v>
      </c>
      <c r="F145" s="33" t="s">
        <v>682</v>
      </c>
      <c r="G145" s="37">
        <v>45000000</v>
      </c>
      <c r="H145" s="35" t="s">
        <v>423</v>
      </c>
      <c r="I145" s="295" t="s">
        <v>873</v>
      </c>
      <c r="J145" s="42" t="s">
        <v>866</v>
      </c>
      <c r="K145" s="34" t="s">
        <v>602</v>
      </c>
      <c r="L145" s="34"/>
      <c r="M145" s="34"/>
      <c r="N145" s="34"/>
      <c r="O145" s="35">
        <v>-1</v>
      </c>
      <c r="P145" s="65"/>
      <c r="Q145" s="36"/>
      <c r="R145" s="37"/>
    </row>
    <row r="146" spans="2:24" s="1" customFormat="1" ht="60" x14ac:dyDescent="0.25">
      <c r="B146" s="8">
        <f>ROW()-ROW(Лист1!$B$5)</f>
        <v>141</v>
      </c>
      <c r="C146" s="133" t="s">
        <v>700</v>
      </c>
      <c r="D146" s="127">
        <v>2946</v>
      </c>
      <c r="E146" s="128" t="s">
        <v>892</v>
      </c>
      <c r="F146" s="73" t="s">
        <v>47</v>
      </c>
      <c r="G146" s="129">
        <v>40000000</v>
      </c>
      <c r="H146" s="45" t="s">
        <v>423</v>
      </c>
      <c r="I146" s="295" t="s">
        <v>891</v>
      </c>
      <c r="J146" s="154" t="s">
        <v>1327</v>
      </c>
      <c r="K146" s="67" t="s">
        <v>602</v>
      </c>
      <c r="L146" s="168"/>
      <c r="M146" s="45"/>
      <c r="N146" s="45"/>
      <c r="O146" s="45">
        <v>0</v>
      </c>
      <c r="P146" s="168"/>
      <c r="Q146" s="45"/>
      <c r="R146" s="45"/>
      <c r="S146" s="227"/>
      <c r="T146" s="12"/>
      <c r="U146" s="12"/>
      <c r="V146" s="12"/>
      <c r="W146" s="12"/>
      <c r="X146" s="12"/>
    </row>
    <row r="147" spans="2:24" s="1" customFormat="1" ht="96" x14ac:dyDescent="0.25">
      <c r="B147" s="35">
        <f>ROW()-ROW(Лист1!$B$5)</f>
        <v>142</v>
      </c>
      <c r="C147" s="133" t="s">
        <v>836</v>
      </c>
      <c r="D147" s="35"/>
      <c r="E147" s="42" t="s">
        <v>837</v>
      </c>
      <c r="F147" s="33" t="s">
        <v>5</v>
      </c>
      <c r="G147" s="38">
        <v>7073565</v>
      </c>
      <c r="H147" s="35" t="s">
        <v>380</v>
      </c>
      <c r="I147" s="726" t="s">
        <v>911</v>
      </c>
      <c r="J147" s="42" t="s">
        <v>898</v>
      </c>
      <c r="K147" s="34" t="s">
        <v>606</v>
      </c>
      <c r="L147" s="35"/>
      <c r="M147" s="35"/>
      <c r="N147" s="35"/>
      <c r="O147" s="35">
        <v>0</v>
      </c>
      <c r="P147" s="35"/>
      <c r="Q147" s="35"/>
      <c r="R147" s="34"/>
    </row>
    <row r="148" spans="2:24" s="1" customFormat="1" ht="36" x14ac:dyDescent="0.25">
      <c r="B148" s="35">
        <f>ROW()-ROW(Лист1!$B$5)</f>
        <v>143</v>
      </c>
      <c r="C148" s="30" t="s">
        <v>838</v>
      </c>
      <c r="D148" s="35"/>
      <c r="E148" s="42" t="s">
        <v>839</v>
      </c>
      <c r="F148" s="33" t="s">
        <v>78</v>
      </c>
      <c r="G148" s="38">
        <v>26444714</v>
      </c>
      <c r="H148" s="35"/>
      <c r="I148" s="726" t="s">
        <v>843</v>
      </c>
      <c r="J148" s="42" t="s">
        <v>1150</v>
      </c>
      <c r="K148" s="34" t="s">
        <v>602</v>
      </c>
      <c r="L148" s="35"/>
      <c r="M148" s="35"/>
      <c r="N148" s="35"/>
      <c r="O148" s="35">
        <v>0</v>
      </c>
      <c r="P148" s="35"/>
      <c r="Q148" s="35"/>
      <c r="R148" s="34"/>
    </row>
    <row r="149" spans="2:24" s="1" customFormat="1" ht="48" x14ac:dyDescent="0.25">
      <c r="B149" s="35">
        <f>ROW()-ROW(Лист1!$B$5)</f>
        <v>144</v>
      </c>
      <c r="C149" s="30" t="s">
        <v>742</v>
      </c>
      <c r="D149" s="31"/>
      <c r="E149" s="32" t="s">
        <v>71</v>
      </c>
      <c r="F149" s="33" t="s">
        <v>743</v>
      </c>
      <c r="G149" s="37">
        <v>6804081</v>
      </c>
      <c r="H149" s="35"/>
      <c r="I149" s="726"/>
      <c r="J149" s="42" t="s">
        <v>747</v>
      </c>
      <c r="K149" s="34" t="s">
        <v>601</v>
      </c>
      <c r="L149" s="72"/>
      <c r="M149" s="35"/>
      <c r="N149" s="35"/>
      <c r="O149" s="35">
        <v>0</v>
      </c>
      <c r="P149" s="72"/>
      <c r="Q149" s="35"/>
      <c r="R149" s="35"/>
    </row>
    <row r="150" spans="2:24" s="1" customFormat="1" ht="36" x14ac:dyDescent="0.25">
      <c r="B150" s="35">
        <f>ROW()-ROW(Лист1!$B$5)</f>
        <v>145</v>
      </c>
      <c r="C150" s="30" t="s">
        <v>742</v>
      </c>
      <c r="D150" s="31"/>
      <c r="E150" s="32" t="s">
        <v>71</v>
      </c>
      <c r="F150" s="33" t="s">
        <v>743</v>
      </c>
      <c r="G150" s="37">
        <v>6804081</v>
      </c>
      <c r="H150" s="35" t="s">
        <v>423</v>
      </c>
      <c r="I150" s="726"/>
      <c r="J150" s="42" t="s">
        <v>744</v>
      </c>
      <c r="K150" s="34" t="s">
        <v>601</v>
      </c>
      <c r="L150" s="72"/>
      <c r="M150" s="35"/>
      <c r="N150" s="35"/>
      <c r="O150" s="35">
        <v>0</v>
      </c>
      <c r="P150" s="72"/>
      <c r="Q150" s="35"/>
      <c r="R150" s="35"/>
    </row>
    <row r="151" spans="2:24" s="1" customFormat="1" ht="48" x14ac:dyDescent="0.25">
      <c r="B151" s="35">
        <f>ROW()-ROW(Лист1!$B$5)</f>
        <v>146</v>
      </c>
      <c r="C151" s="30" t="s">
        <v>505</v>
      </c>
      <c r="D151" s="31"/>
      <c r="E151" s="32" t="s">
        <v>594</v>
      </c>
      <c r="F151" s="33" t="s">
        <v>506</v>
      </c>
      <c r="G151" s="38">
        <v>6000000</v>
      </c>
      <c r="H151" s="33" t="s">
        <v>520</v>
      </c>
      <c r="I151" s="726"/>
      <c r="J151" s="42" t="s">
        <v>589</v>
      </c>
      <c r="K151" s="60" t="s">
        <v>601</v>
      </c>
      <c r="L151" s="34"/>
      <c r="M151" s="35"/>
      <c r="N151" s="35"/>
      <c r="O151" s="51">
        <v>0</v>
      </c>
      <c r="P151" s="153" t="s">
        <v>21</v>
      </c>
      <c r="Q151" s="36"/>
      <c r="R151" s="37"/>
    </row>
    <row r="152" spans="2:24" s="1" customFormat="1" ht="72" x14ac:dyDescent="0.25">
      <c r="B152" s="9">
        <f>ROW()-ROW(Лист1!$B$5)</f>
        <v>147</v>
      </c>
      <c r="C152" s="30" t="s">
        <v>644</v>
      </c>
      <c r="D152" s="31"/>
      <c r="E152" s="32" t="s">
        <v>645</v>
      </c>
      <c r="F152" s="33" t="s">
        <v>646</v>
      </c>
      <c r="G152" s="37">
        <v>10333632</v>
      </c>
      <c r="H152" s="35"/>
      <c r="I152" s="726"/>
      <c r="J152" s="42" t="s">
        <v>653</v>
      </c>
      <c r="K152" s="34" t="s">
        <v>601</v>
      </c>
      <c r="L152" s="34"/>
      <c r="M152" s="34"/>
      <c r="N152" s="34"/>
      <c r="O152" s="35">
        <v>0</v>
      </c>
      <c r="P152" s="65"/>
      <c r="Q152" s="36"/>
      <c r="R152" s="37"/>
    </row>
    <row r="153" spans="2:24" s="1" customFormat="1" ht="48" x14ac:dyDescent="0.25">
      <c r="B153" s="9">
        <f>ROW()-ROW(Лист1!$B$5)</f>
        <v>148</v>
      </c>
      <c r="C153" s="30" t="s">
        <v>853</v>
      </c>
      <c r="D153" s="35"/>
      <c r="E153" s="42" t="s">
        <v>56</v>
      </c>
      <c r="F153" s="33" t="s">
        <v>854</v>
      </c>
      <c r="G153" s="38">
        <v>9000000</v>
      </c>
      <c r="H153" s="35" t="s">
        <v>423</v>
      </c>
      <c r="I153" s="726" t="s">
        <v>874</v>
      </c>
      <c r="J153" s="42" t="s">
        <v>1066</v>
      </c>
      <c r="K153" s="34" t="s">
        <v>598</v>
      </c>
      <c r="L153" s="35"/>
      <c r="M153" s="35"/>
      <c r="N153" s="35"/>
      <c r="O153" s="35">
        <v>0</v>
      </c>
      <c r="P153" s="35"/>
      <c r="Q153" s="35"/>
      <c r="R153" s="34"/>
    </row>
    <row r="154" spans="2:24" s="1" customFormat="1" ht="36" x14ac:dyDescent="0.25">
      <c r="B154" s="9">
        <f>ROW()-ROW(Лист1!$B$5)</f>
        <v>149</v>
      </c>
      <c r="C154" s="133" t="s">
        <v>468</v>
      </c>
      <c r="D154" s="31"/>
      <c r="E154" s="32" t="s">
        <v>469</v>
      </c>
      <c r="F154" s="33" t="s">
        <v>470</v>
      </c>
      <c r="G154" s="38">
        <v>12432922</v>
      </c>
      <c r="H154" s="33"/>
      <c r="I154" s="295"/>
      <c r="J154" s="42" t="s">
        <v>471</v>
      </c>
      <c r="K154" s="60"/>
      <c r="L154" s="34"/>
      <c r="M154" s="35">
        <v>1</v>
      </c>
      <c r="N154" s="35"/>
      <c r="O154" s="35">
        <v>0</v>
      </c>
      <c r="P154" s="34"/>
      <c r="Q154" s="36"/>
      <c r="R154" s="37"/>
    </row>
    <row r="155" spans="2:24" s="1" customFormat="1" ht="60" x14ac:dyDescent="0.25">
      <c r="B155" s="9">
        <f>ROW()-ROW(Лист1!$B$5)</f>
        <v>150</v>
      </c>
      <c r="C155" s="30" t="s">
        <v>764</v>
      </c>
      <c r="D155" s="31"/>
      <c r="E155" s="32" t="s">
        <v>194</v>
      </c>
      <c r="F155" s="33" t="s">
        <v>765</v>
      </c>
      <c r="G155" s="37">
        <v>12090984</v>
      </c>
      <c r="H155" s="35" t="s">
        <v>88</v>
      </c>
      <c r="I155" s="544" t="s">
        <v>766</v>
      </c>
      <c r="J155" s="42" t="s">
        <v>1042</v>
      </c>
      <c r="K155" s="34" t="s">
        <v>603</v>
      </c>
      <c r="L155" s="72"/>
      <c r="M155" s="35"/>
      <c r="N155" s="35"/>
      <c r="O155" s="35">
        <v>0</v>
      </c>
      <c r="P155" s="72"/>
      <c r="Q155" s="35"/>
      <c r="R155" s="35"/>
    </row>
    <row r="156" spans="2:24" s="1" customFormat="1" ht="36" x14ac:dyDescent="0.25">
      <c r="B156" s="9">
        <f>ROW()-ROW(Лист1!$B$5)</f>
        <v>151</v>
      </c>
      <c r="C156" s="30" t="s">
        <v>618</v>
      </c>
      <c r="D156" s="35"/>
      <c r="E156" s="42" t="s">
        <v>642</v>
      </c>
      <c r="F156" s="33" t="s">
        <v>619</v>
      </c>
      <c r="G156" s="37">
        <v>20000000</v>
      </c>
      <c r="H156" s="35" t="s">
        <v>378</v>
      </c>
      <c r="I156" s="295" t="s">
        <v>628</v>
      </c>
      <c r="J156" s="33" t="s">
        <v>687</v>
      </c>
      <c r="K156" s="34" t="s">
        <v>602</v>
      </c>
      <c r="L156" s="35"/>
      <c r="M156" s="35">
        <v>0</v>
      </c>
      <c r="N156" s="35"/>
      <c r="O156" s="35">
        <v>-1</v>
      </c>
      <c r="P156" s="72"/>
      <c r="Q156" s="35"/>
      <c r="R156" s="35"/>
      <c r="S156" s="22"/>
      <c r="T156" s="22"/>
      <c r="U156" s="22"/>
    </row>
    <row r="157" spans="2:24" s="1" customFormat="1" ht="60" x14ac:dyDescent="0.25">
      <c r="B157" s="9">
        <v>297</v>
      </c>
      <c r="C157" s="30" t="s">
        <v>698</v>
      </c>
      <c r="D157" s="39"/>
      <c r="E157" s="42" t="s">
        <v>502</v>
      </c>
      <c r="F157" s="40" t="s">
        <v>27</v>
      </c>
      <c r="G157" s="38">
        <v>20000000</v>
      </c>
      <c r="H157" s="35" t="s">
        <v>380</v>
      </c>
      <c r="I157" s="295" t="s">
        <v>699</v>
      </c>
      <c r="J157" s="42" t="s">
        <v>581</v>
      </c>
      <c r="K157" s="60" t="s">
        <v>607</v>
      </c>
      <c r="L157" s="34"/>
      <c r="M157" s="35"/>
      <c r="N157" s="35"/>
      <c r="O157" s="35">
        <v>0</v>
      </c>
      <c r="P157" s="34"/>
      <c r="Q157" s="36"/>
      <c r="R157" s="37"/>
    </row>
    <row r="158" spans="2:24" s="1" customFormat="1" ht="30" x14ac:dyDescent="0.25">
      <c r="B158" s="9">
        <f>ROW()-ROW(Лист1!$B$5)</f>
        <v>153</v>
      </c>
      <c r="C158" s="133" t="s">
        <v>616</v>
      </c>
      <c r="D158" s="35"/>
      <c r="E158" s="42" t="s">
        <v>617</v>
      </c>
      <c r="F158" s="33" t="s">
        <v>205</v>
      </c>
      <c r="G158" s="37">
        <v>20000000</v>
      </c>
      <c r="H158" s="35" t="s">
        <v>630</v>
      </c>
      <c r="I158" s="295" t="s">
        <v>912</v>
      </c>
      <c r="J158" s="42" t="s">
        <v>964</v>
      </c>
      <c r="K158" s="34" t="s">
        <v>602</v>
      </c>
      <c r="L158" s="35"/>
      <c r="M158" s="35">
        <v>1</v>
      </c>
      <c r="N158" s="35"/>
      <c r="O158" s="35">
        <v>0</v>
      </c>
      <c r="P158" s="72"/>
      <c r="Q158" s="35"/>
      <c r="R158" s="35"/>
    </row>
    <row r="159" spans="2:24" s="1" customFormat="1" ht="60" x14ac:dyDescent="0.25">
      <c r="B159" s="9">
        <f>ROW()-ROW(Лист1!$B$5)</f>
        <v>154</v>
      </c>
      <c r="C159" s="30" t="s">
        <v>800</v>
      </c>
      <c r="D159" s="31"/>
      <c r="E159" s="32" t="s">
        <v>832</v>
      </c>
      <c r="F159" s="33" t="s">
        <v>27</v>
      </c>
      <c r="G159" s="37">
        <v>20000000</v>
      </c>
      <c r="H159" s="35" t="s">
        <v>380</v>
      </c>
      <c r="I159" s="295" t="s">
        <v>804</v>
      </c>
      <c r="J159" s="33" t="s">
        <v>887</v>
      </c>
      <c r="K159" s="34" t="s">
        <v>598</v>
      </c>
      <c r="L159" s="72"/>
      <c r="M159" s="35"/>
      <c r="N159" s="35"/>
      <c r="O159" s="35">
        <v>-1</v>
      </c>
      <c r="P159" s="72"/>
      <c r="Q159" s="35"/>
      <c r="R159" s="35"/>
    </row>
    <row r="160" spans="2:24" s="1" customFormat="1" ht="45" x14ac:dyDescent="0.25">
      <c r="B160" s="9">
        <f>ROW()-ROW(Лист1!$B$5)</f>
        <v>155</v>
      </c>
      <c r="C160" s="133" t="s">
        <v>841</v>
      </c>
      <c r="D160" s="35"/>
      <c r="E160" s="42" t="s">
        <v>842</v>
      </c>
      <c r="F160" s="33" t="s">
        <v>27</v>
      </c>
      <c r="G160" s="38">
        <v>20000000</v>
      </c>
      <c r="H160" s="35" t="s">
        <v>380</v>
      </c>
      <c r="I160" s="295" t="s">
        <v>910</v>
      </c>
      <c r="J160" s="33" t="s">
        <v>878</v>
      </c>
      <c r="K160" s="34" t="s">
        <v>827</v>
      </c>
      <c r="L160" s="35"/>
      <c r="M160" s="35"/>
      <c r="N160" s="35"/>
      <c r="O160" s="35">
        <v>-1</v>
      </c>
      <c r="P160" s="35"/>
      <c r="Q160" s="35"/>
      <c r="R160" s="34"/>
    </row>
    <row r="161" spans="1:24" s="1" customFormat="1" ht="96" x14ac:dyDescent="0.25">
      <c r="A161" s="2"/>
      <c r="B161" s="9">
        <f>ROW()-ROW(Лист1!$B$5)</f>
        <v>156</v>
      </c>
      <c r="C161" s="30" t="s">
        <v>799</v>
      </c>
      <c r="D161" s="31"/>
      <c r="E161" s="32" t="s">
        <v>790</v>
      </c>
      <c r="F161" s="33" t="s">
        <v>791</v>
      </c>
      <c r="G161" s="37">
        <v>15300000</v>
      </c>
      <c r="H161" s="35" t="s">
        <v>92</v>
      </c>
      <c r="I161" s="295" t="s">
        <v>805</v>
      </c>
      <c r="J161" s="33" t="s">
        <v>792</v>
      </c>
      <c r="K161" s="34" t="s">
        <v>602</v>
      </c>
      <c r="L161" s="72"/>
      <c r="M161" s="35"/>
      <c r="N161" s="35"/>
      <c r="O161" s="35">
        <v>-1</v>
      </c>
      <c r="P161" s="72"/>
      <c r="Q161" s="35"/>
      <c r="R161" s="35"/>
      <c r="S161" s="98"/>
    </row>
    <row r="162" spans="1:24" s="1" customFormat="1" ht="48" x14ac:dyDescent="0.25">
      <c r="B162" s="9">
        <f>ROW()-ROW(Лист1!$B$5)</f>
        <v>157</v>
      </c>
      <c r="C162" s="30" t="s">
        <v>848</v>
      </c>
      <c r="D162" s="35"/>
      <c r="E162" s="42" t="s">
        <v>849</v>
      </c>
      <c r="F162" s="33" t="s">
        <v>850</v>
      </c>
      <c r="G162" s="38">
        <v>13865000</v>
      </c>
      <c r="H162" s="35" t="s">
        <v>92</v>
      </c>
      <c r="I162" s="295"/>
      <c r="J162" s="42" t="s">
        <v>865</v>
      </c>
      <c r="K162" s="34" t="s">
        <v>603</v>
      </c>
      <c r="L162" s="153" t="s">
        <v>12</v>
      </c>
      <c r="M162" s="35"/>
      <c r="N162" s="35"/>
      <c r="O162" s="35">
        <v>0</v>
      </c>
      <c r="P162" s="35"/>
      <c r="Q162" s="35"/>
      <c r="R162" s="34"/>
    </row>
    <row r="163" spans="1:24" s="1" customFormat="1" ht="36" x14ac:dyDescent="0.25">
      <c r="B163" s="9">
        <v>337</v>
      </c>
      <c r="C163" s="30" t="s">
        <v>526</v>
      </c>
      <c r="D163" s="35">
        <v>2912</v>
      </c>
      <c r="E163" s="42" t="s">
        <v>527</v>
      </c>
      <c r="F163" s="33" t="s">
        <v>528</v>
      </c>
      <c r="G163" s="38">
        <v>13011506</v>
      </c>
      <c r="H163" s="33" t="s">
        <v>857</v>
      </c>
      <c r="I163" s="295"/>
      <c r="J163" s="42" t="s">
        <v>1168</v>
      </c>
      <c r="K163" s="79" t="s">
        <v>597</v>
      </c>
      <c r="L163" s="43"/>
      <c r="M163" s="35">
        <v>1</v>
      </c>
      <c r="N163" s="35"/>
      <c r="O163" s="35">
        <v>0</v>
      </c>
      <c r="P163" s="35"/>
      <c r="Q163" s="35"/>
      <c r="R163" s="35"/>
      <c r="S163" s="98"/>
    </row>
    <row r="164" spans="1:24" s="1" customFormat="1" ht="108" x14ac:dyDescent="0.25">
      <c r="B164" s="9">
        <v>318</v>
      </c>
      <c r="C164" s="30" t="s">
        <v>482</v>
      </c>
      <c r="D164" s="31"/>
      <c r="E164" s="32" t="s">
        <v>483</v>
      </c>
      <c r="F164" s="33" t="s">
        <v>484</v>
      </c>
      <c r="G164" s="38">
        <v>35000000</v>
      </c>
      <c r="H164" s="33" t="s">
        <v>509</v>
      </c>
      <c r="I164" s="295" t="s">
        <v>631</v>
      </c>
      <c r="J164" s="33" t="s">
        <v>585</v>
      </c>
      <c r="K164" s="34" t="s">
        <v>602</v>
      </c>
      <c r="L164" s="66" t="s">
        <v>12</v>
      </c>
      <c r="M164" s="35"/>
      <c r="N164" s="35"/>
      <c r="O164" s="35">
        <v>2</v>
      </c>
      <c r="P164" s="66" t="s">
        <v>21</v>
      </c>
      <c r="Q164" s="36"/>
      <c r="R164" s="37"/>
    </row>
    <row r="165" spans="1:24" s="1" customFormat="1" x14ac:dyDescent="0.25">
      <c r="B165" s="104">
        <f>ROW()-ROW(Лист1!$B$5)</f>
        <v>160</v>
      </c>
      <c r="C165" s="76" t="s">
        <v>346</v>
      </c>
      <c r="D165" s="108"/>
      <c r="E165" s="109" t="s">
        <v>347</v>
      </c>
      <c r="F165" s="110" t="s">
        <v>205</v>
      </c>
      <c r="G165" s="111">
        <v>34000000</v>
      </c>
      <c r="H165" s="52" t="s">
        <v>378</v>
      </c>
      <c r="I165" s="295"/>
      <c r="J165" s="646" t="s">
        <v>345</v>
      </c>
      <c r="K165" s="60"/>
      <c r="L165" s="71"/>
      <c r="M165" s="52">
        <v>1</v>
      </c>
      <c r="N165" s="52"/>
      <c r="O165" s="52">
        <v>0</v>
      </c>
      <c r="P165" s="71"/>
      <c r="Q165" s="113"/>
      <c r="R165" s="114"/>
    </row>
    <row r="166" spans="1:24" s="1" customFormat="1" ht="108" x14ac:dyDescent="0.25">
      <c r="B166" s="9">
        <f>ROW()-ROW(Лист1!$B$5)</f>
        <v>161</v>
      </c>
      <c r="C166" s="133" t="s">
        <v>673</v>
      </c>
      <c r="D166" s="31"/>
      <c r="E166" s="32" t="s">
        <v>674</v>
      </c>
      <c r="F166" s="33" t="s">
        <v>675</v>
      </c>
      <c r="G166" s="37">
        <v>32124000</v>
      </c>
      <c r="H166" s="35" t="s">
        <v>380</v>
      </c>
      <c r="I166" s="295" t="s">
        <v>690</v>
      </c>
      <c r="J166" s="42" t="s">
        <v>1540</v>
      </c>
      <c r="K166" s="34" t="s">
        <v>602</v>
      </c>
      <c r="L166" s="34"/>
      <c r="M166" s="34"/>
      <c r="N166" s="34"/>
      <c r="O166" s="35">
        <v>-1</v>
      </c>
      <c r="P166" s="65"/>
      <c r="Q166" s="36"/>
      <c r="R166" s="37"/>
    </row>
    <row r="167" spans="1:24" s="1" customFormat="1" ht="60" x14ac:dyDescent="0.25">
      <c r="B167" s="9">
        <f>ROW()-ROW(Лист1!$B$5)</f>
        <v>162</v>
      </c>
      <c r="C167" s="133" t="s">
        <v>458</v>
      </c>
      <c r="D167" s="31"/>
      <c r="E167" s="32" t="s">
        <v>85</v>
      </c>
      <c r="F167" s="33" t="s">
        <v>47</v>
      </c>
      <c r="G167" s="38">
        <v>30944196</v>
      </c>
      <c r="H167" s="33"/>
      <c r="I167" s="295"/>
      <c r="J167" s="42" t="s">
        <v>809</v>
      </c>
      <c r="K167" s="60"/>
      <c r="L167" s="34"/>
      <c r="M167" s="35">
        <v>1</v>
      </c>
      <c r="N167" s="35"/>
      <c r="O167" s="35">
        <v>0</v>
      </c>
      <c r="P167" s="34"/>
      <c r="Q167" s="36"/>
      <c r="R167" s="37"/>
    </row>
    <row r="168" spans="1:24" s="1" customFormat="1" ht="45" x14ac:dyDescent="0.25">
      <c r="B168" s="8">
        <f>ROW()-ROW(Лист1!$B$5)</f>
        <v>163</v>
      </c>
      <c r="C168" s="133" t="s">
        <v>735</v>
      </c>
      <c r="D168" s="127"/>
      <c r="E168" s="128" t="s">
        <v>736</v>
      </c>
      <c r="F168" s="73" t="s">
        <v>8</v>
      </c>
      <c r="G168" s="129">
        <v>30000000</v>
      </c>
      <c r="H168" s="45" t="s">
        <v>39</v>
      </c>
      <c r="I168" s="295" t="s">
        <v>768</v>
      </c>
      <c r="J168" s="154" t="s">
        <v>923</v>
      </c>
      <c r="K168" s="67" t="s">
        <v>602</v>
      </c>
      <c r="L168" s="168"/>
      <c r="M168" s="45"/>
      <c r="N168" s="45"/>
      <c r="O168" s="45">
        <v>0</v>
      </c>
      <c r="P168" s="168"/>
      <c r="Q168" s="45"/>
      <c r="R168" s="45"/>
      <c r="S168" s="12"/>
      <c r="T168" s="12"/>
      <c r="U168" s="12"/>
      <c r="V168" s="12"/>
      <c r="W168" s="12"/>
      <c r="X168" s="12"/>
    </row>
    <row r="169" spans="1:24" s="1" customFormat="1" ht="132" x14ac:dyDescent="0.25">
      <c r="B169" s="9">
        <f>ROW()-ROW(Лист1!$B$5)</f>
        <v>164</v>
      </c>
      <c r="C169" s="30" t="s">
        <v>917</v>
      </c>
      <c r="D169" s="31"/>
      <c r="E169" s="32" t="s">
        <v>918</v>
      </c>
      <c r="F169" s="33" t="s">
        <v>919</v>
      </c>
      <c r="G169" s="37">
        <v>100000000</v>
      </c>
      <c r="H169" s="35" t="s">
        <v>380</v>
      </c>
      <c r="I169" s="295" t="s">
        <v>990</v>
      </c>
      <c r="J169" s="42" t="s">
        <v>1541</v>
      </c>
      <c r="K169" s="34" t="s">
        <v>602</v>
      </c>
      <c r="L169" s="186"/>
      <c r="M169" s="35"/>
      <c r="N169" s="35"/>
      <c r="O169" s="35">
        <v>-1</v>
      </c>
      <c r="P169" s="35"/>
      <c r="Q169" s="187"/>
      <c r="R169" s="187"/>
      <c r="S169" s="98"/>
      <c r="T169" s="98"/>
      <c r="U169" s="98"/>
    </row>
    <row r="170" spans="1:24" s="1" customFormat="1" ht="24" x14ac:dyDescent="0.25">
      <c r="B170" s="9">
        <f>ROW()-ROW(Лист1!$B$5)</f>
        <v>165</v>
      </c>
      <c r="C170" s="88" t="s">
        <v>200</v>
      </c>
      <c r="D170" s="31">
        <v>2727</v>
      </c>
      <c r="E170" s="32" t="s">
        <v>201</v>
      </c>
      <c r="F170" s="33" t="s">
        <v>202</v>
      </c>
      <c r="G170" s="37">
        <v>28616637</v>
      </c>
      <c r="H170" s="35"/>
      <c r="I170" s="295"/>
      <c r="J170" s="42" t="s">
        <v>203</v>
      </c>
      <c r="K170" s="34" t="s">
        <v>601</v>
      </c>
      <c r="L170" s="34"/>
      <c r="M170" s="35">
        <v>1</v>
      </c>
      <c r="N170" s="35"/>
      <c r="O170" s="35">
        <v>0</v>
      </c>
      <c r="P170" s="34"/>
      <c r="Q170" s="36"/>
      <c r="R170" s="37"/>
    </row>
    <row r="171" spans="1:24" s="1" customFormat="1" ht="45" x14ac:dyDescent="0.25">
      <c r="A171" s="2"/>
      <c r="B171" s="35">
        <f>ROW()-ROW(Лист1!$B$5)</f>
        <v>166</v>
      </c>
      <c r="C171" s="30" t="s">
        <v>947</v>
      </c>
      <c r="D171" s="35"/>
      <c r="E171" s="42" t="s">
        <v>525</v>
      </c>
      <c r="F171" s="33" t="s">
        <v>239</v>
      </c>
      <c r="G171" s="38">
        <v>83000000</v>
      </c>
      <c r="H171" s="373" t="s">
        <v>92</v>
      </c>
      <c r="I171" s="732" t="s">
        <v>986</v>
      </c>
      <c r="J171" s="42"/>
      <c r="K171" s="79" t="s">
        <v>598</v>
      </c>
      <c r="L171" s="43"/>
      <c r="M171" s="35"/>
      <c r="N171" s="35"/>
      <c r="O171" s="35">
        <v>0</v>
      </c>
      <c r="P171" s="35"/>
      <c r="Q171" s="35"/>
      <c r="R171" s="35"/>
    </row>
    <row r="172" spans="1:24" s="1" customFormat="1" ht="24" x14ac:dyDescent="0.25">
      <c r="B172" s="45">
        <v>345</v>
      </c>
      <c r="C172" s="30" t="s">
        <v>611</v>
      </c>
      <c r="D172" s="45"/>
      <c r="E172" s="73" t="s">
        <v>612</v>
      </c>
      <c r="F172" s="73" t="s">
        <v>3</v>
      </c>
      <c r="G172" s="129">
        <v>56135500</v>
      </c>
      <c r="H172" s="45"/>
      <c r="I172" s="732"/>
      <c r="J172" s="154" t="s">
        <v>1017</v>
      </c>
      <c r="K172" s="67" t="s">
        <v>601</v>
      </c>
      <c r="L172" s="45"/>
      <c r="M172" s="45"/>
      <c r="N172" s="45"/>
      <c r="O172" s="45">
        <v>0</v>
      </c>
      <c r="P172" s="168"/>
      <c r="Q172" s="45"/>
      <c r="R172" s="45"/>
      <c r="S172" s="12"/>
    </row>
    <row r="173" spans="1:24" s="1" customFormat="1" ht="24" x14ac:dyDescent="0.25">
      <c r="B173" s="45">
        <v>345</v>
      </c>
      <c r="C173" s="133" t="s">
        <v>613</v>
      </c>
      <c r="D173" s="45"/>
      <c r="E173" s="73" t="s">
        <v>614</v>
      </c>
      <c r="F173" s="73" t="s">
        <v>3</v>
      </c>
      <c r="G173" s="129">
        <v>56135500</v>
      </c>
      <c r="H173" s="45"/>
      <c r="I173" s="732"/>
      <c r="J173" s="154" t="s">
        <v>1297</v>
      </c>
      <c r="K173" s="67" t="s">
        <v>601</v>
      </c>
      <c r="L173" s="45"/>
      <c r="M173" s="45"/>
      <c r="N173" s="45"/>
      <c r="O173" s="45">
        <v>0</v>
      </c>
      <c r="P173" s="168"/>
      <c r="Q173" s="45"/>
      <c r="R173" s="45"/>
      <c r="S173" s="12"/>
      <c r="T173" s="12"/>
      <c r="U173" s="12"/>
      <c r="V173" s="12"/>
      <c r="W173" s="12"/>
      <c r="X173" s="12"/>
    </row>
    <row r="174" spans="1:24" s="1" customFormat="1" ht="24" x14ac:dyDescent="0.25">
      <c r="B174" s="35">
        <f>ROW()-ROW(Лист1!$B$5)</f>
        <v>169</v>
      </c>
      <c r="C174" s="30" t="s">
        <v>821</v>
      </c>
      <c r="D174" s="35"/>
      <c r="E174" s="42" t="s">
        <v>822</v>
      </c>
      <c r="F174" s="33" t="s">
        <v>823</v>
      </c>
      <c r="G174" s="38">
        <v>67862650</v>
      </c>
      <c r="H174" s="39" t="s">
        <v>380</v>
      </c>
      <c r="I174" s="732"/>
      <c r="J174" s="42" t="s">
        <v>824</v>
      </c>
      <c r="K174" s="34" t="s">
        <v>602</v>
      </c>
      <c r="L174" s="35"/>
      <c r="M174" s="39"/>
      <c r="N174" s="35"/>
      <c r="O174" s="35">
        <v>-1</v>
      </c>
      <c r="P174" s="35"/>
      <c r="Q174" s="35"/>
      <c r="R174" s="35"/>
    </row>
    <row r="175" spans="1:24" s="1" customFormat="1" ht="125.45" customHeight="1" x14ac:dyDescent="0.25">
      <c r="B175" s="25">
        <f>ROW()-ROW(Лист1!$B$5)</f>
        <v>170</v>
      </c>
      <c r="C175" s="147" t="s">
        <v>858</v>
      </c>
      <c r="D175" s="39"/>
      <c r="E175" s="93" t="s">
        <v>860</v>
      </c>
      <c r="F175" s="40" t="s">
        <v>859</v>
      </c>
      <c r="G175" s="38">
        <v>120000000</v>
      </c>
      <c r="H175" s="39" t="s">
        <v>88</v>
      </c>
      <c r="I175" s="726" t="s">
        <v>909</v>
      </c>
      <c r="J175" s="93" t="s">
        <v>928</v>
      </c>
      <c r="K175" s="34" t="s">
        <v>602</v>
      </c>
      <c r="L175" s="39"/>
      <c r="M175" s="39"/>
      <c r="N175" s="39"/>
      <c r="O175" s="39">
        <v>0</v>
      </c>
      <c r="P175" s="39"/>
      <c r="Q175" s="39"/>
      <c r="R175" s="39"/>
    </row>
    <row r="176" spans="1:24" s="1" customFormat="1" ht="36" x14ac:dyDescent="0.25">
      <c r="B176" s="362">
        <f>ROW()-ROW(Лист1!$B$5)</f>
        <v>171</v>
      </c>
      <c r="C176" s="88" t="s">
        <v>591</v>
      </c>
      <c r="D176" s="127"/>
      <c r="E176" s="128" t="s">
        <v>444</v>
      </c>
      <c r="F176" s="73" t="s">
        <v>440</v>
      </c>
      <c r="G176" s="138">
        <v>120000000</v>
      </c>
      <c r="H176" s="45" t="s">
        <v>378</v>
      </c>
      <c r="I176" s="726" t="s">
        <v>555</v>
      </c>
      <c r="J176" s="154" t="s">
        <v>1484</v>
      </c>
      <c r="K176" s="67"/>
      <c r="L176" s="67"/>
      <c r="M176" s="45"/>
      <c r="N176" s="45"/>
      <c r="O176" s="45">
        <v>-1</v>
      </c>
      <c r="P176" s="67"/>
      <c r="Q176" s="132"/>
      <c r="R176" s="129"/>
      <c r="S176" s="12"/>
      <c r="T176" s="12"/>
      <c r="U176" s="12"/>
      <c r="V176" s="12"/>
      <c r="W176" s="12"/>
      <c r="X176" s="12"/>
    </row>
    <row r="177" spans="1:22" s="1" customFormat="1" ht="24" x14ac:dyDescent="0.25">
      <c r="B177" s="35">
        <f>ROW()-ROW(Лист1!$B$5)</f>
        <v>172</v>
      </c>
      <c r="C177" s="30" t="s">
        <v>637</v>
      </c>
      <c r="D177" s="31"/>
      <c r="E177" s="32" t="s">
        <v>258</v>
      </c>
      <c r="F177" s="33" t="s">
        <v>369</v>
      </c>
      <c r="G177" s="38">
        <v>119866504</v>
      </c>
      <c r="H177" s="33"/>
      <c r="I177" s="726"/>
      <c r="J177" s="42" t="s">
        <v>855</v>
      </c>
      <c r="K177" s="34"/>
      <c r="L177" s="34"/>
      <c r="M177" s="35">
        <v>1</v>
      </c>
      <c r="N177" s="35"/>
      <c r="O177" s="35">
        <v>-1</v>
      </c>
      <c r="P177" s="34"/>
      <c r="Q177" s="36"/>
      <c r="R177" s="37"/>
    </row>
    <row r="178" spans="1:22" s="1" customFormat="1" ht="36" x14ac:dyDescent="0.25">
      <c r="B178" s="25">
        <f>ROW()-ROW(Лист1!$B$5)</f>
        <v>173</v>
      </c>
      <c r="C178" s="77" t="s">
        <v>374</v>
      </c>
      <c r="D178" s="31"/>
      <c r="E178" s="32" t="s">
        <v>375</v>
      </c>
      <c r="F178" s="33" t="s">
        <v>205</v>
      </c>
      <c r="G178" s="38">
        <v>117000000</v>
      </c>
      <c r="H178" s="52" t="s">
        <v>378</v>
      </c>
      <c r="I178" s="730"/>
      <c r="J178" s="42" t="s">
        <v>445</v>
      </c>
      <c r="K178" s="60"/>
      <c r="L178" s="34"/>
      <c r="M178" s="35">
        <v>1</v>
      </c>
      <c r="N178" s="35"/>
      <c r="O178" s="35">
        <v>0</v>
      </c>
      <c r="P178" s="34"/>
      <c r="Q178" s="36"/>
      <c r="R178" s="37"/>
    </row>
    <row r="179" spans="1:22" s="1" customFormat="1" ht="60" x14ac:dyDescent="0.25">
      <c r="B179" s="35">
        <f>ROW()-ROW(Лист1!$B$5)</f>
        <v>174</v>
      </c>
      <c r="C179" s="107" t="s">
        <v>229</v>
      </c>
      <c r="D179" s="31"/>
      <c r="E179" s="32" t="s">
        <v>230</v>
      </c>
      <c r="F179" s="33" t="s">
        <v>251</v>
      </c>
      <c r="G179" s="37">
        <v>100000000</v>
      </c>
      <c r="H179" s="35"/>
      <c r="I179" s="633"/>
      <c r="J179" s="42" t="s">
        <v>493</v>
      </c>
      <c r="K179" s="60"/>
      <c r="L179" s="34"/>
      <c r="M179" s="34"/>
      <c r="N179" s="34"/>
      <c r="O179" s="35">
        <v>-1</v>
      </c>
      <c r="P179" s="34"/>
      <c r="Q179" s="36"/>
      <c r="R179" s="37"/>
    </row>
    <row r="180" spans="1:22" s="1" customFormat="1" ht="36" x14ac:dyDescent="0.25">
      <c r="A180" s="2"/>
      <c r="B180" s="35">
        <f>ROW()-ROW(Лист1!$B$5)</f>
        <v>175</v>
      </c>
      <c r="C180" s="147" t="s">
        <v>1026</v>
      </c>
      <c r="D180" s="39"/>
      <c r="E180" s="97" t="s">
        <v>1028</v>
      </c>
      <c r="F180" s="40" t="s">
        <v>1027</v>
      </c>
      <c r="G180" s="118">
        <v>300000000</v>
      </c>
      <c r="H180" s="93" t="s">
        <v>621</v>
      </c>
      <c r="I180" s="731" t="s">
        <v>1812</v>
      </c>
      <c r="J180" s="93"/>
      <c r="K180" s="79">
        <f>[25]!ТКП_Тематика</f>
        <v>0</v>
      </c>
      <c r="L180" s="39"/>
      <c r="M180" s="39"/>
      <c r="N180" s="39"/>
      <c r="O180" s="579">
        <f>[25]!Результат_число</f>
        <v>-1</v>
      </c>
      <c r="P180" s="39"/>
      <c r="Q180" s="39"/>
      <c r="R180" s="59"/>
    </row>
    <row r="181" spans="1:22" s="1" customFormat="1" ht="33.75" x14ac:dyDescent="0.25">
      <c r="B181" s="35">
        <f>ROW()-ROW(Лист1!$B$5)</f>
        <v>176</v>
      </c>
      <c r="C181" s="88" t="s">
        <v>396</v>
      </c>
      <c r="D181" s="31"/>
      <c r="E181" s="32" t="s">
        <v>397</v>
      </c>
      <c r="F181" s="33" t="s">
        <v>436</v>
      </c>
      <c r="G181" s="38">
        <v>88587297</v>
      </c>
      <c r="H181" s="53" t="s">
        <v>92</v>
      </c>
      <c r="I181" s="732" t="s">
        <v>627</v>
      </c>
      <c r="J181" s="42" t="s">
        <v>723</v>
      </c>
      <c r="K181" s="60" t="s">
        <v>603</v>
      </c>
      <c r="L181" s="34"/>
      <c r="M181" s="35">
        <v>1</v>
      </c>
      <c r="N181" s="35"/>
      <c r="O181" s="35">
        <v>-1</v>
      </c>
      <c r="P181" s="34"/>
      <c r="Q181" s="36"/>
      <c r="R181" s="37"/>
    </row>
    <row r="182" spans="1:22" s="1" customFormat="1" ht="84" x14ac:dyDescent="0.25">
      <c r="B182" s="35">
        <f>ROW()-ROW(Лист1!$B$5)</f>
        <v>177</v>
      </c>
      <c r="C182" s="30" t="s">
        <v>872</v>
      </c>
      <c r="D182" s="76" t="s">
        <v>984</v>
      </c>
      <c r="E182" s="42" t="s">
        <v>893</v>
      </c>
      <c r="F182" s="33" t="s">
        <v>207</v>
      </c>
      <c r="G182" s="38">
        <v>80000000</v>
      </c>
      <c r="H182" s="287" t="s">
        <v>92</v>
      </c>
      <c r="I182" s="732" t="s">
        <v>1813</v>
      </c>
      <c r="J182" s="42" t="s">
        <v>987</v>
      </c>
      <c r="K182" s="34" t="s">
        <v>598</v>
      </c>
      <c r="L182" s="35"/>
      <c r="M182" s="39"/>
      <c r="N182" s="35"/>
      <c r="O182" s="51">
        <v>-1</v>
      </c>
      <c r="P182" s="35"/>
      <c r="Q182" s="35"/>
      <c r="R182" s="35"/>
    </row>
    <row r="183" spans="1:22" s="1" customFormat="1" ht="60" x14ac:dyDescent="0.25">
      <c r="A183" s="2"/>
      <c r="B183" s="35">
        <f>ROW()-ROW(Лист1!$B$5)</f>
        <v>178</v>
      </c>
      <c r="C183" s="30" t="s">
        <v>643</v>
      </c>
      <c r="D183" s="31"/>
      <c r="E183" s="32" t="s">
        <v>80</v>
      </c>
      <c r="F183" s="33" t="s">
        <v>27</v>
      </c>
      <c r="G183" s="37" t="s">
        <v>49</v>
      </c>
      <c r="H183" s="35"/>
      <c r="I183" s="726"/>
      <c r="J183" s="42" t="s">
        <v>693</v>
      </c>
      <c r="K183" s="34"/>
      <c r="L183" s="34"/>
      <c r="M183" s="34"/>
      <c r="N183" s="34"/>
      <c r="O183" s="35">
        <v>-1</v>
      </c>
      <c r="P183" s="65"/>
      <c r="Q183" s="36"/>
      <c r="R183" s="37"/>
    </row>
    <row r="184" spans="1:22" s="1" customFormat="1" ht="60" x14ac:dyDescent="0.25">
      <c r="B184" s="9">
        <f>ROW()-ROW(Лист1!$B$5)</f>
        <v>179</v>
      </c>
      <c r="C184" s="30" t="s">
        <v>833</v>
      </c>
      <c r="D184" s="35"/>
      <c r="E184" s="42" t="s">
        <v>834</v>
      </c>
      <c r="F184" s="33" t="s">
        <v>205</v>
      </c>
      <c r="G184" s="38">
        <v>200000000</v>
      </c>
      <c r="H184" s="35" t="s">
        <v>380</v>
      </c>
      <c r="I184" s="726" t="s">
        <v>835</v>
      </c>
      <c r="J184" s="42" t="s">
        <v>867</v>
      </c>
      <c r="K184" s="34" t="s">
        <v>602</v>
      </c>
      <c r="L184" s="35"/>
      <c r="M184" s="35"/>
      <c r="N184" s="35"/>
      <c r="O184" s="35">
        <v>0</v>
      </c>
      <c r="P184" s="35"/>
      <c r="Q184" s="35"/>
      <c r="R184" s="34"/>
    </row>
    <row r="185" spans="1:22" s="1" customFormat="1" ht="48" x14ac:dyDescent="0.25">
      <c r="A185" s="23"/>
      <c r="B185" s="35">
        <f>ROW()-ROW(Лист1!$B$5)</f>
        <v>180</v>
      </c>
      <c r="C185" s="76" t="s">
        <v>179</v>
      </c>
      <c r="D185" s="31"/>
      <c r="E185" s="32" t="s">
        <v>180</v>
      </c>
      <c r="F185" s="33" t="s">
        <v>18</v>
      </c>
      <c r="G185" s="37">
        <v>186634205</v>
      </c>
      <c r="H185" s="35"/>
      <c r="I185" s="51"/>
      <c r="J185" s="42" t="s">
        <v>648</v>
      </c>
      <c r="K185" s="34" t="s">
        <v>602</v>
      </c>
      <c r="L185" s="34"/>
      <c r="M185" s="35">
        <v>0</v>
      </c>
      <c r="N185" s="35"/>
      <c r="O185" s="35">
        <v>-1</v>
      </c>
      <c r="P185" s="34"/>
      <c r="Q185" s="36"/>
      <c r="R185" s="37"/>
      <c r="S185" s="2"/>
      <c r="T185" s="2"/>
      <c r="U185" s="2"/>
    </row>
    <row r="186" spans="1:22" s="1" customFormat="1" ht="288" x14ac:dyDescent="0.25">
      <c r="B186" s="9">
        <f>ROW()-ROW(Лист1!$B$5)</f>
        <v>181</v>
      </c>
      <c r="C186" s="30" t="s">
        <v>676</v>
      </c>
      <c r="D186" s="31"/>
      <c r="E186" s="32" t="s">
        <v>677</v>
      </c>
      <c r="F186" s="33" t="s">
        <v>18</v>
      </c>
      <c r="G186" s="37">
        <v>276332844</v>
      </c>
      <c r="H186" s="35"/>
      <c r="I186" s="726"/>
      <c r="J186" s="42" t="s">
        <v>780</v>
      </c>
      <c r="K186" s="34" t="s">
        <v>602</v>
      </c>
      <c r="L186" s="34"/>
      <c r="M186" s="34"/>
      <c r="N186" s="34"/>
      <c r="O186" s="35">
        <v>0</v>
      </c>
      <c r="P186" s="65"/>
      <c r="Q186" s="36"/>
      <c r="R186" s="37"/>
    </row>
    <row r="187" spans="1:22" s="2" customFormat="1" ht="216" x14ac:dyDescent="0.25">
      <c r="B187" s="9">
        <f>ROW()-ROW(Лист1!$B$5)</f>
        <v>182</v>
      </c>
      <c r="C187" s="30" t="s">
        <v>678</v>
      </c>
      <c r="D187" s="31"/>
      <c r="E187" s="32" t="s">
        <v>679</v>
      </c>
      <c r="F187" s="33" t="s">
        <v>18</v>
      </c>
      <c r="G187" s="37">
        <v>56000000</v>
      </c>
      <c r="H187" s="35" t="s">
        <v>378</v>
      </c>
      <c r="I187" s="726" t="s">
        <v>979</v>
      </c>
      <c r="J187" s="42" t="s">
        <v>738</v>
      </c>
      <c r="K187" s="34" t="s">
        <v>602</v>
      </c>
      <c r="L187" s="34"/>
      <c r="M187" s="34"/>
      <c r="N187" s="34"/>
      <c r="O187" s="35">
        <v>0</v>
      </c>
      <c r="P187" s="65"/>
      <c r="Q187" s="36"/>
      <c r="R187" s="37"/>
      <c r="S187" s="1"/>
      <c r="T187" s="1"/>
      <c r="U187" s="1"/>
    </row>
    <row r="188" spans="1:22" s="2" customFormat="1" ht="108" x14ac:dyDescent="0.25">
      <c r="B188" s="35">
        <v>323</v>
      </c>
      <c r="C188" s="30" t="s">
        <v>496</v>
      </c>
      <c r="D188" s="31"/>
      <c r="E188" s="32" t="s">
        <v>508</v>
      </c>
      <c r="F188" s="33" t="s">
        <v>497</v>
      </c>
      <c r="G188" s="38" t="s">
        <v>49</v>
      </c>
      <c r="H188" s="33" t="s">
        <v>378</v>
      </c>
      <c r="I188" s="726" t="s">
        <v>622</v>
      </c>
      <c r="J188" s="764" t="s">
        <v>588</v>
      </c>
      <c r="K188" s="60" t="s">
        <v>602</v>
      </c>
      <c r="L188" s="34"/>
      <c r="M188" s="35"/>
      <c r="N188" s="35"/>
      <c r="O188" s="35">
        <v>2</v>
      </c>
      <c r="P188" s="66" t="s">
        <v>21</v>
      </c>
      <c r="Q188" s="36"/>
      <c r="R188" s="37"/>
      <c r="S188" s="1"/>
      <c r="T188" s="1"/>
      <c r="U188" s="1"/>
    </row>
    <row r="189" spans="1:22" s="2" customFormat="1" ht="84" x14ac:dyDescent="0.25">
      <c r="B189" s="242">
        <f>ROW()-ROW(Лист1!$B$5)</f>
        <v>184</v>
      </c>
      <c r="C189" s="244" t="s">
        <v>973</v>
      </c>
      <c r="D189" s="200"/>
      <c r="E189" s="202" t="s">
        <v>985</v>
      </c>
      <c r="F189" s="203" t="s">
        <v>205</v>
      </c>
      <c r="G189" s="204">
        <v>300000000</v>
      </c>
      <c r="H189" s="200" t="s">
        <v>54</v>
      </c>
      <c r="I189" s="727"/>
      <c r="J189" s="202" t="s">
        <v>1100</v>
      </c>
      <c r="K189" s="205" t="s">
        <v>602</v>
      </c>
      <c r="L189" s="200"/>
      <c r="M189" s="236"/>
      <c r="N189" s="200">
        <v>10</v>
      </c>
      <c r="O189" s="200">
        <v>-1</v>
      </c>
      <c r="P189" s="200"/>
      <c r="Q189" s="200"/>
      <c r="R189" s="200"/>
      <c r="S189" s="205"/>
      <c r="T189" s="205"/>
      <c r="U189" s="205"/>
      <c r="V189" s="205"/>
    </row>
    <row r="190" spans="1:22" s="2" customFormat="1" ht="36" x14ac:dyDescent="0.25">
      <c r="B190" s="10">
        <v>324</v>
      </c>
      <c r="C190" s="30" t="s">
        <v>504</v>
      </c>
      <c r="D190" s="31"/>
      <c r="E190" s="32" t="s">
        <v>522</v>
      </c>
      <c r="F190" s="33" t="s">
        <v>27</v>
      </c>
      <c r="G190" s="38">
        <f>254069*80</f>
        <v>20325520</v>
      </c>
      <c r="H190" s="33"/>
      <c r="I190" s="726" t="s">
        <v>624</v>
      </c>
      <c r="J190" s="42" t="s">
        <v>847</v>
      </c>
      <c r="K190" s="60" t="s">
        <v>601</v>
      </c>
      <c r="L190" s="34"/>
      <c r="M190" s="35"/>
      <c r="N190" s="35"/>
      <c r="O190" s="35">
        <v>2</v>
      </c>
      <c r="P190" s="34"/>
      <c r="Q190" s="36"/>
      <c r="R190" s="37"/>
      <c r="S190" s="1"/>
      <c r="T190" s="1"/>
      <c r="U190" s="1"/>
    </row>
    <row r="191" spans="1:22" s="2" customFormat="1" ht="60" x14ac:dyDescent="0.25">
      <c r="B191" s="9">
        <f>ROW()-ROW(Лист1!$B$5)</f>
        <v>186</v>
      </c>
      <c r="C191" s="107" t="s">
        <v>665</v>
      </c>
      <c r="D191" s="31"/>
      <c r="E191" s="32" t="s">
        <v>59</v>
      </c>
      <c r="F191" s="33" t="s">
        <v>115</v>
      </c>
      <c r="G191" s="38">
        <v>2740000</v>
      </c>
      <c r="H191" s="35" t="s">
        <v>88</v>
      </c>
      <c r="I191" s="726" t="s">
        <v>689</v>
      </c>
      <c r="J191" s="42" t="s">
        <v>694</v>
      </c>
      <c r="K191" s="34" t="s">
        <v>601</v>
      </c>
      <c r="L191" s="34"/>
      <c r="M191" s="34"/>
      <c r="N191" s="34"/>
      <c r="O191" s="35">
        <v>0</v>
      </c>
      <c r="P191" s="65"/>
      <c r="Q191" s="36"/>
      <c r="R191" s="37"/>
      <c r="S191" s="1"/>
      <c r="T191" s="1"/>
      <c r="U191" s="1"/>
    </row>
    <row r="192" spans="1:22" s="1" customFormat="1" ht="36" x14ac:dyDescent="0.25">
      <c r="B192" s="9">
        <f>ROW()-ROW(Лист1!$B$5)</f>
        <v>187</v>
      </c>
      <c r="C192" s="88" t="s">
        <v>210</v>
      </c>
      <c r="D192" s="31"/>
      <c r="E192" s="32" t="s">
        <v>211</v>
      </c>
      <c r="F192" s="33" t="s">
        <v>212</v>
      </c>
      <c r="G192" s="37">
        <v>12307282</v>
      </c>
      <c r="H192" s="35"/>
      <c r="I192" s="35"/>
      <c r="J192" s="33" t="s">
        <v>213</v>
      </c>
      <c r="K192" s="34" t="s">
        <v>603</v>
      </c>
      <c r="L192" s="34"/>
      <c r="M192" s="34"/>
      <c r="N192" s="35">
        <v>1</v>
      </c>
      <c r="O192" s="35"/>
      <c r="P192" s="176">
        <v>44293</v>
      </c>
      <c r="Q192" s="35">
        <v>0</v>
      </c>
      <c r="R192" s="34"/>
      <c r="S192" s="36"/>
      <c r="T192" s="37"/>
      <c r="U192" s="185" t="e">
        <f>AND(((Критерий_дата-P192)&lt;Лист1!#REF!),Q192=0)</f>
        <v>#REF!</v>
      </c>
    </row>
    <row r="193" spans="2:24" s="1" customFormat="1" ht="36" x14ac:dyDescent="0.25">
      <c r="B193" s="9">
        <f>ROW()-ROW(Лист1!$B$5)</f>
        <v>188</v>
      </c>
      <c r="C193" s="88" t="s">
        <v>334</v>
      </c>
      <c r="D193" s="31"/>
      <c r="E193" s="32" t="s">
        <v>335</v>
      </c>
      <c r="F193" s="33" t="s">
        <v>279</v>
      </c>
      <c r="G193" s="38">
        <v>12796249</v>
      </c>
      <c r="H193" s="117" t="s">
        <v>1079</v>
      </c>
      <c r="I193" s="134" t="s">
        <v>1080</v>
      </c>
      <c r="J193" s="33" t="s">
        <v>1101</v>
      </c>
      <c r="K193" s="34" t="str">
        <f>[267]!ТКП_Тематика</f>
        <v>ДФМ</v>
      </c>
      <c r="L193" s="34"/>
      <c r="M193" s="34"/>
      <c r="N193" s="35">
        <v>1</v>
      </c>
      <c r="O193" s="35"/>
      <c r="P193" s="176">
        <v>44778</v>
      </c>
      <c r="Q193" s="35">
        <f>[267]!Результат_число</f>
        <v>0</v>
      </c>
      <c r="R193" s="34"/>
      <c r="S193" s="36"/>
      <c r="T193" s="37"/>
      <c r="U193" s="185" t="e">
        <f>AND(((Критерий_дата-P193)&lt;Лист1!#REF!),Q193=0)</f>
        <v>#REF!</v>
      </c>
    </row>
    <row r="194" spans="2:24" s="1" customFormat="1" ht="60" x14ac:dyDescent="0.25">
      <c r="B194" s="9">
        <f>ROW()-ROW(Лист1!$B$5)</f>
        <v>189</v>
      </c>
      <c r="C194" s="76" t="s">
        <v>308</v>
      </c>
      <c r="D194" s="31"/>
      <c r="E194" s="32" t="s">
        <v>309</v>
      </c>
      <c r="F194" s="33" t="s">
        <v>20</v>
      </c>
      <c r="G194" s="38">
        <v>15024252</v>
      </c>
      <c r="H194" s="35"/>
      <c r="I194" s="29" t="s">
        <v>92</v>
      </c>
      <c r="J194" s="33" t="s">
        <v>310</v>
      </c>
      <c r="K194" s="34"/>
      <c r="L194" s="34"/>
      <c r="M194" s="34"/>
      <c r="N194" s="35">
        <v>1</v>
      </c>
      <c r="O194" s="35"/>
      <c r="P194" s="176">
        <v>44420</v>
      </c>
      <c r="Q194" s="35">
        <v>0</v>
      </c>
      <c r="R194" s="34"/>
      <c r="S194" s="36"/>
      <c r="T194" s="37"/>
      <c r="U194" s="185" t="e">
        <f>AND(((Критерий_дата-P194)&lt;Лист1!#REF!),Q194=0)</f>
        <v>#REF!</v>
      </c>
    </row>
    <row r="195" spans="2:24" s="1" customFormat="1" ht="12" x14ac:dyDescent="0.25">
      <c r="B195" s="9">
        <f>ROW()-ROW(Лист1!$B$5)</f>
        <v>190</v>
      </c>
      <c r="C195" s="76" t="s">
        <v>254</v>
      </c>
      <c r="D195" s="31"/>
      <c r="E195" s="32" t="s">
        <v>255</v>
      </c>
      <c r="F195" s="33" t="s">
        <v>4</v>
      </c>
      <c r="G195" s="37">
        <v>15000000</v>
      </c>
      <c r="H195" s="35"/>
      <c r="I195" s="35"/>
      <c r="J195" s="33" t="s">
        <v>256</v>
      </c>
      <c r="K195" s="60" t="s">
        <v>598</v>
      </c>
      <c r="L195" s="34"/>
      <c r="M195" s="34"/>
      <c r="N195" s="35"/>
      <c r="O195" s="35"/>
      <c r="P195" s="176">
        <v>44320</v>
      </c>
      <c r="Q195" s="35">
        <v>0</v>
      </c>
      <c r="R195" s="34"/>
      <c r="S195" s="36"/>
      <c r="T195" s="37"/>
      <c r="U195" s="185" t="e">
        <f>AND(((Критерий_дата-P195)&lt;Лист1!#REF!),Q195=0)</f>
        <v>#REF!</v>
      </c>
    </row>
    <row r="196" spans="2:24" s="1" customFormat="1" x14ac:dyDescent="0.25">
      <c r="B196" s="9">
        <f>ROW()-ROW(Лист1!$B$5)</f>
        <v>191</v>
      </c>
      <c r="C196" s="30" t="s">
        <v>40</v>
      </c>
      <c r="D196" s="35"/>
      <c r="E196" s="42" t="s">
        <v>829</v>
      </c>
      <c r="F196" s="33" t="s">
        <v>41</v>
      </c>
      <c r="G196" s="38">
        <v>14884582</v>
      </c>
      <c r="H196" s="35" t="s">
        <v>54</v>
      </c>
      <c r="I196" s="33"/>
      <c r="J196" s="33" t="s">
        <v>830</v>
      </c>
      <c r="K196" s="34" t="s">
        <v>602</v>
      </c>
      <c r="L196" s="35"/>
      <c r="M196" s="35"/>
      <c r="N196" s="39"/>
      <c r="O196" s="35"/>
      <c r="P196" s="176">
        <v>44855</v>
      </c>
      <c r="Q196" s="35">
        <v>0</v>
      </c>
      <c r="R196" s="35"/>
      <c r="S196" s="35"/>
      <c r="T196" s="35"/>
      <c r="U196" s="185" t="e">
        <f>AND(((Критерий_дата-P196)&lt;Лист1!#REF!),Q196=0)</f>
        <v>#REF!</v>
      </c>
      <c r="V196" s="98"/>
      <c r="W196" s="98"/>
      <c r="X196" s="98"/>
    </row>
    <row r="197" spans="2:24" s="1" customFormat="1" ht="12" x14ac:dyDescent="0.25">
      <c r="B197" s="8">
        <f>ROW()-ROW(Лист1!$B$5)</f>
        <v>192</v>
      </c>
      <c r="C197" s="86" t="s">
        <v>100</v>
      </c>
      <c r="D197" s="163"/>
      <c r="E197" s="128" t="s">
        <v>101</v>
      </c>
      <c r="F197" s="73" t="s">
        <v>102</v>
      </c>
      <c r="G197" s="129">
        <v>14883930</v>
      </c>
      <c r="H197" s="45"/>
      <c r="I197" s="45"/>
      <c r="J197" s="73" t="s">
        <v>563</v>
      </c>
      <c r="K197" s="130" t="s">
        <v>603</v>
      </c>
      <c r="L197" s="67"/>
      <c r="M197" s="45">
        <v>1</v>
      </c>
      <c r="N197" s="45"/>
      <c r="O197" s="45"/>
      <c r="P197" s="176">
        <v>44638</v>
      </c>
      <c r="Q197" s="45">
        <v>0</v>
      </c>
      <c r="R197" s="67"/>
      <c r="S197" s="67"/>
      <c r="T197" s="164"/>
      <c r="U197" s="185" t="e">
        <f>AND(((Критерий_дата-P197)&lt;Лист1!#REF!),Q197=0)</f>
        <v>#REF!</v>
      </c>
    </row>
    <row r="198" spans="2:24" s="1" customFormat="1" ht="24" x14ac:dyDescent="0.25">
      <c r="B198" s="8">
        <f>ROW()-ROW(Лист1!$B$5)</f>
        <v>193</v>
      </c>
      <c r="C198" s="86" t="s">
        <v>61</v>
      </c>
      <c r="D198" s="137">
        <v>2692</v>
      </c>
      <c r="E198" s="74" t="s">
        <v>63</v>
      </c>
      <c r="F198" s="74" t="s">
        <v>62</v>
      </c>
      <c r="G198" s="159">
        <v>14069139</v>
      </c>
      <c r="H198" s="74" t="s">
        <v>88</v>
      </c>
      <c r="I198" s="74"/>
      <c r="J198" s="160" t="s">
        <v>563</v>
      </c>
      <c r="K198" s="170" t="s">
        <v>603</v>
      </c>
      <c r="L198" s="74" t="s">
        <v>10</v>
      </c>
      <c r="M198" s="74">
        <v>1</v>
      </c>
      <c r="N198" s="80" t="s">
        <v>38</v>
      </c>
      <c r="O198" s="80"/>
      <c r="P198" s="176">
        <v>44638</v>
      </c>
      <c r="Q198" s="161">
        <v>0</v>
      </c>
      <c r="R198" s="80"/>
      <c r="S198" s="162">
        <v>44284</v>
      </c>
      <c r="T198" s="80">
        <v>11255311.060000001</v>
      </c>
      <c r="U198" s="185" t="e">
        <f>AND(((Критерий_дата-P198)&lt;Лист1!#REF!),Q198=0)</f>
        <v>#REF!</v>
      </c>
    </row>
    <row r="199" spans="2:24" s="1" customFormat="1" ht="36" x14ac:dyDescent="0.25">
      <c r="B199" s="9">
        <f>ROW()-ROW(Лист1!$B$5)</f>
        <v>194</v>
      </c>
      <c r="C199" s="107" t="s">
        <v>237</v>
      </c>
      <c r="D199" s="76"/>
      <c r="E199" s="32" t="s">
        <v>238</v>
      </c>
      <c r="F199" s="33" t="s">
        <v>239</v>
      </c>
      <c r="G199" s="37">
        <v>80000000</v>
      </c>
      <c r="H199" s="35"/>
      <c r="I199" s="290" t="s">
        <v>948</v>
      </c>
      <c r="J199" s="33" t="s">
        <v>240</v>
      </c>
      <c r="K199" s="60" t="s">
        <v>598</v>
      </c>
      <c r="L199" s="34"/>
      <c r="M199" s="34"/>
      <c r="N199" s="35"/>
      <c r="O199" s="35"/>
      <c r="P199" s="176">
        <v>44972</v>
      </c>
      <c r="Q199" s="35">
        <v>0</v>
      </c>
      <c r="R199" s="34"/>
      <c r="S199" s="36"/>
      <c r="T199" s="37"/>
      <c r="U199" s="185" t="e">
        <f>AND(((Критерий_дата-P199)&lt;Лист1!#REF!),Q199=0)</f>
        <v>#REF!</v>
      </c>
    </row>
    <row r="200" spans="2:24" s="1" customFormat="1" ht="108" x14ac:dyDescent="0.25">
      <c r="B200" s="9">
        <f>ROW()-ROW(Лист1!$B$5)</f>
        <v>195</v>
      </c>
      <c r="C200" s="30" t="s">
        <v>463</v>
      </c>
      <c r="D200" s="31"/>
      <c r="E200" s="32" t="s">
        <v>464</v>
      </c>
      <c r="F200" s="33" t="s">
        <v>408</v>
      </c>
      <c r="G200" s="38">
        <v>19555067</v>
      </c>
      <c r="H200" s="33"/>
      <c r="I200" s="33"/>
      <c r="J200" s="33" t="s">
        <v>851</v>
      </c>
      <c r="K200" s="60"/>
      <c r="L200" s="34"/>
      <c r="M200" s="34"/>
      <c r="N200" s="35"/>
      <c r="O200" s="35"/>
      <c r="P200" s="176">
        <v>44614</v>
      </c>
      <c r="Q200" s="35">
        <v>0</v>
      </c>
      <c r="R200" s="34"/>
      <c r="S200" s="36"/>
      <c r="T200" s="37"/>
      <c r="U200" s="185" t="e">
        <f>AND(((Критерий_дата-P200)&lt;Лист1!#REF!),Q200=0)</f>
        <v>#REF!</v>
      </c>
    </row>
    <row r="201" spans="2:24" s="1" customFormat="1" ht="25.15" customHeight="1" x14ac:dyDescent="0.25">
      <c r="B201" s="14">
        <f>ROW()-ROW(Лист1!$B$5)</f>
        <v>196</v>
      </c>
      <c r="C201" s="87" t="s">
        <v>45</v>
      </c>
      <c r="D201" s="150">
        <v>2683</v>
      </c>
      <c r="E201" s="44" t="s">
        <v>46</v>
      </c>
      <c r="F201" s="44" t="s">
        <v>47</v>
      </c>
      <c r="G201" s="165">
        <v>18824308</v>
      </c>
      <c r="H201" s="47" t="s">
        <v>54</v>
      </c>
      <c r="I201" s="47"/>
      <c r="J201" s="166" t="s">
        <v>896</v>
      </c>
      <c r="K201" s="44"/>
      <c r="L201" s="61"/>
      <c r="M201" s="61">
        <v>1</v>
      </c>
      <c r="N201" s="44"/>
      <c r="O201" s="44"/>
      <c r="P201" s="183">
        <v>43895</v>
      </c>
      <c r="Q201" s="44">
        <v>0</v>
      </c>
      <c r="R201" s="44"/>
      <c r="S201" s="44"/>
      <c r="T201" s="167">
        <v>15059446</v>
      </c>
      <c r="U201" s="185" t="e">
        <f>AND(((Критерий_дата-P201)&lt;Лист1!#REF!),Q201=0)</f>
        <v>#REF!</v>
      </c>
    </row>
    <row r="202" spans="2:24" s="1" customFormat="1" ht="12" x14ac:dyDescent="0.25">
      <c r="B202" s="14">
        <f>ROW()-ROW(Лист1!$B$5)</f>
        <v>197</v>
      </c>
      <c r="C202" s="87" t="s">
        <v>106</v>
      </c>
      <c r="D202" s="127">
        <v>2714</v>
      </c>
      <c r="E202" s="128" t="s">
        <v>56</v>
      </c>
      <c r="F202" s="73" t="s">
        <v>107</v>
      </c>
      <c r="G202" s="129">
        <v>18510495</v>
      </c>
      <c r="H202" s="45"/>
      <c r="I202" s="45"/>
      <c r="J202" s="73" t="s">
        <v>108</v>
      </c>
      <c r="K202" s="67"/>
      <c r="L202" s="67"/>
      <c r="M202" s="67">
        <v>1</v>
      </c>
      <c r="N202" s="45">
        <v>1</v>
      </c>
      <c r="O202" s="45"/>
      <c r="P202" s="178">
        <v>44210</v>
      </c>
      <c r="Q202" s="45">
        <v>0</v>
      </c>
      <c r="R202" s="67"/>
      <c r="S202" s="132">
        <v>44197</v>
      </c>
      <c r="T202" s="129">
        <v>18510495</v>
      </c>
      <c r="U202" s="185" t="e">
        <f>AND(((Критерий_дата-P202)&lt;Лист1!#REF!),Q202=0)</f>
        <v>#REF!</v>
      </c>
    </row>
    <row r="203" spans="2:24" s="1" customFormat="1" ht="12" x14ac:dyDescent="0.25">
      <c r="B203" s="104">
        <f>ROW()-ROW(Лист1!$B$5)</f>
        <v>198</v>
      </c>
      <c r="C203" s="76" t="s">
        <v>343</v>
      </c>
      <c r="D203" s="108"/>
      <c r="E203" s="109" t="s">
        <v>344</v>
      </c>
      <c r="F203" s="110" t="s">
        <v>205</v>
      </c>
      <c r="G203" s="111">
        <v>18440000</v>
      </c>
      <c r="H203" s="52" t="s">
        <v>378</v>
      </c>
      <c r="I203" s="52"/>
      <c r="J203" s="110" t="s">
        <v>345</v>
      </c>
      <c r="K203" s="60"/>
      <c r="L203" s="71"/>
      <c r="M203" s="71"/>
      <c r="N203" s="52">
        <v>1</v>
      </c>
      <c r="O203" s="52"/>
      <c r="P203" s="179">
        <v>44391</v>
      </c>
      <c r="Q203" s="52">
        <v>0</v>
      </c>
      <c r="R203" s="71"/>
      <c r="S203" s="113"/>
      <c r="T203" s="114"/>
      <c r="U203" s="185" t="e">
        <f>AND(((Критерий_дата-P203)&lt;Лист1!#REF!),Q203=0)</f>
        <v>#REF!</v>
      </c>
    </row>
    <row r="204" spans="2:24" s="1" customFormat="1" ht="36" x14ac:dyDescent="0.25">
      <c r="B204" s="9">
        <f>ROW()-ROW(Лист1!$B$5)</f>
        <v>199</v>
      </c>
      <c r="C204" s="88" t="s">
        <v>336</v>
      </c>
      <c r="D204" s="31"/>
      <c r="E204" s="32" t="s">
        <v>337</v>
      </c>
      <c r="F204" s="33" t="s">
        <v>338</v>
      </c>
      <c r="G204" s="38">
        <v>17664920</v>
      </c>
      <c r="H204" s="35"/>
      <c r="I204" s="29" t="s">
        <v>826</v>
      </c>
      <c r="J204" s="33" t="s">
        <v>652</v>
      </c>
      <c r="K204" s="34"/>
      <c r="L204" s="34"/>
      <c r="M204" s="34"/>
      <c r="N204" s="35"/>
      <c r="O204" s="35"/>
      <c r="P204" s="176">
        <v>44714</v>
      </c>
      <c r="Q204" s="35">
        <v>0</v>
      </c>
      <c r="R204" s="34"/>
      <c r="S204" s="36"/>
      <c r="T204" s="37"/>
      <c r="U204" s="185" t="e">
        <f>AND(((Критерий_дата-P204)&lt;Лист1!#REF!),Q204=0)</f>
        <v>#REF!</v>
      </c>
    </row>
    <row r="205" spans="2:24" s="1" customFormat="1" ht="48" x14ac:dyDescent="0.25">
      <c r="B205" s="9">
        <f>ROW()-ROW(Лист1!$B$5)</f>
        <v>200</v>
      </c>
      <c r="C205" s="30" t="s">
        <v>32</v>
      </c>
      <c r="D205" s="81"/>
      <c r="E205" s="157" t="s">
        <v>28</v>
      </c>
      <c r="F205" s="40" t="s">
        <v>27</v>
      </c>
      <c r="G205" s="96">
        <v>20000000</v>
      </c>
      <c r="H205" s="40" t="s">
        <v>437</v>
      </c>
      <c r="I205" s="40"/>
      <c r="J205" s="40" t="s">
        <v>43</v>
      </c>
      <c r="K205" s="146" t="s">
        <v>607</v>
      </c>
      <c r="L205" s="62" t="s">
        <v>12</v>
      </c>
      <c r="M205" s="62"/>
      <c r="N205" s="39"/>
      <c r="O205" s="39"/>
      <c r="P205" s="39"/>
      <c r="Q205" s="39">
        <v>0</v>
      </c>
      <c r="R205" s="59"/>
      <c r="S205" s="97"/>
      <c r="T205" s="101"/>
      <c r="U205" s="185" t="e">
        <f>AND(((Критерий_дата-P205)&lt;Лист1!#REF!),Q205=0)</f>
        <v>#REF!</v>
      </c>
    </row>
    <row r="206" spans="2:24" s="1" customFormat="1" ht="84" x14ac:dyDescent="0.25">
      <c r="B206" s="9">
        <v>290</v>
      </c>
      <c r="C206" s="76" t="s">
        <v>401</v>
      </c>
      <c r="D206" s="31"/>
      <c r="E206" s="32" t="s">
        <v>402</v>
      </c>
      <c r="F206" s="33" t="s">
        <v>403</v>
      </c>
      <c r="G206" s="38">
        <v>20000000</v>
      </c>
      <c r="H206" s="35" t="s">
        <v>423</v>
      </c>
      <c r="I206" s="117" t="s">
        <v>629</v>
      </c>
      <c r="J206" s="33" t="s">
        <v>578</v>
      </c>
      <c r="K206" s="60" t="s">
        <v>598</v>
      </c>
      <c r="L206" s="34"/>
      <c r="M206" s="34"/>
      <c r="N206" s="35"/>
      <c r="O206" s="35"/>
      <c r="P206" s="35"/>
      <c r="Q206" s="35">
        <v>2</v>
      </c>
      <c r="R206" s="34"/>
      <c r="S206" s="36"/>
      <c r="T206" s="37"/>
      <c r="U206" s="185" t="e">
        <f>AND(((Критерий_дата-P206)&lt;Лист1!#REF!),Q206=0)</f>
        <v>#REF!</v>
      </c>
      <c r="V206" s="23"/>
      <c r="W206" s="23"/>
      <c r="X206" s="23"/>
    </row>
    <row r="207" spans="2:24" s="1" customFormat="1" x14ac:dyDescent="0.25">
      <c r="B207" s="9">
        <f>ROW()-ROW(Лист1!$B$5)</f>
        <v>202</v>
      </c>
      <c r="C207" s="133" t="s">
        <v>459</v>
      </c>
      <c r="D207" s="31"/>
      <c r="E207" s="32" t="s">
        <v>460</v>
      </c>
      <c r="F207" s="33" t="s">
        <v>286</v>
      </c>
      <c r="G207" s="38">
        <v>23007934</v>
      </c>
      <c r="H207" s="33"/>
      <c r="I207" s="33"/>
      <c r="J207" s="33" t="s">
        <v>1047</v>
      </c>
      <c r="K207" s="60" t="s">
        <v>602</v>
      </c>
      <c r="L207" s="34"/>
      <c r="M207" s="34"/>
      <c r="N207" s="35">
        <v>1</v>
      </c>
      <c r="O207" s="35"/>
      <c r="P207" s="176">
        <v>44656</v>
      </c>
      <c r="Q207" s="35">
        <v>0</v>
      </c>
      <c r="R207" s="34"/>
      <c r="S207" s="36"/>
      <c r="T207" s="37"/>
      <c r="U207" s="185" t="e">
        <f>AND(((Критерий_дата-P207)&lt;Лист1!#REF!),Q207=0)</f>
        <v>#REF!</v>
      </c>
    </row>
    <row r="208" spans="2:24" s="1" customFormat="1" ht="108" x14ac:dyDescent="0.25">
      <c r="B208" s="9">
        <f>ROW()-ROW(Лист1!$B$5)</f>
        <v>203</v>
      </c>
      <c r="C208" s="76" t="s">
        <v>424</v>
      </c>
      <c r="D208" s="31"/>
      <c r="E208" s="32" t="s">
        <v>521</v>
      </c>
      <c r="F208" s="33" t="s">
        <v>8</v>
      </c>
      <c r="G208" s="38">
        <v>20110000</v>
      </c>
      <c r="H208" s="33" t="s">
        <v>441</v>
      </c>
      <c r="I208" s="33"/>
      <c r="J208" s="33" t="s">
        <v>579</v>
      </c>
      <c r="K208" s="60" t="s">
        <v>606</v>
      </c>
      <c r="L208" s="34"/>
      <c r="M208" s="34"/>
      <c r="N208" s="35">
        <v>1</v>
      </c>
      <c r="O208" s="35"/>
      <c r="P208" s="176">
        <v>44588</v>
      </c>
      <c r="Q208" s="35">
        <v>0</v>
      </c>
      <c r="R208" s="34"/>
      <c r="S208" s="36"/>
      <c r="T208" s="37"/>
      <c r="U208" s="185" t="e">
        <f>AND(((Критерий_дата-P208)&lt;Лист1!#REF!),Q208=0)</f>
        <v>#REF!</v>
      </c>
    </row>
    <row r="209" spans="1:24" s="1" customFormat="1" ht="48" x14ac:dyDescent="0.25">
      <c r="B209" s="9">
        <f>ROW()-ROW(Лист1!$B$5)</f>
        <v>204</v>
      </c>
      <c r="C209" s="76" t="s">
        <v>181</v>
      </c>
      <c r="D209" s="31"/>
      <c r="E209" s="32" t="s">
        <v>182</v>
      </c>
      <c r="F209" s="33" t="s">
        <v>18</v>
      </c>
      <c r="G209" s="37">
        <v>20101316</v>
      </c>
      <c r="H209" s="35"/>
      <c r="I209" s="35"/>
      <c r="J209" s="33" t="s">
        <v>183</v>
      </c>
      <c r="K209" s="34" t="s">
        <v>602</v>
      </c>
      <c r="L209" s="34"/>
      <c r="M209" s="34"/>
      <c r="N209" s="35"/>
      <c r="O209" s="35"/>
      <c r="P209" s="176">
        <v>44265</v>
      </c>
      <c r="Q209" s="35">
        <v>0</v>
      </c>
      <c r="R209" s="34"/>
      <c r="S209" s="36"/>
      <c r="T209" s="37"/>
      <c r="U209" s="185" t="e">
        <f>AND(((Критерий_дата-P209)&lt;Лист1!#REF!),Q209=0)</f>
        <v>#REF!</v>
      </c>
    </row>
    <row r="210" spans="1:24" s="1" customFormat="1" ht="60" x14ac:dyDescent="0.25">
      <c r="B210" s="84">
        <f>ROW()-ROW(Лист1!$B$5)</f>
        <v>205</v>
      </c>
      <c r="C210" s="76" t="s">
        <v>295</v>
      </c>
      <c r="D210" s="120"/>
      <c r="E210" s="121" t="s">
        <v>296</v>
      </c>
      <c r="F210" s="122" t="s">
        <v>297</v>
      </c>
      <c r="G210" s="37">
        <v>26935792</v>
      </c>
      <c r="H210" s="50"/>
      <c r="I210" s="50"/>
      <c r="J210" s="122" t="s">
        <v>298</v>
      </c>
      <c r="K210" s="69"/>
      <c r="L210" s="69"/>
      <c r="M210" s="69"/>
      <c r="N210" s="50"/>
      <c r="O210" s="50"/>
      <c r="P210" s="181">
        <v>44336</v>
      </c>
      <c r="Q210" s="50">
        <v>0</v>
      </c>
      <c r="R210" s="69"/>
      <c r="S210" s="125"/>
      <c r="T210" s="123"/>
      <c r="U210" s="185" t="e">
        <f>AND(((Критерий_дата-P210)&lt;Лист1!#REF!),Q210=0)</f>
        <v>#REF!</v>
      </c>
    </row>
    <row r="211" spans="1:24" s="1" customFormat="1" ht="36" x14ac:dyDescent="0.25">
      <c r="B211" s="9">
        <f>ROW()-ROW(Лист1!$B$5)</f>
        <v>206</v>
      </c>
      <c r="C211" s="76" t="s">
        <v>328</v>
      </c>
      <c r="D211" s="31"/>
      <c r="E211" s="32" t="s">
        <v>329</v>
      </c>
      <c r="F211" s="33" t="s">
        <v>8</v>
      </c>
      <c r="G211" s="38">
        <v>26832080</v>
      </c>
      <c r="H211" s="35"/>
      <c r="I211" s="35"/>
      <c r="J211" s="33" t="s">
        <v>330</v>
      </c>
      <c r="K211" s="34"/>
      <c r="L211" s="34"/>
      <c r="M211" s="34"/>
      <c r="N211" s="35">
        <v>1</v>
      </c>
      <c r="O211" s="35"/>
      <c r="P211" s="176">
        <v>44427</v>
      </c>
      <c r="Q211" s="35">
        <v>0</v>
      </c>
      <c r="R211" s="34"/>
      <c r="S211" s="36"/>
      <c r="T211" s="37"/>
      <c r="U211" s="185" t="e">
        <f>AND(((Критерий_дата-P211)&lt;Лист1!#REF!),Q211=0)</f>
        <v>#REF!</v>
      </c>
    </row>
    <row r="212" spans="1:24" s="1" customFormat="1" ht="84" x14ac:dyDescent="0.25">
      <c r="B212" s="9">
        <f>ROW()-ROW(Лист1!$B$5)</f>
        <v>207</v>
      </c>
      <c r="C212" s="76" t="s">
        <v>425</v>
      </c>
      <c r="D212" s="31"/>
      <c r="E212" s="32" t="s">
        <v>428</v>
      </c>
      <c r="F212" s="33" t="s">
        <v>426</v>
      </c>
      <c r="G212" s="38">
        <v>25000000</v>
      </c>
      <c r="H212" s="35" t="s">
        <v>429</v>
      </c>
      <c r="I212" s="35"/>
      <c r="J212" s="33" t="s">
        <v>580</v>
      </c>
      <c r="K212" s="60"/>
      <c r="L212" s="34"/>
      <c r="M212" s="34"/>
      <c r="N212" s="35">
        <v>1</v>
      </c>
      <c r="O212" s="35"/>
      <c r="P212" s="176"/>
      <c r="Q212" s="35">
        <v>0</v>
      </c>
      <c r="R212" s="34"/>
      <c r="S212" s="36"/>
      <c r="T212" s="37"/>
      <c r="U212" s="185" t="e">
        <f>AND(((Критерий_дата-P212)&lt;Лист1!#REF!),Q212=0)</f>
        <v>#REF!</v>
      </c>
    </row>
    <row r="213" spans="1:24" s="1" customFormat="1" ht="60" x14ac:dyDescent="0.25">
      <c r="B213" s="14">
        <f>ROW()-ROW(Лист1!$B$5)</f>
        <v>208</v>
      </c>
      <c r="C213" s="64" t="s">
        <v>76</v>
      </c>
      <c r="D213" s="91">
        <v>2764</v>
      </c>
      <c r="E213" s="42" t="s">
        <v>83</v>
      </c>
      <c r="F213" s="33" t="s">
        <v>77</v>
      </c>
      <c r="G213" s="37">
        <v>29000000</v>
      </c>
      <c r="H213" s="35" t="s">
        <v>66</v>
      </c>
      <c r="I213" s="35"/>
      <c r="J213" s="33" t="s">
        <v>94</v>
      </c>
      <c r="K213" s="59" t="s">
        <v>602</v>
      </c>
      <c r="L213" s="66" t="s">
        <v>12</v>
      </c>
      <c r="M213" s="66"/>
      <c r="N213" s="31"/>
      <c r="O213" s="31"/>
      <c r="P213" s="180">
        <v>44089</v>
      </c>
      <c r="Q213" s="35">
        <v>0</v>
      </c>
      <c r="R213" s="66" t="s">
        <v>87</v>
      </c>
      <c r="S213" s="34"/>
      <c r="T213" s="102"/>
      <c r="U213" s="185" t="e">
        <f>AND(((Критерий_дата-P213)&lt;Лист1!#REF!),Q213=0)</f>
        <v>#REF!</v>
      </c>
    </row>
    <row r="214" spans="1:24" s="1" customFormat="1" ht="64.900000000000006" customHeight="1" x14ac:dyDescent="0.25">
      <c r="B214" s="9">
        <f>ROW()-ROW(Лист1!$B$5)</f>
        <v>209</v>
      </c>
      <c r="C214" s="147" t="s">
        <v>442</v>
      </c>
      <c r="D214" s="39"/>
      <c r="E214" s="42" t="s">
        <v>443</v>
      </c>
      <c r="F214" s="40" t="s">
        <v>73</v>
      </c>
      <c r="G214" s="38">
        <v>35000000</v>
      </c>
      <c r="H214" s="35" t="s">
        <v>378</v>
      </c>
      <c r="I214" s="117" t="s">
        <v>658</v>
      </c>
      <c r="J214" s="112" t="s">
        <v>582</v>
      </c>
      <c r="K214" s="60" t="s">
        <v>602</v>
      </c>
      <c r="L214" s="34"/>
      <c r="M214" s="34"/>
      <c r="N214" s="35">
        <v>0</v>
      </c>
      <c r="O214" s="35"/>
      <c r="P214" s="176">
        <v>44715</v>
      </c>
      <c r="Q214" s="35">
        <v>0</v>
      </c>
      <c r="R214" s="34"/>
      <c r="S214" s="36"/>
      <c r="T214" s="37"/>
      <c r="U214" s="185" t="e">
        <f>AND(((Критерий_дата-P214)&lt;Лист1!#REF!),Q214=0)</f>
        <v>#REF!</v>
      </c>
    </row>
    <row r="215" spans="1:24" s="1" customFormat="1" ht="144" x14ac:dyDescent="0.25">
      <c r="A215" s="2"/>
      <c r="B215" s="35">
        <f>ROW()-ROW(Лист1!$B$5)</f>
        <v>210</v>
      </c>
      <c r="C215" s="76" t="s">
        <v>172</v>
      </c>
      <c r="D215" s="31"/>
      <c r="E215" s="32" t="s">
        <v>114</v>
      </c>
      <c r="F215" s="33" t="s">
        <v>115</v>
      </c>
      <c r="G215" s="37">
        <v>48205000</v>
      </c>
      <c r="H215" s="35"/>
      <c r="I215" s="35"/>
      <c r="J215" s="33" t="s">
        <v>173</v>
      </c>
      <c r="K215" s="34"/>
      <c r="L215" s="34"/>
      <c r="M215" s="34"/>
      <c r="N215" s="35"/>
      <c r="O215" s="35"/>
      <c r="P215" s="176">
        <v>44267</v>
      </c>
      <c r="Q215" s="35">
        <v>0</v>
      </c>
      <c r="R215" s="34"/>
      <c r="S215" s="36"/>
      <c r="T215" s="37"/>
      <c r="U215" s="185" t="e">
        <f>AND(((Критерий_дата-P215)&lt;Лист1!#REF!),Q215=0)</f>
        <v>#REF!</v>
      </c>
    </row>
    <row r="216" spans="1:24" s="1" customFormat="1" ht="60" x14ac:dyDescent="0.25">
      <c r="A216" s="2"/>
      <c r="B216" s="83">
        <f>ROW()-ROW(Лист1!$B$5)</f>
        <v>211</v>
      </c>
      <c r="C216" s="88" t="s">
        <v>269</v>
      </c>
      <c r="D216" s="140"/>
      <c r="E216" s="141" t="s">
        <v>270</v>
      </c>
      <c r="F216" s="142" t="s">
        <v>188</v>
      </c>
      <c r="G216" s="37">
        <v>47896500</v>
      </c>
      <c r="H216" s="49"/>
      <c r="I216" s="49"/>
      <c r="J216" s="142" t="s">
        <v>271</v>
      </c>
      <c r="K216" s="68" t="s">
        <v>90</v>
      </c>
      <c r="L216" s="68"/>
      <c r="M216" s="68"/>
      <c r="N216" s="49">
        <v>1</v>
      </c>
      <c r="O216" s="49"/>
      <c r="P216" s="177">
        <v>44350</v>
      </c>
      <c r="Q216" s="49">
        <v>0</v>
      </c>
      <c r="R216" s="68"/>
      <c r="S216" s="144"/>
      <c r="T216" s="145"/>
      <c r="U216" s="185" t="e">
        <f>AND(((Критерий_дата-P216)&lt;Лист1!#REF!),Q216=0)</f>
        <v>#REF!</v>
      </c>
    </row>
    <row r="217" spans="1:24" s="1" customFormat="1" ht="108" x14ac:dyDescent="0.25">
      <c r="B217" s="9">
        <f>ROW()-ROW(Лист1!$B$5)</f>
        <v>212</v>
      </c>
      <c r="C217" s="76" t="s">
        <v>393</v>
      </c>
      <c r="D217" s="31"/>
      <c r="E217" s="32" t="s">
        <v>394</v>
      </c>
      <c r="F217" s="33" t="s">
        <v>47</v>
      </c>
      <c r="G217" s="38">
        <v>47115901</v>
      </c>
      <c r="H217" s="35"/>
      <c r="I217" s="35"/>
      <c r="J217" s="33" t="s">
        <v>395</v>
      </c>
      <c r="K217" s="60"/>
      <c r="L217" s="34"/>
      <c r="M217" s="34"/>
      <c r="N217" s="35"/>
      <c r="O217" s="35"/>
      <c r="P217" s="35"/>
      <c r="Q217" s="35">
        <v>0</v>
      </c>
      <c r="R217" s="34"/>
      <c r="S217" s="36"/>
      <c r="T217" s="37"/>
      <c r="U217" s="185" t="e">
        <f>AND(((Критерий_дата-P217)&lt;Лист1!#REF!),Q217=0)</f>
        <v>#REF!</v>
      </c>
    </row>
    <row r="218" spans="1:24" s="1" customFormat="1" ht="84" x14ac:dyDescent="0.25">
      <c r="B218" s="9">
        <f>ROW()-ROW(Лист1!$B$5)</f>
        <v>213</v>
      </c>
      <c r="C218" s="88" t="s">
        <v>264</v>
      </c>
      <c r="D218" s="31">
        <v>2819</v>
      </c>
      <c r="E218" s="32" t="s">
        <v>265</v>
      </c>
      <c r="F218" s="33" t="s">
        <v>47</v>
      </c>
      <c r="G218" s="38">
        <v>46743526</v>
      </c>
      <c r="H218" s="35" t="s">
        <v>423</v>
      </c>
      <c r="I218" s="35"/>
      <c r="J218" s="33" t="s">
        <v>683</v>
      </c>
      <c r="K218" s="34"/>
      <c r="L218" s="34"/>
      <c r="M218" s="34"/>
      <c r="N218" s="35">
        <v>1</v>
      </c>
      <c r="O218" s="35"/>
      <c r="P218" s="176">
        <v>44726</v>
      </c>
      <c r="Q218" s="35">
        <v>0</v>
      </c>
      <c r="R218" s="34"/>
      <c r="S218" s="36"/>
      <c r="T218" s="37">
        <f>G218</f>
        <v>46743526</v>
      </c>
      <c r="U218" s="185" t="e">
        <f>AND(((Критерий_дата-P218)&lt;Лист1!#REF!),Q218=0)</f>
        <v>#REF!</v>
      </c>
    </row>
    <row r="219" spans="1:24" s="23" customFormat="1" ht="24" x14ac:dyDescent="0.25">
      <c r="B219" s="35">
        <f>ROW()-ROW(Лист1!$B$5)</f>
        <v>214</v>
      </c>
      <c r="C219" s="88" t="s">
        <v>226</v>
      </c>
      <c r="D219" s="31"/>
      <c r="E219" s="32" t="s">
        <v>227</v>
      </c>
      <c r="F219" s="33" t="s">
        <v>20</v>
      </c>
      <c r="G219" s="37">
        <v>1223179</v>
      </c>
      <c r="H219" s="35"/>
      <c r="I219" s="35"/>
      <c r="J219" s="33" t="s">
        <v>228</v>
      </c>
      <c r="K219" s="34"/>
      <c r="L219" s="34"/>
      <c r="M219" s="34"/>
      <c r="N219" s="34"/>
      <c r="O219" s="34"/>
      <c r="P219" s="34"/>
      <c r="Q219" s="35">
        <v>-1</v>
      </c>
      <c r="R219" s="34"/>
      <c r="S219" s="36"/>
      <c r="T219" s="37"/>
      <c r="U219" s="185" t="e">
        <f>AND(((Критерий_дата-P219)&lt;Лист1!#REF!),Q219=0)</f>
        <v>#REF!</v>
      </c>
      <c r="V219" s="12"/>
      <c r="W219" s="1"/>
      <c r="X219" s="1"/>
    </row>
    <row r="220" spans="1:24" s="23" customFormat="1" ht="24" x14ac:dyDescent="0.25">
      <c r="B220" s="35">
        <f>ROW()-ROW(Лист1!$B$5)</f>
        <v>215</v>
      </c>
      <c r="C220" s="76" t="s">
        <v>206</v>
      </c>
      <c r="D220" s="31"/>
      <c r="E220" s="32" t="s">
        <v>56</v>
      </c>
      <c r="F220" s="33" t="s">
        <v>207</v>
      </c>
      <c r="G220" s="37">
        <v>1200000</v>
      </c>
      <c r="H220" s="35"/>
      <c r="I220" s="35"/>
      <c r="J220" s="33" t="s">
        <v>208</v>
      </c>
      <c r="K220" s="34"/>
      <c r="L220" s="34"/>
      <c r="M220" s="34"/>
      <c r="N220" s="34"/>
      <c r="O220" s="34"/>
      <c r="P220" s="34"/>
      <c r="Q220" s="35">
        <v>-1</v>
      </c>
      <c r="R220" s="34"/>
      <c r="S220" s="36"/>
      <c r="T220" s="37"/>
      <c r="U220" s="185" t="e">
        <f>AND(((Критерий_дата-P220)&lt;Лист1!#REF!),Q220=0)</f>
        <v>#REF!</v>
      </c>
      <c r="V220" s="1"/>
      <c r="W220" s="1"/>
      <c r="X220" s="1"/>
    </row>
    <row r="221" spans="1:24" s="23" customFormat="1" ht="36" x14ac:dyDescent="0.25">
      <c r="B221" s="35">
        <f>ROW()-ROW(Лист1!$B$5)</f>
        <v>216</v>
      </c>
      <c r="C221" s="77" t="s">
        <v>427</v>
      </c>
      <c r="D221" s="31"/>
      <c r="E221" s="32" t="s">
        <v>431</v>
      </c>
      <c r="F221" s="33" t="s">
        <v>434</v>
      </c>
      <c r="G221" s="37">
        <v>1200000</v>
      </c>
      <c r="H221" s="35"/>
      <c r="I221" s="35"/>
      <c r="J221" s="33" t="s">
        <v>554</v>
      </c>
      <c r="K221" s="60" t="s">
        <v>605</v>
      </c>
      <c r="L221" s="34"/>
      <c r="M221" s="34"/>
      <c r="N221" s="35">
        <v>1</v>
      </c>
      <c r="O221" s="35"/>
      <c r="P221" s="176">
        <v>44559</v>
      </c>
      <c r="Q221" s="35">
        <v>0</v>
      </c>
      <c r="R221" s="34"/>
      <c r="S221" s="36"/>
      <c r="T221" s="37"/>
      <c r="U221" s="185" t="e">
        <f>AND(((Критерий_дата-P221)&lt;Лист1!#REF!),Q221=0)</f>
        <v>#REF!</v>
      </c>
      <c r="V221" s="1"/>
      <c r="W221" s="1"/>
      <c r="X221" s="1"/>
    </row>
    <row r="222" spans="1:24" s="23" customFormat="1" ht="36" x14ac:dyDescent="0.25">
      <c r="B222" s="35">
        <f>ROW()-ROW(Лист1!$B$5)</f>
        <v>217</v>
      </c>
      <c r="C222" s="76" t="s">
        <v>319</v>
      </c>
      <c r="D222" s="31"/>
      <c r="E222" s="32" t="s">
        <v>320</v>
      </c>
      <c r="F222" s="33" t="s">
        <v>138</v>
      </c>
      <c r="G222" s="37">
        <v>1199857</v>
      </c>
      <c r="H222" s="35"/>
      <c r="I222" s="35"/>
      <c r="J222" s="33" t="s">
        <v>321</v>
      </c>
      <c r="K222" s="34"/>
      <c r="L222" s="34"/>
      <c r="M222" s="34"/>
      <c r="N222" s="35"/>
      <c r="O222" s="35"/>
      <c r="P222" s="176">
        <v>44371</v>
      </c>
      <c r="Q222" s="35">
        <v>0</v>
      </c>
      <c r="R222" s="34"/>
      <c r="S222" s="36"/>
      <c r="T222" s="37"/>
      <c r="U222" s="185" t="e">
        <f>AND(((Критерий_дата-P222)&lt;Лист1!#REF!),Q222=0)</f>
        <v>#REF!</v>
      </c>
      <c r="V222" s="1"/>
      <c r="W222" s="1"/>
      <c r="X222" s="1"/>
    </row>
    <row r="223" spans="1:24" s="23" customFormat="1" ht="108" x14ac:dyDescent="0.25">
      <c r="B223" s="35">
        <f>ROW()-ROW(Лист1!$B$5)</f>
        <v>218</v>
      </c>
      <c r="C223" s="77" t="s">
        <v>139</v>
      </c>
      <c r="D223" s="31"/>
      <c r="E223" s="32" t="s">
        <v>140</v>
      </c>
      <c r="F223" s="33" t="s">
        <v>8</v>
      </c>
      <c r="G223" s="37">
        <v>1089977</v>
      </c>
      <c r="H223" s="35"/>
      <c r="I223" s="35"/>
      <c r="J223" s="33" t="s">
        <v>565</v>
      </c>
      <c r="K223" s="34"/>
      <c r="L223" s="34"/>
      <c r="M223" s="34"/>
      <c r="N223" s="34"/>
      <c r="O223" s="34"/>
      <c r="P223" s="34"/>
      <c r="Q223" s="35">
        <v>-1</v>
      </c>
      <c r="R223" s="34"/>
      <c r="S223" s="36"/>
      <c r="T223" s="37"/>
      <c r="U223" s="185" t="e">
        <f>AND(((Критерий_дата-P223)&lt;Лист1!#REF!),Q223=0)</f>
        <v>#REF!</v>
      </c>
      <c r="V223" s="1"/>
      <c r="W223" s="1"/>
      <c r="X223" s="1"/>
    </row>
    <row r="224" spans="1:24" s="1" customFormat="1" ht="46.9" customHeight="1" x14ac:dyDescent="0.25">
      <c r="A224" s="2"/>
      <c r="B224" s="524">
        <f>ROW()-ROW(Лист1!$B$5)</f>
        <v>219</v>
      </c>
      <c r="C224" s="305" t="s">
        <v>1043</v>
      </c>
      <c r="D224" s="525">
        <v>2935</v>
      </c>
      <c r="E224" s="526" t="s">
        <v>1044</v>
      </c>
      <c r="F224" s="526" t="s">
        <v>8</v>
      </c>
      <c r="G224" s="527">
        <v>10500000</v>
      </c>
      <c r="H224" s="525" t="s">
        <v>39</v>
      </c>
      <c r="I224" s="528" t="str">
        <f>[356]!Статус</f>
        <v>20.04.2023
Отправлено заказчику. Прошла закупочная комиссия в четверг (28.09.23), принято положительное решение. Требуется запуск формуляра</v>
      </c>
      <c r="J224" s="526" t="s">
        <v>1314</v>
      </c>
      <c r="K224" s="525"/>
      <c r="L224" s="525"/>
      <c r="M224" s="11"/>
      <c r="N224" s="525"/>
      <c r="O224" s="525">
        <f>[356]!Результат_число</f>
        <v>0</v>
      </c>
      <c r="P224" s="525"/>
      <c r="Q224" s="525"/>
      <c r="R224" s="525"/>
      <c r="S224" s="529"/>
      <c r="T224" s="529"/>
      <c r="U224" s="529"/>
      <c r="V224" s="529"/>
      <c r="W224" s="529"/>
      <c r="X224" s="529"/>
    </row>
    <row r="225" spans="1:24" s="1" customFormat="1" ht="36" x14ac:dyDescent="0.25">
      <c r="A225" s="2"/>
      <c r="B225" s="35">
        <f>ROW()-ROW(Лист1!$B$5)</f>
        <v>220</v>
      </c>
      <c r="C225" s="30" t="s">
        <v>727</v>
      </c>
      <c r="D225" s="31"/>
      <c r="E225" s="31" t="s">
        <v>728</v>
      </c>
      <c r="F225" s="33" t="s">
        <v>729</v>
      </c>
      <c r="G225" s="37"/>
      <c r="H225" s="35"/>
      <c r="I225" s="33"/>
      <c r="J225" s="33" t="s">
        <v>730</v>
      </c>
      <c r="K225" s="34" t="s">
        <v>605</v>
      </c>
      <c r="L225" s="72"/>
      <c r="M225" s="174"/>
      <c r="N225" s="35"/>
      <c r="O225" s="35">
        <v>0</v>
      </c>
      <c r="P225" s="72"/>
      <c r="Q225" s="35"/>
      <c r="R225" s="35"/>
      <c r="S225" s="59"/>
      <c r="T225" s="59"/>
      <c r="U225" s="59"/>
      <c r="V225" s="34"/>
    </row>
    <row r="226" spans="1:24" s="20" customFormat="1" x14ac:dyDescent="0.25">
      <c r="A226" s="23"/>
      <c r="B226" s="35">
        <f>ROW()-ROW(Лист1!$B$5)</f>
        <v>221</v>
      </c>
      <c r="C226" s="133" t="s">
        <v>710</v>
      </c>
      <c r="D226" s="31"/>
      <c r="E226" s="32" t="s">
        <v>711</v>
      </c>
      <c r="F226" s="33" t="s">
        <v>286</v>
      </c>
      <c r="G226" s="37">
        <v>1358032</v>
      </c>
      <c r="H226" s="35"/>
      <c r="I226" s="33"/>
      <c r="J226" s="33" t="s">
        <v>913</v>
      </c>
      <c r="K226" s="34" t="s">
        <v>605</v>
      </c>
      <c r="L226" s="72"/>
      <c r="M226" s="35"/>
      <c r="N226" s="35"/>
      <c r="O226" s="35">
        <v>0</v>
      </c>
      <c r="P226" s="72"/>
      <c r="Q226" s="35"/>
      <c r="R226" s="35"/>
      <c r="S226" s="1"/>
      <c r="T226" s="1"/>
      <c r="U226" s="1"/>
    </row>
    <row r="227" spans="1:24" s="23" customFormat="1" ht="36" x14ac:dyDescent="0.25">
      <c r="A227" s="1"/>
      <c r="B227" s="35">
        <f>ROW()-ROW(Лист1!$B$5)</f>
        <v>222</v>
      </c>
      <c r="C227" s="133" t="s">
        <v>710</v>
      </c>
      <c r="D227" s="31"/>
      <c r="E227" s="32" t="s">
        <v>711</v>
      </c>
      <c r="F227" s="33" t="s">
        <v>286</v>
      </c>
      <c r="G227" s="37">
        <v>1358032</v>
      </c>
      <c r="H227" s="35" t="s">
        <v>745</v>
      </c>
      <c r="I227" s="33"/>
      <c r="J227" s="33" t="s">
        <v>712</v>
      </c>
      <c r="K227" s="34" t="s">
        <v>605</v>
      </c>
      <c r="L227" s="72"/>
      <c r="M227" s="35"/>
      <c r="N227" s="35"/>
      <c r="O227" s="35">
        <v>0</v>
      </c>
      <c r="P227" s="72"/>
      <c r="Q227" s="35"/>
      <c r="R227" s="35"/>
      <c r="S227" s="1"/>
      <c r="T227" s="1"/>
      <c r="U227" s="1"/>
    </row>
    <row r="228" spans="1:24" s="23" customFormat="1" ht="36" x14ac:dyDescent="0.25">
      <c r="A228" s="1"/>
      <c r="B228" s="35">
        <f>ROW()-ROW(Лист1!$B$5)</f>
        <v>223</v>
      </c>
      <c r="C228" s="133" t="s">
        <v>710</v>
      </c>
      <c r="D228" s="31"/>
      <c r="E228" s="32" t="s">
        <v>711</v>
      </c>
      <c r="F228" s="33" t="s">
        <v>286</v>
      </c>
      <c r="G228" s="37">
        <v>1358032</v>
      </c>
      <c r="H228" s="35"/>
      <c r="I228" s="33"/>
      <c r="J228" s="33" t="s">
        <v>712</v>
      </c>
      <c r="K228" s="34" t="s">
        <v>605</v>
      </c>
      <c r="L228" s="72"/>
      <c r="M228" s="35"/>
      <c r="N228" s="35"/>
      <c r="O228" s="35">
        <v>0</v>
      </c>
      <c r="P228" s="72"/>
      <c r="Q228" s="35"/>
      <c r="R228" s="35"/>
      <c r="S228" s="1"/>
      <c r="T228" s="1"/>
      <c r="U228" s="1"/>
    </row>
    <row r="229" spans="1:24" s="22" customFormat="1" ht="24" x14ac:dyDescent="0.25">
      <c r="A229" s="20"/>
      <c r="B229" s="35">
        <f>ROW()-ROW(Лист1!$B$5)</f>
        <v>224</v>
      </c>
      <c r="C229" s="76" t="s">
        <v>391</v>
      </c>
      <c r="D229" s="31"/>
      <c r="E229" s="32" t="s">
        <v>432</v>
      </c>
      <c r="F229" s="33" t="s">
        <v>392</v>
      </c>
      <c r="G229" s="37">
        <v>1482107</v>
      </c>
      <c r="H229" s="35"/>
      <c r="I229" s="35"/>
      <c r="J229" s="33" t="s">
        <v>433</v>
      </c>
      <c r="K229" s="60"/>
      <c r="L229" s="34"/>
      <c r="M229" s="35"/>
      <c r="N229" s="35"/>
      <c r="O229" s="35">
        <v>0</v>
      </c>
      <c r="P229" s="34"/>
      <c r="Q229" s="36"/>
      <c r="R229" s="37"/>
      <c r="S229" s="1"/>
      <c r="T229" s="1"/>
      <c r="U229" s="1"/>
    </row>
    <row r="230" spans="1:24" s="1" customFormat="1" ht="36" x14ac:dyDescent="0.25">
      <c r="B230" s="35">
        <f>ROW()-ROW(Лист1!$B$5)</f>
        <v>225</v>
      </c>
      <c r="C230" s="76" t="s">
        <v>131</v>
      </c>
      <c r="D230" s="31"/>
      <c r="E230" s="32" t="s">
        <v>132</v>
      </c>
      <c r="F230" s="33" t="s">
        <v>133</v>
      </c>
      <c r="G230" s="37">
        <v>2000000</v>
      </c>
      <c r="H230" s="35"/>
      <c r="I230" s="35"/>
      <c r="J230" s="33" t="s">
        <v>564</v>
      </c>
      <c r="K230" s="34" t="s">
        <v>908</v>
      </c>
      <c r="L230" s="34"/>
      <c r="M230" s="35"/>
      <c r="N230" s="35"/>
      <c r="O230" s="35">
        <v>0</v>
      </c>
      <c r="P230" s="34"/>
      <c r="Q230" s="36"/>
      <c r="R230" s="37"/>
    </row>
    <row r="231" spans="1:24" s="20" customFormat="1" ht="36" x14ac:dyDescent="0.25">
      <c r="A231" s="23"/>
      <c r="B231" s="35">
        <f>ROW()-ROW(Лист1!$B$5)</f>
        <v>226</v>
      </c>
      <c r="C231" s="30" t="s">
        <v>514</v>
      </c>
      <c r="D231" s="31"/>
      <c r="E231" s="32" t="s">
        <v>515</v>
      </c>
      <c r="F231" s="33" t="s">
        <v>73</v>
      </c>
      <c r="G231" s="38">
        <v>2069500</v>
      </c>
      <c r="H231" s="33"/>
      <c r="I231" s="33"/>
      <c r="J231" s="33" t="s">
        <v>1357</v>
      </c>
      <c r="K231" s="60" t="s">
        <v>908</v>
      </c>
      <c r="L231" s="34"/>
      <c r="M231" s="35"/>
      <c r="N231" s="35"/>
      <c r="O231" s="35">
        <v>0</v>
      </c>
      <c r="P231" s="34"/>
      <c r="Q231" s="36"/>
      <c r="R231" s="37"/>
      <c r="S231" s="1"/>
      <c r="T231" s="1"/>
      <c r="U231" s="1"/>
    </row>
    <row r="232" spans="1:24" s="1" customFormat="1" ht="12" x14ac:dyDescent="0.25">
      <c r="B232" s="45">
        <f>ROW()-ROW(Лист1!$B$5)</f>
        <v>227</v>
      </c>
      <c r="C232" s="76" t="s">
        <v>162</v>
      </c>
      <c r="D232" s="127"/>
      <c r="E232" s="128" t="s">
        <v>86</v>
      </c>
      <c r="F232" s="73" t="s">
        <v>163</v>
      </c>
      <c r="G232" s="129">
        <v>3125045</v>
      </c>
      <c r="H232" s="45"/>
      <c r="I232" s="45"/>
      <c r="J232" s="73" t="s">
        <v>566</v>
      </c>
      <c r="K232" s="67"/>
      <c r="L232" s="67"/>
      <c r="M232" s="45"/>
      <c r="N232" s="45"/>
      <c r="O232" s="45">
        <v>0</v>
      </c>
      <c r="P232" s="67"/>
      <c r="Q232" s="132"/>
      <c r="R232" s="129"/>
      <c r="S232" s="12"/>
    </row>
    <row r="233" spans="1:24" s="1" customFormat="1" ht="36" x14ac:dyDescent="0.25">
      <c r="B233" s="50">
        <f>ROW()-ROW(Лист1!$B$5)</f>
        <v>228</v>
      </c>
      <c r="C233" s="76" t="s">
        <v>284</v>
      </c>
      <c r="D233" s="120"/>
      <c r="E233" s="121" t="s">
        <v>285</v>
      </c>
      <c r="F233" s="122" t="s">
        <v>286</v>
      </c>
      <c r="G233" s="139">
        <v>2900000</v>
      </c>
      <c r="H233" s="50"/>
      <c r="I233" s="50"/>
      <c r="J233" s="122" t="s">
        <v>287</v>
      </c>
      <c r="K233" s="69"/>
      <c r="L233" s="69"/>
      <c r="M233" s="50"/>
      <c r="N233" s="50"/>
      <c r="O233" s="50">
        <v>0</v>
      </c>
      <c r="P233" s="69"/>
      <c r="Q233" s="125"/>
      <c r="R233" s="123"/>
    </row>
    <row r="234" spans="1:24" s="1" customFormat="1" ht="24" x14ac:dyDescent="0.25">
      <c r="B234" s="49">
        <f>ROW()-ROW(Лист1!$B$5)</f>
        <v>229</v>
      </c>
      <c r="C234" s="88" t="s">
        <v>261</v>
      </c>
      <c r="D234" s="140">
        <v>2707</v>
      </c>
      <c r="E234" s="141" t="s">
        <v>262</v>
      </c>
      <c r="F234" s="142" t="s">
        <v>47</v>
      </c>
      <c r="G234" s="37">
        <v>84058110</v>
      </c>
      <c r="H234" s="49"/>
      <c r="I234" s="512"/>
      <c r="J234" s="142" t="s">
        <v>263</v>
      </c>
      <c r="K234" s="68"/>
      <c r="L234" s="68"/>
      <c r="M234" s="49">
        <v>1</v>
      </c>
      <c r="N234" s="49"/>
      <c r="O234" s="49">
        <v>0</v>
      </c>
      <c r="P234" s="68"/>
      <c r="Q234" s="144"/>
      <c r="R234" s="145">
        <f>G234</f>
        <v>84058110</v>
      </c>
    </row>
    <row r="235" spans="1:24" s="1" customFormat="1" ht="12" x14ac:dyDescent="0.25">
      <c r="B235" s="45">
        <f>ROW()-ROW(Лист1!$B$5)</f>
        <v>230</v>
      </c>
      <c r="C235" s="76" t="s">
        <v>204</v>
      </c>
      <c r="D235" s="127">
        <v>2747</v>
      </c>
      <c r="E235" s="128" t="s">
        <v>435</v>
      </c>
      <c r="F235" s="73" t="s">
        <v>205</v>
      </c>
      <c r="G235" s="37">
        <v>80070296</v>
      </c>
      <c r="H235" s="45"/>
      <c r="I235" s="512"/>
      <c r="J235" s="73" t="s">
        <v>946</v>
      </c>
      <c r="K235" s="67" t="s">
        <v>602</v>
      </c>
      <c r="L235" s="67"/>
      <c r="M235" s="45">
        <v>1</v>
      </c>
      <c r="N235" s="45"/>
      <c r="O235" s="45">
        <v>0</v>
      </c>
      <c r="P235" s="67"/>
      <c r="Q235" s="132"/>
      <c r="R235" s="129">
        <f>G235</f>
        <v>80070296</v>
      </c>
    </row>
    <row r="236" spans="1:24" ht="63.6" customHeight="1" x14ac:dyDescent="0.25">
      <c r="A236" s="9">
        <f>ROW()-ROW(Лист1!$B$5)</f>
        <v>231</v>
      </c>
      <c r="B236" s="30" t="s">
        <v>753</v>
      </c>
      <c r="C236" s="31"/>
      <c r="D236" s="32" t="s">
        <v>754</v>
      </c>
      <c r="E236" s="33" t="s">
        <v>755</v>
      </c>
      <c r="F236" s="37" t="s">
        <v>756</v>
      </c>
      <c r="G236" s="35"/>
      <c r="H236" s="33"/>
      <c r="I236" s="42" t="s">
        <v>781</v>
      </c>
      <c r="J236" s="34" t="s">
        <v>597</v>
      </c>
      <c r="K236" s="72"/>
      <c r="L236" s="35"/>
      <c r="M236" s="35"/>
      <c r="N236" s="35">
        <v>0</v>
      </c>
      <c r="O236" s="72"/>
      <c r="P236" s="35"/>
      <c r="Q236" s="35"/>
    </row>
    <row r="237" spans="1:24" s="1" customFormat="1" ht="36" x14ac:dyDescent="0.25">
      <c r="B237" s="363">
        <f>ROW()-ROW(Лист1!$B$5)</f>
        <v>232</v>
      </c>
      <c r="C237" s="30" t="s">
        <v>591</v>
      </c>
      <c r="D237" s="127"/>
      <c r="E237" s="128" t="s">
        <v>472</v>
      </c>
      <c r="F237" s="73" t="s">
        <v>369</v>
      </c>
      <c r="G237" s="138">
        <v>70000000</v>
      </c>
      <c r="H237" s="73" t="s">
        <v>621</v>
      </c>
      <c r="I237" s="512" t="s">
        <v>1007</v>
      </c>
      <c r="J237" s="644"/>
      <c r="K237" s="67" t="s">
        <v>602</v>
      </c>
      <c r="L237" s="67"/>
      <c r="M237" s="45">
        <v>0</v>
      </c>
      <c r="N237" s="45"/>
      <c r="O237" s="45">
        <v>0</v>
      </c>
      <c r="P237" s="67"/>
      <c r="Q237" s="132"/>
      <c r="R237" s="129"/>
      <c r="S237" s="12"/>
      <c r="T237" s="12"/>
      <c r="U237" s="12"/>
      <c r="V237" s="12"/>
      <c r="W237" s="12"/>
      <c r="X237" s="12"/>
    </row>
    <row r="238" spans="1:24" s="1" customFormat="1" ht="96" x14ac:dyDescent="0.25">
      <c r="B238" s="9">
        <f>ROW()-ROW(Лист1!$B$5)</f>
        <v>233</v>
      </c>
      <c r="C238" s="30" t="s">
        <v>879</v>
      </c>
      <c r="D238" s="31"/>
      <c r="E238" s="32" t="s">
        <v>880</v>
      </c>
      <c r="F238" s="33" t="s">
        <v>47</v>
      </c>
      <c r="G238" s="37">
        <v>30000000</v>
      </c>
      <c r="H238" s="35" t="s">
        <v>423</v>
      </c>
      <c r="I238" s="295" t="s">
        <v>890</v>
      </c>
      <c r="J238" s="42" t="s">
        <v>924</v>
      </c>
      <c r="K238" s="34" t="s">
        <v>603</v>
      </c>
      <c r="L238" s="186"/>
      <c r="M238" s="39"/>
      <c r="N238" s="35"/>
      <c r="O238" s="35">
        <v>0</v>
      </c>
      <c r="P238" s="35"/>
      <c r="Q238" s="33" t="s">
        <v>889</v>
      </c>
      <c r="R238" s="187"/>
    </row>
    <row r="239" spans="1:24" s="1" customFormat="1" x14ac:dyDescent="0.25">
      <c r="B239" s="14">
        <f>ROW()-ROW(Лист1!$B$5)</f>
        <v>234</v>
      </c>
      <c r="C239" s="87" t="s">
        <v>109</v>
      </c>
      <c r="D239" s="127">
        <v>2715</v>
      </c>
      <c r="E239" s="128" t="s">
        <v>110</v>
      </c>
      <c r="F239" s="73" t="s">
        <v>107</v>
      </c>
      <c r="G239" s="37">
        <v>26780182</v>
      </c>
      <c r="H239" s="45"/>
      <c r="I239" s="295"/>
      <c r="J239" s="154" t="s">
        <v>108</v>
      </c>
      <c r="K239" s="67"/>
      <c r="L239" s="67"/>
      <c r="M239" s="45">
        <v>1</v>
      </c>
      <c r="N239" s="45"/>
      <c r="O239" s="45">
        <v>0</v>
      </c>
      <c r="P239" s="67"/>
      <c r="Q239" s="132">
        <v>44197</v>
      </c>
      <c r="R239" s="129">
        <v>26780182</v>
      </c>
    </row>
    <row r="240" spans="1:24" s="1" customFormat="1" ht="24" x14ac:dyDescent="0.25">
      <c r="B240" s="84">
        <f>ROW()-ROW(Лист1!$B$5)</f>
        <v>235</v>
      </c>
      <c r="C240" s="88" t="s">
        <v>340</v>
      </c>
      <c r="D240" s="120">
        <v>2613</v>
      </c>
      <c r="E240" s="121" t="s">
        <v>341</v>
      </c>
      <c r="F240" s="122" t="s">
        <v>73</v>
      </c>
      <c r="G240" s="139">
        <v>24553872</v>
      </c>
      <c r="H240" s="50"/>
      <c r="I240" s="295"/>
      <c r="J240" s="647" t="s">
        <v>342</v>
      </c>
      <c r="K240" s="69" t="s">
        <v>603</v>
      </c>
      <c r="L240" s="69"/>
      <c r="M240" s="50"/>
      <c r="N240" s="50"/>
      <c r="O240" s="50">
        <v>0</v>
      </c>
      <c r="P240" s="69"/>
      <c r="Q240" s="125"/>
      <c r="R240" s="123"/>
    </row>
    <row r="241" spans="1:21" s="1" customFormat="1" ht="72" x14ac:dyDescent="0.25">
      <c r="B241" s="35">
        <f>ROW()-ROW(Лист1!$B$5)</f>
        <v>236</v>
      </c>
      <c r="C241" s="76" t="s">
        <v>277</v>
      </c>
      <c r="D241" s="31"/>
      <c r="E241" s="32" t="s">
        <v>278</v>
      </c>
      <c r="F241" s="273" t="s">
        <v>78</v>
      </c>
      <c r="G241" s="38">
        <v>5118697</v>
      </c>
      <c r="H241" s="35"/>
      <c r="I241" s="35"/>
      <c r="J241" s="42" t="s">
        <v>280</v>
      </c>
      <c r="K241" s="34" t="s">
        <v>827</v>
      </c>
      <c r="L241" s="34"/>
      <c r="M241" s="35">
        <v>1</v>
      </c>
      <c r="N241" s="35"/>
      <c r="O241" s="35">
        <v>0</v>
      </c>
      <c r="P241" s="34"/>
      <c r="Q241" s="36"/>
      <c r="R241" s="37"/>
    </row>
    <row r="242" spans="1:21" s="1" customFormat="1" ht="36" x14ac:dyDescent="0.25">
      <c r="B242" s="29">
        <f>ROW()-ROW(Лист1!$B$5)</f>
        <v>237</v>
      </c>
      <c r="C242" s="76" t="s">
        <v>288</v>
      </c>
      <c r="D242" s="78"/>
      <c r="E242" s="116" t="s">
        <v>289</v>
      </c>
      <c r="F242" s="117" t="s">
        <v>290</v>
      </c>
      <c r="G242" s="149">
        <v>4800000</v>
      </c>
      <c r="H242" s="29"/>
      <c r="I242" s="29"/>
      <c r="J242" s="649" t="s">
        <v>291</v>
      </c>
      <c r="K242" s="60" t="s">
        <v>602</v>
      </c>
      <c r="L242" s="60"/>
      <c r="M242" s="29"/>
      <c r="N242" s="29"/>
      <c r="O242" s="29">
        <v>0</v>
      </c>
      <c r="P242" s="60"/>
      <c r="Q242" s="119"/>
      <c r="R242" s="118"/>
    </row>
    <row r="243" spans="1:21" s="1" customFormat="1" ht="24" x14ac:dyDescent="0.25">
      <c r="B243" s="29">
        <f>ROW()-ROW(Лист1!$B$5)</f>
        <v>238</v>
      </c>
      <c r="C243" s="87" t="s">
        <v>67</v>
      </c>
      <c r="D243" s="91"/>
      <c r="E243" s="42" t="s">
        <v>68</v>
      </c>
      <c r="F243" s="33" t="s">
        <v>69</v>
      </c>
      <c r="G243" s="37">
        <v>4061000</v>
      </c>
      <c r="H243" s="35"/>
      <c r="I243" s="35"/>
      <c r="J243" s="42" t="s">
        <v>72</v>
      </c>
      <c r="K243" s="34"/>
      <c r="L243" s="34"/>
      <c r="M243" s="35"/>
      <c r="N243" s="35"/>
      <c r="O243" s="35">
        <v>0</v>
      </c>
      <c r="P243" s="34"/>
      <c r="Q243" s="34"/>
      <c r="R243" s="102"/>
      <c r="S243" s="20"/>
      <c r="T243" s="20"/>
      <c r="U243" s="20"/>
    </row>
    <row r="244" spans="1:21" s="1" customFormat="1" ht="60" x14ac:dyDescent="0.25">
      <c r="B244" s="35">
        <f>ROW()-ROW(Лист1!$B$5)</f>
        <v>239</v>
      </c>
      <c r="C244" s="76" t="s">
        <v>170</v>
      </c>
      <c r="D244" s="31"/>
      <c r="E244" s="32" t="s">
        <v>112</v>
      </c>
      <c r="F244" s="33" t="s">
        <v>113</v>
      </c>
      <c r="G244" s="37">
        <v>2605225</v>
      </c>
      <c r="H244" s="35"/>
      <c r="I244" s="35"/>
      <c r="J244" s="42" t="s">
        <v>171</v>
      </c>
      <c r="K244" s="34"/>
      <c r="L244" s="34"/>
      <c r="M244" s="35"/>
      <c r="N244" s="35"/>
      <c r="O244" s="35">
        <v>0</v>
      </c>
      <c r="P244" s="34"/>
      <c r="Q244" s="36"/>
      <c r="R244" s="37"/>
    </row>
    <row r="245" spans="1:21" s="1" customFormat="1" ht="48" x14ac:dyDescent="0.25">
      <c r="B245" s="35">
        <f>ROW()-ROW(Лист1!$B$5)</f>
        <v>240</v>
      </c>
      <c r="C245" s="88" t="s">
        <v>164</v>
      </c>
      <c r="D245" s="31"/>
      <c r="E245" s="32" t="s">
        <v>112</v>
      </c>
      <c r="F245" s="33" t="s">
        <v>165</v>
      </c>
      <c r="G245" s="37">
        <v>2600000</v>
      </c>
      <c r="H245" s="35"/>
      <c r="I245" s="35"/>
      <c r="J245" s="42" t="s">
        <v>166</v>
      </c>
      <c r="K245" s="34"/>
      <c r="L245" s="34"/>
      <c r="M245" s="35">
        <v>1</v>
      </c>
      <c r="N245" s="35"/>
      <c r="O245" s="35">
        <v>0</v>
      </c>
      <c r="P245" s="34"/>
      <c r="Q245" s="36"/>
      <c r="R245" s="37"/>
    </row>
    <row r="246" spans="1:21" s="23" customFormat="1" ht="72" x14ac:dyDescent="0.25">
      <c r="B246" s="35">
        <f>ROW()-ROW(Лист1!$B$5)</f>
        <v>241</v>
      </c>
      <c r="C246" s="76" t="s">
        <v>383</v>
      </c>
      <c r="D246" s="31"/>
      <c r="E246" s="32" t="s">
        <v>384</v>
      </c>
      <c r="F246" s="33" t="s">
        <v>385</v>
      </c>
      <c r="G246" s="37">
        <v>1333546</v>
      </c>
      <c r="H246" s="35"/>
      <c r="I246" s="35"/>
      <c r="J246" s="42" t="s">
        <v>386</v>
      </c>
      <c r="K246" s="60"/>
      <c r="L246" s="34"/>
      <c r="M246" s="35"/>
      <c r="N246" s="35"/>
      <c r="O246" s="35">
        <v>0</v>
      </c>
      <c r="P246" s="34"/>
      <c r="Q246" s="36"/>
      <c r="R246" s="37"/>
      <c r="S246" s="1"/>
      <c r="T246" s="1"/>
      <c r="U246" s="1"/>
    </row>
    <row r="247" spans="1:21" s="1" customFormat="1" ht="24" x14ac:dyDescent="0.25">
      <c r="B247" s="35">
        <f>ROW()-ROW(Лист1!$B$5)</f>
        <v>242</v>
      </c>
      <c r="C247" s="30" t="s">
        <v>818</v>
      </c>
      <c r="D247" s="35"/>
      <c r="E247" s="42" t="s">
        <v>819</v>
      </c>
      <c r="F247" s="33" t="s">
        <v>79</v>
      </c>
      <c r="G247" s="38">
        <v>2303836</v>
      </c>
      <c r="H247" s="35" t="s">
        <v>39</v>
      </c>
      <c r="I247" s="726"/>
      <c r="J247" s="42" t="s">
        <v>820</v>
      </c>
      <c r="K247" s="34" t="s">
        <v>605</v>
      </c>
      <c r="L247" s="35"/>
      <c r="M247" s="39"/>
      <c r="N247" s="35"/>
      <c r="O247" s="35">
        <v>0</v>
      </c>
      <c r="P247" s="35"/>
      <c r="Q247" s="35"/>
      <c r="R247" s="35"/>
    </row>
    <row r="248" spans="1:21" s="1" customFormat="1" ht="36" x14ac:dyDescent="0.25">
      <c r="A248" s="22"/>
      <c r="B248" s="35">
        <f>ROW()-ROW(Лист1!$B$5)</f>
        <v>243</v>
      </c>
      <c r="C248" s="133" t="s">
        <v>811</v>
      </c>
      <c r="D248" s="35"/>
      <c r="E248" s="42" t="s">
        <v>812</v>
      </c>
      <c r="F248" s="42" t="s">
        <v>813</v>
      </c>
      <c r="G248" s="38">
        <v>2250000</v>
      </c>
      <c r="H248" s="35" t="s">
        <v>54</v>
      </c>
      <c r="I248" s="726"/>
      <c r="J248" s="42" t="s">
        <v>1301</v>
      </c>
      <c r="K248" s="34" t="s">
        <v>606</v>
      </c>
      <c r="L248" s="35"/>
      <c r="M248" s="39"/>
      <c r="N248" s="35"/>
      <c r="O248" s="35">
        <v>0</v>
      </c>
      <c r="P248" s="35"/>
      <c r="Q248" s="35"/>
      <c r="R248" s="35"/>
    </row>
    <row r="249" spans="1:21" s="22" customFormat="1" ht="84" x14ac:dyDescent="0.25">
      <c r="A249" s="20"/>
      <c r="B249" s="35">
        <f>ROW()-ROW(Лист1!$B$5)</f>
        <v>244</v>
      </c>
      <c r="C249" s="147" t="s">
        <v>806</v>
      </c>
      <c r="D249" s="39"/>
      <c r="E249" s="93" t="s">
        <v>808</v>
      </c>
      <c r="F249" s="40" t="s">
        <v>807</v>
      </c>
      <c r="G249" s="37">
        <v>2100000</v>
      </c>
      <c r="H249" s="39" t="s">
        <v>380</v>
      </c>
      <c r="I249" s="737" t="s">
        <v>831</v>
      </c>
      <c r="J249" s="93" t="s">
        <v>899</v>
      </c>
      <c r="K249" s="18" t="s">
        <v>605</v>
      </c>
      <c r="L249" s="39"/>
      <c r="M249" s="39"/>
      <c r="N249" s="39"/>
      <c r="O249" s="35">
        <v>0</v>
      </c>
      <c r="P249" s="39"/>
      <c r="Q249" s="39"/>
      <c r="R249" s="39"/>
      <c r="S249" s="1"/>
      <c r="T249" s="1"/>
      <c r="U249" s="1"/>
    </row>
    <row r="250" spans="1:21" s="20" customFormat="1" ht="48" x14ac:dyDescent="0.25">
      <c r="A250" s="22"/>
      <c r="B250" s="35">
        <v>339</v>
      </c>
      <c r="C250" s="133" t="s">
        <v>531</v>
      </c>
      <c r="D250" s="35"/>
      <c r="E250" s="42" t="s">
        <v>532</v>
      </c>
      <c r="F250" s="33" t="s">
        <v>9</v>
      </c>
      <c r="G250" s="38">
        <v>2094113</v>
      </c>
      <c r="H250" s="35"/>
      <c r="I250" s="51"/>
      <c r="J250" s="42" t="s">
        <v>709</v>
      </c>
      <c r="K250" s="79" t="s">
        <v>603</v>
      </c>
      <c r="L250" s="43"/>
      <c r="M250" s="35"/>
      <c r="N250" s="35"/>
      <c r="O250" s="35">
        <v>0</v>
      </c>
      <c r="P250" s="35"/>
      <c r="Q250" s="35"/>
      <c r="R250" s="35"/>
      <c r="S250" s="1"/>
      <c r="T250" s="1"/>
      <c r="U250" s="1"/>
    </row>
    <row r="251" spans="1:21" s="22" customFormat="1" ht="60" x14ac:dyDescent="0.25">
      <c r="A251" s="20"/>
      <c r="B251" s="35">
        <f>ROW()-ROW(Лист1!$B$5)</f>
        <v>246</v>
      </c>
      <c r="C251" s="133" t="s">
        <v>531</v>
      </c>
      <c r="D251" s="35"/>
      <c r="E251" s="42" t="s">
        <v>532</v>
      </c>
      <c r="F251" s="33" t="s">
        <v>9</v>
      </c>
      <c r="G251" s="38">
        <v>2094113</v>
      </c>
      <c r="H251" s="35"/>
      <c r="I251" s="51"/>
      <c r="J251" s="42" t="s">
        <v>533</v>
      </c>
      <c r="K251" s="79" t="s">
        <v>603</v>
      </c>
      <c r="L251" s="43"/>
      <c r="M251" s="35"/>
      <c r="N251" s="35"/>
      <c r="O251" s="35">
        <v>0</v>
      </c>
      <c r="P251" s="35"/>
      <c r="Q251" s="35"/>
      <c r="R251" s="35"/>
      <c r="S251" s="1"/>
      <c r="T251" s="1"/>
      <c r="U251" s="1"/>
    </row>
    <row r="252" spans="1:21" s="1" customFormat="1" ht="384" x14ac:dyDescent="0.25">
      <c r="B252" s="35">
        <v>345</v>
      </c>
      <c r="C252" s="30" t="s">
        <v>559</v>
      </c>
      <c r="D252" s="35"/>
      <c r="E252" s="42" t="s">
        <v>560</v>
      </c>
      <c r="F252" s="33" t="s">
        <v>561</v>
      </c>
      <c r="G252" s="35">
        <v>2045347</v>
      </c>
      <c r="H252" s="35" t="s">
        <v>608</v>
      </c>
      <c r="I252" s="726" t="s">
        <v>626</v>
      </c>
      <c r="J252" s="33" t="s">
        <v>686</v>
      </c>
      <c r="K252" s="59" t="s">
        <v>606</v>
      </c>
      <c r="L252" s="35"/>
      <c r="M252" s="35"/>
      <c r="N252" s="35"/>
      <c r="O252" s="35">
        <v>2</v>
      </c>
      <c r="P252" s="72"/>
      <c r="Q252" s="35"/>
      <c r="R252" s="35"/>
    </row>
    <row r="253" spans="1:21" s="22" customFormat="1" ht="36" x14ac:dyDescent="0.25">
      <c r="A253" s="1"/>
      <c r="B253" s="10">
        <f>ROW()-ROW(Лист1!$B$5)</f>
        <v>248</v>
      </c>
      <c r="C253" s="133" t="s">
        <v>507</v>
      </c>
      <c r="D253" s="31"/>
      <c r="E253" s="32" t="s">
        <v>55</v>
      </c>
      <c r="F253" s="33" t="s">
        <v>392</v>
      </c>
      <c r="G253" s="37">
        <v>2000000</v>
      </c>
      <c r="H253" s="35" t="s">
        <v>380</v>
      </c>
      <c r="I253" s="51"/>
      <c r="J253" s="42" t="s">
        <v>726</v>
      </c>
      <c r="K253" s="60" t="s">
        <v>603</v>
      </c>
      <c r="L253" s="34"/>
      <c r="M253" s="35"/>
      <c r="N253" s="35"/>
      <c r="O253" s="35">
        <v>0</v>
      </c>
      <c r="P253" s="34"/>
      <c r="Q253" s="36"/>
      <c r="R253" s="37"/>
      <c r="S253" s="1"/>
      <c r="T253" s="1"/>
      <c r="U253" s="1"/>
    </row>
    <row r="254" spans="1:21" s="1" customFormat="1" ht="96" x14ac:dyDescent="0.25">
      <c r="B254" s="9">
        <f>ROW()-ROW(Лист1!$B$5)</f>
        <v>249</v>
      </c>
      <c r="C254" s="133" t="s">
        <v>461</v>
      </c>
      <c r="D254" s="31"/>
      <c r="E254" s="32" t="s">
        <v>95</v>
      </c>
      <c r="F254" s="42" t="s">
        <v>286</v>
      </c>
      <c r="G254" s="37">
        <v>1920000</v>
      </c>
      <c r="H254" s="33"/>
      <c r="I254" s="726"/>
      <c r="J254" s="42" t="s">
        <v>462</v>
      </c>
      <c r="K254" s="60" t="s">
        <v>603</v>
      </c>
      <c r="L254" s="34"/>
      <c r="M254" s="35"/>
      <c r="N254" s="35"/>
      <c r="O254" s="35">
        <v>0</v>
      </c>
      <c r="P254" s="34"/>
      <c r="Q254" s="36"/>
      <c r="R254" s="37"/>
    </row>
    <row r="255" spans="1:21" s="1" customFormat="1" x14ac:dyDescent="0.25">
      <c r="B255" s="35">
        <f>ROW()-ROW(Лист1!$B$5)</f>
        <v>250</v>
      </c>
      <c r="C255" s="30" t="s">
        <v>488</v>
      </c>
      <c r="D255" s="31"/>
      <c r="E255" s="32" t="s">
        <v>51</v>
      </c>
      <c r="F255" s="33" t="s">
        <v>489</v>
      </c>
      <c r="G255" s="37">
        <v>1892699</v>
      </c>
      <c r="H255" s="33"/>
      <c r="I255" s="726"/>
      <c r="J255" s="42" t="s">
        <v>941</v>
      </c>
      <c r="K255" s="60" t="s">
        <v>605</v>
      </c>
      <c r="L255" s="34"/>
      <c r="M255" s="35"/>
      <c r="N255" s="35"/>
      <c r="O255" s="35">
        <v>0</v>
      </c>
      <c r="P255" s="34"/>
      <c r="Q255" s="36"/>
      <c r="R255" s="37"/>
    </row>
    <row r="256" spans="1:21" s="1" customFormat="1" ht="36" x14ac:dyDescent="0.25">
      <c r="B256" s="35">
        <f>ROW()-ROW(Лист1!$B$5)</f>
        <v>251</v>
      </c>
      <c r="C256" s="133" t="s">
        <v>452</v>
      </c>
      <c r="D256" s="31"/>
      <c r="E256" s="32" t="s">
        <v>453</v>
      </c>
      <c r="F256" s="33" t="s">
        <v>8</v>
      </c>
      <c r="G256" s="37">
        <v>1714243</v>
      </c>
      <c r="H256" s="33"/>
      <c r="I256" s="726"/>
      <c r="J256" s="42" t="s">
        <v>706</v>
      </c>
      <c r="K256" s="60" t="s">
        <v>603</v>
      </c>
      <c r="L256" s="34"/>
      <c r="M256" s="35">
        <v>1</v>
      </c>
      <c r="N256" s="35"/>
      <c r="O256" s="35">
        <v>0</v>
      </c>
      <c r="P256" s="34"/>
      <c r="Q256" s="36"/>
      <c r="R256" s="37"/>
    </row>
    <row r="257" spans="1:21" s="1" customFormat="1" ht="48" x14ac:dyDescent="0.25">
      <c r="B257" s="35">
        <f>ROW()-ROW(Лист1!$B$5)</f>
        <v>252</v>
      </c>
      <c r="C257" s="30" t="s">
        <v>446</v>
      </c>
      <c r="D257" s="31"/>
      <c r="E257" s="32" t="s">
        <v>112</v>
      </c>
      <c r="F257" s="33" t="s">
        <v>447</v>
      </c>
      <c r="G257" s="38">
        <v>1632349</v>
      </c>
      <c r="H257" s="33"/>
      <c r="I257" s="726"/>
      <c r="J257" s="33" t="s">
        <v>448</v>
      </c>
      <c r="K257" s="60"/>
      <c r="L257" s="34"/>
      <c r="M257" s="35"/>
      <c r="N257" s="35"/>
      <c r="O257" s="35">
        <v>-1</v>
      </c>
      <c r="P257" s="34"/>
      <c r="Q257" s="36"/>
      <c r="R257" s="37"/>
      <c r="S257" s="2"/>
      <c r="T257" s="2"/>
      <c r="U257" s="2"/>
    </row>
    <row r="258" spans="1:21" s="1" customFormat="1" ht="60" x14ac:dyDescent="0.25">
      <c r="B258" s="35">
        <v>352</v>
      </c>
      <c r="C258" s="30" t="s">
        <v>936</v>
      </c>
      <c r="D258" s="31"/>
      <c r="E258" s="32" t="s">
        <v>85</v>
      </c>
      <c r="F258" s="33" t="s">
        <v>937</v>
      </c>
      <c r="G258" s="37">
        <v>1587328</v>
      </c>
      <c r="H258" s="35"/>
      <c r="I258" s="726"/>
      <c r="J258" s="42" t="s">
        <v>938</v>
      </c>
      <c r="K258" s="34" t="s">
        <v>605</v>
      </c>
      <c r="L258" s="186"/>
      <c r="M258" s="35"/>
      <c r="N258" s="35"/>
      <c r="O258" s="35">
        <v>0</v>
      </c>
      <c r="P258" s="35"/>
      <c r="Q258" s="187"/>
      <c r="R258" s="187"/>
      <c r="S258" s="98"/>
      <c r="T258" s="98"/>
      <c r="U258" s="98"/>
    </row>
    <row r="259" spans="1:21" s="1" customFormat="1" ht="48" x14ac:dyDescent="0.25">
      <c r="B259" s="35">
        <f>ROW()-ROW(Лист1!$B$5)</f>
        <v>254</v>
      </c>
      <c r="C259" s="76" t="s">
        <v>409</v>
      </c>
      <c r="D259" s="31"/>
      <c r="E259" s="32" t="s">
        <v>410</v>
      </c>
      <c r="F259" s="33" t="s">
        <v>411</v>
      </c>
      <c r="G259" s="38">
        <v>1575000</v>
      </c>
      <c r="H259" s="35"/>
      <c r="I259" s="51"/>
      <c r="J259" s="42" t="s">
        <v>412</v>
      </c>
      <c r="K259" s="60"/>
      <c r="L259" s="34"/>
      <c r="M259" s="34"/>
      <c r="N259" s="34"/>
      <c r="O259" s="35">
        <v>-1</v>
      </c>
      <c r="P259" s="34"/>
      <c r="Q259" s="36"/>
      <c r="R259" s="37"/>
      <c r="S259" s="23"/>
      <c r="T259" s="23"/>
      <c r="U259" s="23"/>
    </row>
    <row r="260" spans="1:21" s="1" customFormat="1" ht="60" x14ac:dyDescent="0.25">
      <c r="A260" s="22"/>
      <c r="B260" s="35">
        <f>ROW()-ROW(Лист1!$B$5)</f>
        <v>255</v>
      </c>
      <c r="C260" s="30" t="s">
        <v>869</v>
      </c>
      <c r="D260" s="35"/>
      <c r="E260" s="42" t="s">
        <v>870</v>
      </c>
      <c r="F260" s="33" t="s">
        <v>3</v>
      </c>
      <c r="G260" s="38">
        <v>1500000</v>
      </c>
      <c r="H260" s="35" t="s">
        <v>54</v>
      </c>
      <c r="I260" s="51"/>
      <c r="J260" s="42" t="s">
        <v>871</v>
      </c>
      <c r="K260" s="34" t="s">
        <v>605</v>
      </c>
      <c r="L260" s="35"/>
      <c r="M260" s="39"/>
      <c r="N260" s="35"/>
      <c r="O260" s="35">
        <v>-1</v>
      </c>
      <c r="P260" s="35"/>
      <c r="Q260" s="35"/>
      <c r="R260" s="35"/>
    </row>
    <row r="261" spans="1:21" s="23" customFormat="1" ht="24" x14ac:dyDescent="0.25">
      <c r="A261" s="1"/>
      <c r="B261" s="35">
        <f>ROW()-ROW(Лист1!$B$5)</f>
        <v>256</v>
      </c>
      <c r="C261" s="88" t="s">
        <v>234</v>
      </c>
      <c r="D261" s="31"/>
      <c r="E261" s="32" t="s">
        <v>235</v>
      </c>
      <c r="F261" s="33" t="s">
        <v>236</v>
      </c>
      <c r="G261" s="37">
        <v>1336789.5</v>
      </c>
      <c r="H261" s="35"/>
      <c r="I261" s="51"/>
      <c r="J261" s="42" t="s">
        <v>685</v>
      </c>
      <c r="K261" s="60"/>
      <c r="L261" s="34"/>
      <c r="M261" s="34"/>
      <c r="N261" s="34"/>
      <c r="O261" s="35">
        <v>-1</v>
      </c>
      <c r="P261" s="34"/>
      <c r="Q261" s="36"/>
      <c r="R261" s="37"/>
      <c r="S261" s="1"/>
      <c r="T261" s="1"/>
      <c r="U261" s="1"/>
    </row>
    <row r="262" spans="1:21" s="23" customFormat="1" ht="84" x14ac:dyDescent="0.25">
      <c r="B262" s="35">
        <f>ROW()-ROW(Лист1!$B$5)</f>
        <v>257</v>
      </c>
      <c r="C262" s="30" t="s">
        <v>490</v>
      </c>
      <c r="D262" s="31"/>
      <c r="E262" s="32" t="s">
        <v>74</v>
      </c>
      <c r="F262" s="33" t="s">
        <v>491</v>
      </c>
      <c r="G262" s="38">
        <v>1236000</v>
      </c>
      <c r="H262" s="33" t="s">
        <v>381</v>
      </c>
      <c r="I262" s="726" t="s">
        <v>623</v>
      </c>
      <c r="J262" s="42" t="s">
        <v>587</v>
      </c>
      <c r="K262" s="60" t="s">
        <v>605</v>
      </c>
      <c r="L262" s="34"/>
      <c r="M262" s="35"/>
      <c r="N262" s="35"/>
      <c r="O262" s="35">
        <v>2</v>
      </c>
      <c r="P262" s="66" t="s">
        <v>21</v>
      </c>
      <c r="Q262" s="36"/>
      <c r="R262" s="37"/>
      <c r="S262" s="1"/>
      <c r="T262" s="1"/>
      <c r="U262" s="1"/>
    </row>
    <row r="263" spans="1:21" s="23" customFormat="1" ht="48" x14ac:dyDescent="0.25">
      <c r="A263" s="24"/>
      <c r="B263" s="35">
        <f>ROW()-ROW(Лист1!$B$5)</f>
        <v>258</v>
      </c>
      <c r="C263" s="30" t="s">
        <v>757</v>
      </c>
      <c r="D263" s="31"/>
      <c r="E263" s="32" t="s">
        <v>758</v>
      </c>
      <c r="F263" s="33" t="s">
        <v>760</v>
      </c>
      <c r="G263" s="37">
        <v>1000000</v>
      </c>
      <c r="H263" s="35"/>
      <c r="I263" s="726"/>
      <c r="J263" s="42" t="s">
        <v>759</v>
      </c>
      <c r="K263" s="17" t="s">
        <v>597</v>
      </c>
      <c r="L263" s="72"/>
      <c r="M263" s="35"/>
      <c r="N263" s="35"/>
      <c r="O263" s="35">
        <v>0</v>
      </c>
      <c r="P263" s="72"/>
      <c r="Q263" s="35"/>
      <c r="R263" s="35"/>
      <c r="S263" s="1"/>
      <c r="T263" s="1"/>
      <c r="U263" s="1"/>
    </row>
    <row r="264" spans="1:21" s="23" customFormat="1" ht="84" x14ac:dyDescent="0.25">
      <c r="B264" s="35">
        <f>ROW()-ROW(Лист1!$B$5)</f>
        <v>259</v>
      </c>
      <c r="C264" s="30" t="s">
        <v>727</v>
      </c>
      <c r="D264" s="31"/>
      <c r="E264" s="32" t="s">
        <v>728</v>
      </c>
      <c r="F264" s="33" t="s">
        <v>729</v>
      </c>
      <c r="G264" s="37">
        <v>199883</v>
      </c>
      <c r="H264" s="35"/>
      <c r="I264" s="726" t="s">
        <v>750</v>
      </c>
      <c r="J264" s="42" t="s">
        <v>752</v>
      </c>
      <c r="K264" s="34" t="s">
        <v>605</v>
      </c>
      <c r="L264" s="72"/>
      <c r="M264" s="35"/>
      <c r="N264" s="35"/>
      <c r="O264" s="35">
        <v>0</v>
      </c>
      <c r="P264" s="72"/>
      <c r="Q264" s="35"/>
      <c r="R264" s="35"/>
      <c r="S264" s="1"/>
      <c r="T264" s="1"/>
      <c r="U264" s="1"/>
    </row>
    <row r="265" spans="1:21" s="23" customFormat="1" ht="60" x14ac:dyDescent="0.25">
      <c r="B265" s="35">
        <f>ROW()-ROW(Лист1!$B$5)</f>
        <v>260</v>
      </c>
      <c r="C265" s="30" t="s">
        <v>475</v>
      </c>
      <c r="D265" s="31"/>
      <c r="E265" s="32" t="s">
        <v>492</v>
      </c>
      <c r="F265" s="33" t="s">
        <v>27</v>
      </c>
      <c r="G265" s="38">
        <v>189933</v>
      </c>
      <c r="H265" s="33"/>
      <c r="I265" s="726" t="s">
        <v>592</v>
      </c>
      <c r="J265" s="42" t="s">
        <v>584</v>
      </c>
      <c r="K265" s="60" t="s">
        <v>604</v>
      </c>
      <c r="L265" s="34"/>
      <c r="M265" s="35"/>
      <c r="N265" s="35"/>
      <c r="O265" s="35">
        <v>2</v>
      </c>
      <c r="P265" s="34"/>
      <c r="Q265" s="36"/>
      <c r="R265" s="37"/>
      <c r="S265" s="1"/>
      <c r="T265" s="1"/>
      <c r="U265" s="1"/>
    </row>
    <row r="266" spans="1:21" s="23" customFormat="1" ht="48" x14ac:dyDescent="0.25">
      <c r="B266" s="35">
        <f>ROW()-ROW(Лист1!$B$5)</f>
        <v>261</v>
      </c>
      <c r="C266" s="30" t="s">
        <v>543</v>
      </c>
      <c r="D266" s="35"/>
      <c r="E266" s="42" t="s">
        <v>544</v>
      </c>
      <c r="F266" s="33" t="s">
        <v>545</v>
      </c>
      <c r="G266" s="37">
        <v>126697</v>
      </c>
      <c r="H266" s="35"/>
      <c r="I266" s="51"/>
      <c r="J266" s="42" t="s">
        <v>546</v>
      </c>
      <c r="K266" s="75" t="s">
        <v>605</v>
      </c>
      <c r="L266" s="43"/>
      <c r="M266" s="35"/>
      <c r="N266" s="35"/>
      <c r="O266" s="35">
        <v>0</v>
      </c>
      <c r="P266" s="35"/>
      <c r="Q266" s="35"/>
      <c r="R266" s="35"/>
      <c r="S266" s="1"/>
      <c r="T266" s="1"/>
      <c r="U266" s="1"/>
    </row>
    <row r="267" spans="1:21" s="23" customFormat="1" ht="60" x14ac:dyDescent="0.25">
      <c r="B267" s="35">
        <f>ROW()-ROW(Лист1!$B$5)</f>
        <v>262</v>
      </c>
      <c r="C267" s="30" t="s">
        <v>727</v>
      </c>
      <c r="D267" s="31"/>
      <c r="E267" s="32" t="s">
        <v>728</v>
      </c>
      <c r="F267" s="33" t="s">
        <v>729</v>
      </c>
      <c r="G267" s="37">
        <v>45000</v>
      </c>
      <c r="H267" s="35" t="s">
        <v>745</v>
      </c>
      <c r="I267" s="726"/>
      <c r="J267" s="42" t="s">
        <v>739</v>
      </c>
      <c r="K267" s="98" t="s">
        <v>605</v>
      </c>
      <c r="L267" s="72"/>
      <c r="M267" s="35"/>
      <c r="N267" s="35"/>
      <c r="O267" s="35">
        <v>-1</v>
      </c>
      <c r="P267" s="72"/>
      <c r="Q267" s="35"/>
      <c r="R267" s="35"/>
      <c r="S267" s="1"/>
      <c r="T267" s="1"/>
      <c r="U267" s="1"/>
    </row>
    <row r="268" spans="1:21" s="23" customFormat="1" ht="48" x14ac:dyDescent="0.25">
      <c r="B268" s="45">
        <f>ROW()-ROW(Лист1!$B$5)</f>
        <v>263</v>
      </c>
      <c r="C268" s="133" t="s">
        <v>454</v>
      </c>
      <c r="D268" s="127"/>
      <c r="E268" s="128" t="s">
        <v>455</v>
      </c>
      <c r="F268" s="73" t="s">
        <v>104</v>
      </c>
      <c r="G268" s="129">
        <v>34533</v>
      </c>
      <c r="H268" s="73"/>
      <c r="I268" s="726"/>
      <c r="J268" s="154" t="s">
        <v>456</v>
      </c>
      <c r="K268" s="219" t="s">
        <v>605</v>
      </c>
      <c r="L268" s="67"/>
      <c r="M268" s="45"/>
      <c r="N268" s="45"/>
      <c r="O268" s="45">
        <v>0</v>
      </c>
      <c r="P268" s="67"/>
      <c r="Q268" s="132"/>
      <c r="R268" s="129"/>
      <c r="S268" s="12"/>
      <c r="T268" s="20"/>
      <c r="U268" s="20"/>
    </row>
    <row r="269" spans="1:21" s="23" customFormat="1" ht="36" x14ac:dyDescent="0.25">
      <c r="A269" s="2"/>
      <c r="B269" s="35">
        <f>ROW()-ROW(Лист1!$B$5)</f>
        <v>264</v>
      </c>
      <c r="C269" s="30" t="s">
        <v>473</v>
      </c>
      <c r="D269" s="31"/>
      <c r="E269" s="32" t="s">
        <v>74</v>
      </c>
      <c r="F269" s="33" t="s">
        <v>474</v>
      </c>
      <c r="G269" s="38"/>
      <c r="H269" s="33"/>
      <c r="I269" s="726"/>
      <c r="J269" s="42" t="s">
        <v>503</v>
      </c>
      <c r="K269" s="60"/>
      <c r="L269" s="34"/>
      <c r="M269" s="34"/>
      <c r="N269" s="34"/>
      <c r="O269" s="35">
        <v>-1</v>
      </c>
      <c r="P269" s="34"/>
      <c r="Q269" s="36"/>
      <c r="R269" s="37"/>
      <c r="S269" s="1"/>
      <c r="T269" s="1"/>
      <c r="U269" s="1"/>
    </row>
    <row r="270" spans="1:21" s="1" customFormat="1" ht="24" x14ac:dyDescent="0.25">
      <c r="A270" s="2"/>
      <c r="B270" s="9">
        <f>ROW()-ROW(Лист1!$B$5)</f>
        <v>265</v>
      </c>
      <c r="C270" s="76" t="s">
        <v>186</v>
      </c>
      <c r="D270" s="31"/>
      <c r="E270" s="32" t="s">
        <v>187</v>
      </c>
      <c r="F270" s="33" t="s">
        <v>188</v>
      </c>
      <c r="G270" s="37"/>
      <c r="H270" s="35"/>
      <c r="I270" s="51"/>
      <c r="J270" s="42" t="s">
        <v>189</v>
      </c>
      <c r="K270" s="34"/>
      <c r="L270" s="34"/>
      <c r="M270" s="34"/>
      <c r="N270" s="34"/>
      <c r="O270" s="35">
        <v>-1</v>
      </c>
      <c r="P270" s="34"/>
      <c r="Q270" s="36"/>
      <c r="R270" s="37"/>
    </row>
    <row r="271" spans="1:21" s="1" customFormat="1" ht="108" x14ac:dyDescent="0.25">
      <c r="A271" s="2"/>
      <c r="B271" s="35">
        <f>ROW()-ROW(Лист1!$B$5)</f>
        <v>266</v>
      </c>
      <c r="C271" s="30" t="s">
        <v>534</v>
      </c>
      <c r="D271" s="35"/>
      <c r="E271" s="42" t="s">
        <v>535</v>
      </c>
      <c r="F271" s="33" t="s">
        <v>536</v>
      </c>
      <c r="G271" s="38"/>
      <c r="H271" s="35" t="s">
        <v>608</v>
      </c>
      <c r="I271" s="726" t="s">
        <v>626</v>
      </c>
      <c r="J271" s="42" t="s">
        <v>620</v>
      </c>
      <c r="K271" s="79" t="s">
        <v>598</v>
      </c>
      <c r="L271" s="43"/>
      <c r="M271" s="35"/>
      <c r="N271" s="35"/>
      <c r="O271" s="35">
        <v>2</v>
      </c>
      <c r="P271" s="35"/>
      <c r="Q271" s="35"/>
      <c r="R271" s="35"/>
      <c r="S271" s="228"/>
    </row>
    <row r="272" spans="1:21" s="1" customFormat="1" ht="60" x14ac:dyDescent="0.25">
      <c r="A272" s="2"/>
      <c r="B272" s="35">
        <f>ROW()-ROW(Лист1!$B$5)</f>
        <v>267</v>
      </c>
      <c r="C272" s="133" t="s">
        <v>537</v>
      </c>
      <c r="D272" s="35"/>
      <c r="E272" s="42" t="s">
        <v>538</v>
      </c>
      <c r="F272" s="33" t="s">
        <v>539</v>
      </c>
      <c r="G272" s="38"/>
      <c r="H272" s="35" t="s">
        <v>608</v>
      </c>
      <c r="I272" s="726" t="s">
        <v>626</v>
      </c>
      <c r="J272" s="42" t="s">
        <v>1092</v>
      </c>
      <c r="K272" s="39"/>
      <c r="L272" s="43"/>
      <c r="M272" s="35"/>
      <c r="N272" s="35"/>
      <c r="O272" s="35">
        <v>2</v>
      </c>
      <c r="P272" s="35"/>
      <c r="Q272" s="35"/>
      <c r="R272" s="35"/>
      <c r="S272" s="228"/>
    </row>
    <row r="273" spans="1:22" s="1" customFormat="1" ht="36" x14ac:dyDescent="0.25">
      <c r="A273" s="2"/>
      <c r="B273" s="35">
        <f>ROW()-ROW(Лист1!$B$5)</f>
        <v>268</v>
      </c>
      <c r="C273" s="107" t="s">
        <v>516</v>
      </c>
      <c r="D273" s="31"/>
      <c r="E273" s="32" t="s">
        <v>517</v>
      </c>
      <c r="F273" s="33" t="s">
        <v>20</v>
      </c>
      <c r="G273" s="37"/>
      <c r="H273" s="35" t="s">
        <v>92</v>
      </c>
      <c r="I273" s="726" t="s">
        <v>625</v>
      </c>
      <c r="J273" s="42" t="s">
        <v>518</v>
      </c>
      <c r="K273" s="34" t="s">
        <v>438</v>
      </c>
      <c r="L273" s="34"/>
      <c r="M273" s="174">
        <v>-1</v>
      </c>
      <c r="N273" s="34"/>
      <c r="O273" s="35">
        <v>-1</v>
      </c>
      <c r="P273" s="66" t="s">
        <v>519</v>
      </c>
      <c r="Q273" s="36"/>
      <c r="R273" s="37"/>
      <c r="S273" s="59"/>
      <c r="T273" s="59"/>
      <c r="U273" s="59"/>
      <c r="V273" s="34"/>
    </row>
    <row r="274" spans="1:22" s="1" customFormat="1" ht="36" x14ac:dyDescent="0.25">
      <c r="A274" s="2"/>
      <c r="B274" s="35">
        <f>ROW()-ROW(Лист1!$B$5)</f>
        <v>269</v>
      </c>
      <c r="C274" s="133" t="s">
        <v>651</v>
      </c>
      <c r="D274" s="31"/>
      <c r="E274" s="31" t="s">
        <v>656</v>
      </c>
      <c r="F274" s="33" t="s">
        <v>239</v>
      </c>
      <c r="G274" s="37">
        <v>571620</v>
      </c>
      <c r="H274" s="35"/>
      <c r="I274" s="726"/>
      <c r="J274" s="42" t="s">
        <v>763</v>
      </c>
      <c r="K274" s="34" t="s">
        <v>908</v>
      </c>
      <c r="L274" s="34"/>
      <c r="M274" s="98"/>
      <c r="N274" s="34"/>
      <c r="O274" s="35">
        <v>0</v>
      </c>
      <c r="P274" s="65"/>
      <c r="Q274" s="36"/>
      <c r="R274" s="37"/>
      <c r="S274" s="60"/>
      <c r="T274" s="59"/>
      <c r="U274" s="59"/>
      <c r="V274" s="34"/>
    </row>
    <row r="275" spans="1:22" s="1" customFormat="1" ht="252" x14ac:dyDescent="0.25">
      <c r="A275" s="2"/>
      <c r="B275" s="35">
        <f>ROW()-ROW(Лист1!$B$5)</f>
        <v>270</v>
      </c>
      <c r="C275" s="107" t="s">
        <v>669</v>
      </c>
      <c r="D275" s="31"/>
      <c r="E275" s="32" t="s">
        <v>670</v>
      </c>
      <c r="F275" s="33" t="s">
        <v>671</v>
      </c>
      <c r="G275" s="37"/>
      <c r="H275" s="35"/>
      <c r="I275" s="726"/>
      <c r="J275" s="42" t="s">
        <v>672</v>
      </c>
      <c r="K275" s="34"/>
      <c r="L275" s="34"/>
      <c r="M275" s="98"/>
      <c r="N275" s="34"/>
      <c r="O275" s="35">
        <v>-1</v>
      </c>
      <c r="P275" s="65"/>
      <c r="Q275" s="36"/>
      <c r="R275" s="37"/>
      <c r="S275" s="59"/>
      <c r="T275" s="59"/>
      <c r="U275" s="59"/>
      <c r="V275" s="34"/>
    </row>
    <row r="276" spans="1:22" s="1" customFormat="1" ht="156" x14ac:dyDescent="0.25">
      <c r="A276" s="2"/>
      <c r="B276" s="35">
        <f>ROW()-ROW(Лист1!$B$5)</f>
        <v>271</v>
      </c>
      <c r="C276" s="30" t="s">
        <v>770</v>
      </c>
      <c r="D276" s="31"/>
      <c r="E276" s="32" t="s">
        <v>771</v>
      </c>
      <c r="F276" s="33" t="s">
        <v>415</v>
      </c>
      <c r="G276" s="37"/>
      <c r="H276" s="35" t="s">
        <v>380</v>
      </c>
      <c r="I276" s="726" t="s">
        <v>795</v>
      </c>
      <c r="J276" s="42" t="s">
        <v>782</v>
      </c>
      <c r="K276" s="34"/>
      <c r="L276" s="72"/>
      <c r="M276" s="174"/>
      <c r="N276" s="35"/>
      <c r="O276" s="35">
        <v>-1</v>
      </c>
      <c r="P276" s="72"/>
      <c r="Q276" s="35"/>
      <c r="R276" s="35"/>
      <c r="S276" s="34"/>
      <c r="T276" s="59"/>
      <c r="U276" s="59"/>
      <c r="V276" s="34"/>
    </row>
    <row r="277" spans="1:22" s="1" customFormat="1" ht="96" x14ac:dyDescent="0.25">
      <c r="A277" s="2"/>
      <c r="B277" s="35">
        <f>ROW()-ROW(Лист1!$B$5)</f>
        <v>272</v>
      </c>
      <c r="C277" s="30" t="s">
        <v>778</v>
      </c>
      <c r="D277" s="31"/>
      <c r="E277" s="32" t="s">
        <v>779</v>
      </c>
      <c r="F277" s="33" t="s">
        <v>27</v>
      </c>
      <c r="G277" s="37">
        <v>4768000</v>
      </c>
      <c r="H277" s="35" t="s">
        <v>380</v>
      </c>
      <c r="I277" s="726" t="s">
        <v>798</v>
      </c>
      <c r="J277" s="42" t="s">
        <v>810</v>
      </c>
      <c r="K277" s="34" t="s">
        <v>602</v>
      </c>
      <c r="L277" s="72"/>
      <c r="M277" s="174"/>
      <c r="N277" s="35"/>
      <c r="O277" s="35">
        <v>0</v>
      </c>
      <c r="P277" s="72"/>
      <c r="Q277" s="35"/>
      <c r="R277" s="35"/>
      <c r="S277" s="59"/>
      <c r="T277" s="59"/>
      <c r="U277" s="59"/>
      <c r="V277" s="34"/>
    </row>
    <row r="278" spans="1:22" s="1" customFormat="1" ht="156" x14ac:dyDescent="0.25">
      <c r="A278" s="2"/>
      <c r="B278" s="35">
        <f>ROW()-ROW(Лист1!$B$5)</f>
        <v>273</v>
      </c>
      <c r="C278" s="30" t="s">
        <v>796</v>
      </c>
      <c r="D278" s="31"/>
      <c r="E278" s="32" t="s">
        <v>788</v>
      </c>
      <c r="F278" s="33" t="s">
        <v>789</v>
      </c>
      <c r="G278" s="37"/>
      <c r="H278" s="35" t="s">
        <v>65</v>
      </c>
      <c r="I278" s="726" t="s">
        <v>797</v>
      </c>
      <c r="J278" s="42" t="s">
        <v>803</v>
      </c>
      <c r="K278" s="34"/>
      <c r="L278" s="72"/>
      <c r="M278" s="174"/>
      <c r="N278" s="35"/>
      <c r="O278" s="35">
        <v>-1</v>
      </c>
      <c r="P278" s="72"/>
      <c r="Q278" s="35"/>
      <c r="R278" s="35"/>
      <c r="S278" s="59"/>
      <c r="T278" s="59"/>
      <c r="U278" s="59"/>
      <c r="V278" s="34"/>
    </row>
    <row r="279" spans="1:22" s="1" customFormat="1" ht="120" x14ac:dyDescent="0.25">
      <c r="A279" s="2"/>
      <c r="B279" s="25">
        <f>ROW()-ROW(Лист1!$B$5)</f>
        <v>274</v>
      </c>
      <c r="C279" s="30" t="s">
        <v>815</v>
      </c>
      <c r="D279" s="35"/>
      <c r="E279" s="33" t="s">
        <v>816</v>
      </c>
      <c r="F279" s="42" t="s">
        <v>286</v>
      </c>
      <c r="G279" s="38">
        <v>523600</v>
      </c>
      <c r="H279" s="35" t="s">
        <v>88</v>
      </c>
      <c r="I279" s="726"/>
      <c r="J279" s="42" t="s">
        <v>817</v>
      </c>
      <c r="K279" s="34" t="s">
        <v>605</v>
      </c>
      <c r="L279" s="35"/>
      <c r="M279" s="2"/>
      <c r="N279" s="35"/>
      <c r="O279" s="35">
        <v>0</v>
      </c>
      <c r="P279" s="35"/>
      <c r="Q279" s="35"/>
      <c r="R279" s="35"/>
    </row>
    <row r="280" spans="1:22" s="1" customFormat="1" ht="409.5" x14ac:dyDescent="0.25">
      <c r="A280" s="2"/>
      <c r="B280" s="25">
        <f>ROW()-ROW(Лист1!$B$5)</f>
        <v>275</v>
      </c>
      <c r="C280" s="133" t="s">
        <v>691</v>
      </c>
      <c r="D280" s="31"/>
      <c r="E280" s="32" t="s">
        <v>82</v>
      </c>
      <c r="F280" s="33" t="s">
        <v>692</v>
      </c>
      <c r="G280" s="37" t="s">
        <v>49</v>
      </c>
      <c r="H280" s="35" t="s">
        <v>423</v>
      </c>
      <c r="I280" s="726" t="s">
        <v>769</v>
      </c>
      <c r="J280" s="42" t="s">
        <v>1520</v>
      </c>
      <c r="K280" s="34" t="s">
        <v>602</v>
      </c>
      <c r="L280" s="126" t="s">
        <v>12</v>
      </c>
      <c r="M280" s="2"/>
      <c r="N280" s="39"/>
      <c r="O280" s="39">
        <v>-1</v>
      </c>
      <c r="P280" s="126" t="s">
        <v>21</v>
      </c>
      <c r="Q280" s="39"/>
      <c r="R280" s="39"/>
    </row>
    <row r="281" spans="1:22" s="1" customFormat="1" ht="24" x14ac:dyDescent="0.25">
      <c r="A281" s="2"/>
      <c r="B281" s="189">
        <f>ROW()-ROW(Лист1!$B$5)</f>
        <v>276</v>
      </c>
      <c r="C281" s="197" t="s">
        <v>875</v>
      </c>
      <c r="D281" s="214"/>
      <c r="E281" s="216" t="s">
        <v>876</v>
      </c>
      <c r="F281" s="191" t="s">
        <v>877</v>
      </c>
      <c r="G281" s="190">
        <v>60000000</v>
      </c>
      <c r="H281" s="189" t="s">
        <v>378</v>
      </c>
      <c r="I281" s="311" t="s">
        <v>1814</v>
      </c>
      <c r="J281" s="650"/>
      <c r="K281" s="34" t="str">
        <f>[357]!ТКП_Тематика</f>
        <v>B</v>
      </c>
      <c r="L281" s="197" t="s">
        <v>12</v>
      </c>
      <c r="M281" s="2"/>
      <c r="N281" s="222">
        <v>15</v>
      </c>
      <c r="O281" s="314">
        <v>-1</v>
      </c>
      <c r="P281" s="222"/>
      <c r="Q281" s="222"/>
      <c r="R281" s="226"/>
      <c r="S281" s="229"/>
      <c r="T281" s="229"/>
      <c r="U281" s="229"/>
      <c r="V281" s="192"/>
    </row>
    <row r="282" spans="1:22" s="1" customFormat="1" ht="36" x14ac:dyDescent="0.25">
      <c r="A282" s="2"/>
      <c r="B282" s="193">
        <v>352</v>
      </c>
      <c r="C282" s="206" t="s">
        <v>881</v>
      </c>
      <c r="D282" s="215"/>
      <c r="E282" s="217" t="s">
        <v>882</v>
      </c>
      <c r="F282" s="194" t="s">
        <v>883</v>
      </c>
      <c r="G282" s="195"/>
      <c r="H282" s="193"/>
      <c r="I282" s="738"/>
      <c r="J282" s="765" t="s">
        <v>888</v>
      </c>
      <c r="K282" s="34"/>
      <c r="L282" s="221"/>
      <c r="M282" s="223"/>
      <c r="N282" s="193"/>
      <c r="O282" s="193">
        <v>-1</v>
      </c>
      <c r="P282" s="193"/>
      <c r="Q282" s="193"/>
      <c r="R282" s="224"/>
      <c r="S282" s="208"/>
      <c r="T282" s="208"/>
      <c r="U282" s="208"/>
      <c r="V282" s="196"/>
    </row>
    <row r="283" spans="1:22" s="1" customFormat="1" ht="48" x14ac:dyDescent="0.25">
      <c r="A283" s="2"/>
      <c r="B283" s="189">
        <v>352</v>
      </c>
      <c r="C283" s="197" t="s">
        <v>900</v>
      </c>
      <c r="D283" s="214"/>
      <c r="E283" s="216" t="s">
        <v>901</v>
      </c>
      <c r="F283" s="191" t="s">
        <v>27</v>
      </c>
      <c r="G283" s="190"/>
      <c r="H283" s="189" t="s">
        <v>380</v>
      </c>
      <c r="I283" s="739" t="s">
        <v>907</v>
      </c>
      <c r="J283" s="650" t="s">
        <v>925</v>
      </c>
      <c r="K283" s="192" t="s">
        <v>603</v>
      </c>
      <c r="L283" s="220"/>
      <c r="M283" s="222"/>
      <c r="N283" s="189"/>
      <c r="O283" s="189">
        <v>-1</v>
      </c>
      <c r="P283" s="226"/>
      <c r="Q283" s="189"/>
      <c r="R283" s="225"/>
      <c r="S283" s="229"/>
      <c r="T283" s="229"/>
      <c r="U283" s="229"/>
      <c r="V283" s="192"/>
    </row>
    <row r="284" spans="1:22" s="1" customFormat="1" ht="48" x14ac:dyDescent="0.25">
      <c r="A284" s="2"/>
      <c r="B284" s="35">
        <f>ROW()-ROW(Лист1!$B$5)</f>
        <v>279</v>
      </c>
      <c r="C284" s="206" t="s">
        <v>902</v>
      </c>
      <c r="D284" s="215"/>
      <c r="E284" s="217" t="s">
        <v>905</v>
      </c>
      <c r="F284" s="194" t="s">
        <v>27</v>
      </c>
      <c r="G284" s="195"/>
      <c r="H284" s="193"/>
      <c r="I284" s="738" t="s">
        <v>906</v>
      </c>
      <c r="J284" s="765" t="s">
        <v>926</v>
      </c>
      <c r="K284" s="196" t="s">
        <v>607</v>
      </c>
      <c r="L284" s="221"/>
      <c r="M284" s="223"/>
      <c r="N284" s="193"/>
      <c r="O284" s="193">
        <v>-1</v>
      </c>
      <c r="P284" s="224"/>
      <c r="Q284" s="193"/>
      <c r="R284" s="224"/>
      <c r="S284" s="196"/>
      <c r="T284" s="196"/>
      <c r="U284" s="196"/>
      <c r="V284" s="196"/>
    </row>
    <row r="285" spans="1:22" s="1" customFormat="1" ht="72" x14ac:dyDescent="0.25">
      <c r="A285" s="2"/>
      <c r="B285" s="189">
        <f>ROW()-ROW(Лист1!$B$5)</f>
        <v>280</v>
      </c>
      <c r="C285" s="197" t="s">
        <v>903</v>
      </c>
      <c r="D285" s="214"/>
      <c r="E285" s="214" t="s">
        <v>904</v>
      </c>
      <c r="F285" s="191" t="s">
        <v>1001</v>
      </c>
      <c r="G285" s="190">
        <v>55000000</v>
      </c>
      <c r="H285" s="189" t="s">
        <v>39</v>
      </c>
      <c r="I285" s="301" t="str">
        <f>[358]!Статус</f>
        <v>29.03.23
ОМ: требоуется отправка ТКП</v>
      </c>
      <c r="J285" s="650" t="s">
        <v>929</v>
      </c>
      <c r="K285" s="288" t="s">
        <v>602</v>
      </c>
      <c r="L285" s="220"/>
      <c r="M285" s="222"/>
      <c r="N285" s="189"/>
      <c r="O285" s="302">
        <f>[358]!Результат_число</f>
        <v>0</v>
      </c>
      <c r="P285" s="225"/>
      <c r="Q285" s="189"/>
      <c r="R285" s="225"/>
      <c r="S285" s="229">
        <f>2023-1976</f>
        <v>47</v>
      </c>
      <c r="T285" s="229"/>
      <c r="U285" s="229"/>
      <c r="V285" s="192"/>
    </row>
    <row r="286" spans="1:22" s="1" customFormat="1" ht="276" x14ac:dyDescent="0.25">
      <c r="A286" s="2"/>
      <c r="B286" s="193">
        <f>ROW()-ROW(Лист1!$B$5)</f>
        <v>281</v>
      </c>
      <c r="C286" s="212" t="s">
        <v>920</v>
      </c>
      <c r="D286" s="215"/>
      <c r="E286" s="217" t="s">
        <v>399</v>
      </c>
      <c r="F286" s="194" t="s">
        <v>5</v>
      </c>
      <c r="G286" s="195"/>
      <c r="H286" s="193" t="s">
        <v>380</v>
      </c>
      <c r="I286" s="738" t="s">
        <v>942</v>
      </c>
      <c r="J286" s="765" t="s">
        <v>958</v>
      </c>
      <c r="K286" s="196" t="s">
        <v>603</v>
      </c>
      <c r="L286" s="221"/>
      <c r="M286" s="193"/>
      <c r="N286" s="193"/>
      <c r="O286" s="193">
        <v>-1</v>
      </c>
      <c r="P286" s="193"/>
      <c r="Q286" s="224"/>
      <c r="R286" s="224"/>
      <c r="S286" s="208"/>
      <c r="T286" s="208"/>
      <c r="U286" s="208"/>
      <c r="V286" s="196"/>
    </row>
    <row r="287" spans="1:22" s="1" customFormat="1" ht="72" x14ac:dyDescent="0.25">
      <c r="A287" s="2"/>
      <c r="B287" s="189">
        <f>ROW()-ROW(Лист1!$B$5)</f>
        <v>282</v>
      </c>
      <c r="C287" s="197" t="s">
        <v>915</v>
      </c>
      <c r="D287" s="214"/>
      <c r="E287" s="216" t="s">
        <v>191</v>
      </c>
      <c r="F287" s="191" t="s">
        <v>916</v>
      </c>
      <c r="G287" s="190"/>
      <c r="H287" s="189" t="s">
        <v>65</v>
      </c>
      <c r="I287" s="739"/>
      <c r="J287" s="650" t="s">
        <v>927</v>
      </c>
      <c r="K287" s="192" t="s">
        <v>606</v>
      </c>
      <c r="L287" s="220"/>
      <c r="M287" s="189"/>
      <c r="N287" s="189"/>
      <c r="O287" s="189">
        <v>-1</v>
      </c>
      <c r="P287" s="189"/>
      <c r="Q287" s="225"/>
      <c r="R287" s="225"/>
      <c r="S287" s="192"/>
      <c r="T287" s="192"/>
      <c r="U287" s="192"/>
      <c r="V287" s="192"/>
    </row>
    <row r="288" spans="1:22" ht="84.75" x14ac:dyDescent="0.25">
      <c r="B288" s="906">
        <f>ROW()-ROW(Лист1!$B$5)</f>
        <v>283</v>
      </c>
      <c r="C288" s="912" t="s">
        <v>1697</v>
      </c>
      <c r="D288" s="906"/>
      <c r="E288" s="907" t="s">
        <v>1702</v>
      </c>
      <c r="F288" s="996" t="s">
        <v>1698</v>
      </c>
      <c r="G288" s="1033">
        <v>3000000</v>
      </c>
      <c r="H288" s="908" t="s">
        <v>92</v>
      </c>
      <c r="I288" s="953" t="str">
        <f>[182]!Статус</f>
        <v>05.03.25_x000D_
_x000D_ Созвонились с представителем заказчика - Болотов А.В., модернизируют стоечную систему. Ждем данные по частотам опроса, предварительно подсказали заказчику о возможности использовать каналы MR-114 с клемника XT01</v>
      </c>
      <c r="J288" s="909" t="s">
        <v>1726</v>
      </c>
      <c r="K288" s="908">
        <f>[182]!ТКП_Тематика</f>
        <v>0</v>
      </c>
      <c r="L288" s="910"/>
      <c r="M288" s="910"/>
      <c r="N288" s="910"/>
      <c r="O288" s="911">
        <f>[182]!Результат_число</f>
        <v>-1</v>
      </c>
      <c r="P288" s="906"/>
      <c r="Q288" s="906"/>
      <c r="R288" s="906"/>
    </row>
    <row r="289" spans="1:24" s="1" customFormat="1" ht="156" x14ac:dyDescent="0.25">
      <c r="A289" s="2"/>
      <c r="B289" s="432">
        <f>ROW()-ROW(Лист1!$B$5)</f>
        <v>284</v>
      </c>
      <c r="C289" s="499" t="s">
        <v>1289</v>
      </c>
      <c r="D289" s="504"/>
      <c r="E289" s="505" t="s">
        <v>1293</v>
      </c>
      <c r="F289" s="506" t="s">
        <v>664</v>
      </c>
      <c r="G289" s="517">
        <v>200000000</v>
      </c>
      <c r="H289" s="504" t="s">
        <v>1291</v>
      </c>
      <c r="I289" s="572" t="str">
        <f>[359]!Статус</f>
        <v>28.12.23_x000D_
ОМ: ТКП отправлено Исх№972 от 28.12.23
 10.01.24 отзвонились. ТКП находилось у заказчика в спаме. На ряд вопросов заказчику были даны разъяснения. Список остальных вопросов заказчик обещал прислать письмом.
18-19.06.24 Отправлена заполненная таблица по предприятию и уточнены технические вопросы. Взята пауза для расчёта и понимания стоимости на электромеханических принципах.
19.06-3.07 Переписка с контрагентами по сервоприводам , редукторам. Встречи и обсуждение деталей с А.Н. Поповым</v>
      </c>
      <c r="J289" s="505" t="s">
        <v>1336</v>
      </c>
      <c r="K289" s="508" t="str">
        <f>[359]!ТКП_Тематика</f>
        <v>FBKJ</v>
      </c>
      <c r="L289" s="504"/>
      <c r="M289" s="199"/>
      <c r="N289" s="504"/>
      <c r="O289" s="554">
        <f>[359]!Результат_число</f>
        <v>0</v>
      </c>
      <c r="P289" s="504"/>
      <c r="Q289" s="504"/>
      <c r="R289" s="504"/>
      <c r="S289" s="509"/>
      <c r="T289" s="509"/>
      <c r="U289" s="509"/>
      <c r="V289" s="509"/>
      <c r="W289" s="509"/>
      <c r="X289" s="509"/>
    </row>
    <row r="290" spans="1:24" s="1" customFormat="1" ht="48" x14ac:dyDescent="0.25">
      <c r="A290" s="2"/>
      <c r="B290" s="432">
        <f>ROW()-ROW(Лист1!$B$5)</f>
        <v>285</v>
      </c>
      <c r="C290" s="510" t="s">
        <v>1290</v>
      </c>
      <c r="D290" s="511"/>
      <c r="E290" s="505" t="s">
        <v>1292</v>
      </c>
      <c r="F290" s="506" t="s">
        <v>664</v>
      </c>
      <c r="G290" s="507">
        <v>88000000</v>
      </c>
      <c r="H290" s="504" t="s">
        <v>1291</v>
      </c>
      <c r="I290" s="753" t="str">
        <f>[360]!Статус</f>
        <v>28.12.23_x000D_
РСС: отправлено заказчику.
11.01.24 созвонились с заказчиком ТКП ему понятно принято с его слов в конкурсную процедуру.</v>
      </c>
      <c r="J290" s="505" t="s">
        <v>1307</v>
      </c>
      <c r="K290" s="508">
        <f>[360]!ТКП_Тематика</f>
        <v>0</v>
      </c>
      <c r="L290" s="504"/>
      <c r="M290" s="199"/>
      <c r="N290" s="504"/>
      <c r="O290" s="504">
        <f>[360]!Результат_число</f>
        <v>0</v>
      </c>
      <c r="P290" s="504"/>
      <c r="Q290" s="504"/>
      <c r="R290" s="504"/>
      <c r="S290" s="509"/>
      <c r="T290" s="509"/>
      <c r="U290" s="509"/>
      <c r="V290" s="509"/>
      <c r="W290" s="509"/>
      <c r="X290" s="509"/>
    </row>
    <row r="291" spans="1:24" s="1" customFormat="1" ht="84" x14ac:dyDescent="0.25">
      <c r="A291" s="2"/>
      <c r="B291" s="432">
        <f>ROW()-ROW(Лист1!$B$5)</f>
        <v>286</v>
      </c>
      <c r="C291" s="456" t="s">
        <v>1320</v>
      </c>
      <c r="D291" s="457"/>
      <c r="E291" s="486" t="s">
        <v>1315</v>
      </c>
      <c r="F291" s="464" t="s">
        <v>1316</v>
      </c>
      <c r="G291" s="458">
        <v>50000000</v>
      </c>
      <c r="H291" s="464" t="s">
        <v>1318</v>
      </c>
      <c r="I291" s="572" t="str">
        <f>[361]!Статус</f>
        <v>09.02.24_x000D_
ОМ: уточнить состояние по конкурсу</v>
      </c>
      <c r="J291" s="486" t="s">
        <v>1335</v>
      </c>
      <c r="K291" s="459" t="str">
        <f>[361]!ТКП_Тематика</f>
        <v>BMR</v>
      </c>
      <c r="L291" s="457"/>
      <c r="M291" s="199"/>
      <c r="N291" s="457"/>
      <c r="O291" s="553">
        <f>[361]!Результат_число</f>
        <v>0</v>
      </c>
      <c r="P291" s="457"/>
      <c r="Q291" s="457"/>
      <c r="R291" s="457"/>
      <c r="S291" s="461"/>
      <c r="T291" s="461"/>
      <c r="U291" s="461"/>
      <c r="V291" s="461"/>
      <c r="W291" s="461"/>
      <c r="X291" s="461"/>
    </row>
    <row r="292" spans="1:24" s="1" customFormat="1" ht="409.5" x14ac:dyDescent="0.25">
      <c r="B292" s="432">
        <f>ROW()-ROW(Лист1!$B$5)</f>
        <v>287</v>
      </c>
      <c r="C292" s="440" t="s">
        <v>884</v>
      </c>
      <c r="D292" s="562"/>
      <c r="E292" s="565" t="s">
        <v>885</v>
      </c>
      <c r="F292" s="433" t="s">
        <v>886</v>
      </c>
      <c r="G292" s="434">
        <v>72000000</v>
      </c>
      <c r="H292" s="435" t="s">
        <v>423</v>
      </c>
      <c r="I292" s="754" t="str">
        <f>[362]!Статус</f>
        <v>25.03.2024
ОМ: проиграли по цене  CNPC Tubular Goods Research Institute (представители http://newtek.su/) Цена в РФ~50 млн., цена в Китае 45 млн</v>
      </c>
      <c r="J292" s="439" t="s">
        <v>1524</v>
      </c>
      <c r="K292" s="435" t="s">
        <v>602</v>
      </c>
      <c r="L292" s="575"/>
      <c r="M292" s="2"/>
      <c r="N292" s="432"/>
      <c r="O292" s="628">
        <f>[362]!Результат_число</f>
        <v>0</v>
      </c>
      <c r="P292" s="432"/>
      <c r="Q292" s="432"/>
      <c r="R292" s="437"/>
      <c r="S292" s="583"/>
      <c r="T292" s="583"/>
      <c r="U292" s="98"/>
      <c r="V292" s="98"/>
      <c r="W292" s="98"/>
      <c r="X292" s="438"/>
    </row>
  </sheetData>
  <autoFilter ref="F9:F287"/>
  <hyperlinks>
    <hyperlink ref="C10" r:id="rId1" display="\\fserv\e\MERA\TKP\TKP2021\tkp2021_618_НИЦ_Строительство_тензометрия_Ежова"/>
    <hyperlink ref="C11" r:id="rId2" display="\\fserv\e\MERA\TKP\TKP2021\tkp2021_323_ЦНИИАГ_MIC-355_Сныгина"/>
    <hyperlink ref="C12" r:id="rId3" display="\\fserv\e\MERA\TKP\TKP2021\tkp2021_514_ПТ_ГРУПП_MIC-185, MIC-236_Ежова"/>
    <hyperlink ref="C13" r:id="rId4" display="../../../../TKP/TKP2020/tkp2020_035_КрасМК_MIC-355M_WinПОС_Сныгина"/>
    <hyperlink ref="C14" r:id="rId5" display="../../../../TKP/TKP2021/tkp2021_075_ЭЛЗА_стенд_Ежова"/>
    <hyperlink ref="C15" r:id="rId6" display="\\fserv\e\MERA\TKP\TKP2021\tkp2021_306_ГИПХ_ИИС_Ежова"/>
    <hyperlink ref="C16" r:id="rId7" display="\\fserv\e\MERA\TKP\TKP2021\tkp2021_420_Новатор_MIC-552_Сныгина"/>
    <hyperlink ref="C17" r:id="rId8" display="\\fserv\e\MERA\TKP\TKP2021\tkp2021_436_Силовые_машины_MIC-170_Сныгина"/>
    <hyperlink ref="D17" r:id="rId9" display="..\..\..\..\..\CLIENTS\FORMULYA\2021\p2810_ИКДМ MIC-170_Лазарев_рсс.xls"/>
    <hyperlink ref="C19" r:id="rId10" display="\\fserv\e\MERA\TKP\TKP2021\tkp2021_071_ЦИАМ_Ц-2_Статика_Видео_Динамика_Сныгина"/>
    <hyperlink ref="C18" r:id="rId11" display="\\fserv\e\MERA\TKP\TKP2021\tkp2021_071_ЦИАМ_Ц-2_Статика_Видео_Динамика_Сныгина"/>
    <hyperlink ref="C20" r:id="rId12" display="\\fserv\e\MERA\TKP\TKP2021\tkp2021_490_ЦИАМ_АИИС_ПД35_Спиридонский"/>
    <hyperlink ref="C21" r:id="rId13" display="\\fserv\e\MERA\TKP\TKP2021\tkp2021_063_ЦИАМ_стенд_Сныгина"/>
    <hyperlink ref="C22" r:id="rId14" display="\\fserv\e\MERA\TKP\TKP2021\tkp2021_199_НПО_Лавочкина_вибромониторинг_Ежова_РСС"/>
    <hyperlink ref="C23" r:id="rId15"/>
    <hyperlink ref="C24" r:id="rId16" display="\\fserv\e\MERA\TKP\TKP2021\tkp2021_535_ЦИАМ_АИИС_динамика_Ц17Т, Ц-2, Ц-1А_Ежова"/>
    <hyperlink ref="C25" r:id="rId17" display="\\fserv\e\MERA\TKP\TKP2020\tkp2020_116_НПО_Лавочкина_АРМ_ТВИ_Мартынов"/>
    <hyperlink ref="C27" r:id="rId18" display="../../../../TKP/TKP2021/tkp2021_052_НПО_Лавочкина_центрифуга СУ-267_Спиридонский-РСС"/>
    <hyperlink ref="C26" r:id="rId19" display="\\fserv\e\MERA\TKP\TKP2021\tkp2021_072_НПО_Лавочкина_центрифуга_Спиридонский_Мехатроника"/>
    <hyperlink ref="C28" r:id="rId20" display="../../../../TKP/TKP2021/tkp2021_011_Хруничева_MIC-036,-200,-224_Мартынов"/>
    <hyperlink ref="C29" r:id="rId21" display="\\fserv\e\MERA\TKP\TKP2021\tkp2021_296_ОДК_Авиадвигатель_MIC-170_Ежова"/>
    <hyperlink ref="C31" r:id="rId22" display="\\fserv\e\MERA\TKP\TKP2021\tkp2021_521_РСК_МИГ_MIC-200 _Сныгина"/>
    <hyperlink ref="C30" r:id="rId23" display="\\fserv\e\MERA\TKP\TKP2022\tkp2022_005_ТестПартнер_MIC-355_Сныгина"/>
    <hyperlink ref="C32" r:id="rId24" display="\\fserv\e\MERA\TKP\TKP2021\tkp2021_442_НПО_Лавочкина_Индикаторы_Мартынов"/>
    <hyperlink ref="C41" r:id="rId25" display="\\fserv\e\MERA\TKP\TKP2021\tkp2021_018_НПО Машиностроения_ПО_автоматизации_поверки_Мартынов"/>
    <hyperlink ref="C36" r:id="rId26" display="\\fserv\e\MERA\TKP\TKP2021\tkp2021_234_ЧПО им. Чапаева_MIC-026_Ежова"/>
    <hyperlink ref="C42" r:id="rId27" display="\\fserv\e\MERA\TKP\TKP2021\tkp2021_207_УКБТМ_кабель_РСС_Мартынов"/>
    <hyperlink ref="C33" r:id="rId28" display="\\fserv\e\MERA\TKP\TKP2021\tkp2021_193_Аэросила_измеритель_вибрации_Спиридонский"/>
    <hyperlink ref="C37" r:id="rId29" display="\\fserv\e\MERA\TKP\TKP2021\tkp2021_278_ТМК_НТЦ_MIC-185_Ежова"/>
    <hyperlink ref="C39" r:id="rId30" display="\\fserv\e\MERA\TKP\TKP2021\tkp2021_401_Гладченко_АП_Тензометрия_Мартынов"/>
    <hyperlink ref="C38" r:id="rId31" display="\\fserv\e\MERA\TKP\TKP2021\tkp2021_477_НИЦ_РКП_участие в испытаниях_Ежова"/>
    <hyperlink ref="C35" r:id="rId32" display="\\fserv\e\MERA\TKP\TKP2021\tkp2021_600_Энергомаш_Ремонт_MIC-819_Мартынов"/>
    <hyperlink ref="C34" r:id="rId33" display="\\fserv\e\MERA\TKP\TKP2021\tkp2021_586_Старт_MIC-236_Сныгина"/>
    <hyperlink ref="C40" r:id="rId34" display="\\fserv\e\MERA\TKP\TKP2021\tkp2021_597_Авиадвигатель_MIC-140_Сныгина"/>
    <hyperlink ref="L47" r:id="rId35"/>
    <hyperlink ref="C47" r:id="rId36"/>
    <hyperlink ref="C50" r:id="rId37" display="Моторный стенд Агат"/>
    <hyperlink ref="C52" r:id="rId38"/>
    <hyperlink ref="C45" r:id="rId39" display="../../../../TKP/TKP2021/tkp2021_005_ФГУП_ФЦДТ_Союз_СИ_стенда_прочностных_испытаний_Спиридонский"/>
    <hyperlink ref="C51" r:id="rId40" display="../../../../TKP/TKP2021/tkp2021_065_ИЦ_ОРГРЭС_АИС_Ежова"/>
    <hyperlink ref="C46" r:id="rId41" display="../../../../TKP/TKP2021/tkp2021_019_НПО_Машиностроения_СУ_вакуумной_камеры_ВК-3"/>
    <hyperlink ref="C48" r:id="rId42" display="../../../../TKP/TKP2021/tkp2021_062_ЦИАМ_Пульт_Ц2_Сныгина"/>
    <hyperlink ref="C49" r:id="rId43" display="../../../../TKP/TKP2021/tkp2021_063_ЦИАМ_стенд_Сныгина"/>
    <hyperlink ref="C43" r:id="rId44" display="\\fserv\e\MERA\TKP\TKP2021\tkp2021_063_ЦИАМ_стенд_Сныгина"/>
    <hyperlink ref="C44" r:id="rId45" display="\\fserv\e\MERA\TKP\TKP2021\tkp2021_079_РКЦ_Прогресс_Система_измерения_объема_баков_Мартынов"/>
    <hyperlink ref="C61" r:id="rId46" display="../../../../TKP/TKP2021/tkp2021_090_ФМКБ_Горизонт_MIC-355M_Ежова"/>
    <hyperlink ref="C62" r:id="rId47" display="\\fserv\e\MERA\TKP\TKP2021\tkp2021_174_ПТ_ГРУПП_Измерительное_оборудование_Мартынов"/>
    <hyperlink ref="C54" r:id="rId48" display="\\fserv\e\MERA\TKP\TKP2021\tkp2021_256_ДВЗ_Звезда_Тензометрия_Мартынов"/>
    <hyperlink ref="C53" r:id="rId49" display="\\fserv\e\MERA\TKP\TKP2021\tkp2021_246_Кронштадт_ИТС-115_доп_работы_Спиридонский"/>
    <hyperlink ref="C57" r:id="rId50" display="\\fserv\e\MERA\TKP\TKP2021\tkp2021_399_ЦИАМ_пультовая_Ц-3_Ежова"/>
    <hyperlink ref="C59" r:id="rId51" display="\\fserv\e\MERA\TKP\TKP2021\tkp2021_414_НПО_Лавочкина_Газораспределительная_установка_Мартынов"/>
    <hyperlink ref="C60" r:id="rId52" display="\\fserv\e\MERA\TKP\TKP2021\tkp2021_440_Авиадвигатель_Доработка_ПО_Сныгина"/>
    <hyperlink ref="C58" r:id="rId53" display="\\fserv\e\MERA\TKP\TKP2021\tkp2021_403_Аэросила_система_управления_температурными_режимами_Спиридонский"/>
    <hyperlink ref="C56" r:id="rId54" display="\\fserv\e\MERA\TKP\TKP2021\tkp2021_399_ЦИАМ_пультовая_Ц-3_Ежова"/>
    <hyperlink ref="C55" r:id="rId55" display="\\fserv\e\MERA\TKP\TKP2020\tkp2020_028_НПО_машиностроения_MIC-355M_WinПОС_Ежова\"/>
    <hyperlink ref="C63" r:id="rId56" display="\\fserv\e\MERA\TKP\TKP2021\tkp2021_228_Норильский индустриальный институт_MIC-236_Ежова"/>
    <hyperlink ref="C64" r:id="rId57" display="\\fserv\e\MERA\TKP\TKP2021\tkp2021_277_ЦИАМ_MIC-236 _Сныгина"/>
    <hyperlink ref="C65" r:id="rId58" display="\\fserv\e\MERA\TKP\TKP2021\tkp2021_590_КТРВ_кабели _Сныгина"/>
    <hyperlink ref="C66" r:id="rId59" display="\\fserv\e\MERA\TKP\TKP2021\tkp2021_151_СоюзпромНИИпроект_MIC-036_Ежова"/>
    <hyperlink ref="C67" r:id="rId60"/>
    <hyperlink ref="C68" r:id="rId61" display="\\fserv\e\MERA\TKP\TKP2021\tkp2021_347_Воткинский завод_MIC-036_Ежова"/>
    <hyperlink ref="C69" r:id="rId62" display="\\fserv\e\MERA\TKP\TKP2021\tkp2021_459_Казанский пороховой завод_MIC-355M_Ежова"/>
    <hyperlink ref="C70" r:id="rId63" display="\\fserv\e\MERA\TKP\TKP2021\tkp2021_252_АО_ФНПЦ_Титан-Баррикады_mic-1150_Спиридонский"/>
    <hyperlink ref="C71" r:id="rId64" display="\\fserv\e\MERA\TKP\TKP2021\tkp2021_458_НПО_Автоматики_КСТ-1.5_Мартынов"/>
    <hyperlink ref="C72" r:id="rId65" display="\\fserv\e\MERA\TKP\TKP2021\tkp2021_460_НПО_Автоматики_КСТ-1.5_Мартынов"/>
    <hyperlink ref="C73" r:id="rId66" display="\\fserv\e\MERA\TKP\TKP2021\tkp2021_621_ЕвроСибЭнерго_MIC_Ежова"/>
    <hyperlink ref="L73" r:id="rId67" display="&quot;\\Fserv\e\MERA\TKP\TKP2021\tkp2021_621_ЕвроСибЭнерго_MIC_Ежова\Схема соединений\..&quot; "/>
    <hyperlink ref="R73" r:id="rId68" display="&quot;\\Fserv\e\MERA\TKP\TKP2021\tkp2021_621_ЕвроСибЭнерго_MIC_Ежова\Исходные данные\ООО_ВХ_21_1603_Евросибэнерго.pdf&quot; "/>
    <hyperlink ref="E73" r:id="rId69" display="система измерений"/>
    <hyperlink ref="F73" r:id="rId70" display="ЕвроСибЭнерго"/>
    <hyperlink ref="C74" r:id="rId71" display="\\fserv\e\MERA\TKP\TKP2021\tkp2021_205_НПО_Автоматики_КСТ-2_Мартынов"/>
    <hyperlink ref="C75" r:id="rId72" display="\\fserv\e\MERA\TKP\TKP2021\tkp2021_299_НПО_ЦКТИ_MIC-170_Сныгина"/>
    <hyperlink ref="C76" r:id="rId73" display="\\fserv\e\MERA\TKP\TKP2021\tkp2021_468_РСК_МИГ_MIC-200 _Сныгина"/>
    <hyperlink ref="C79" r:id="rId74" display="\\fserv\e\MERA\TKP\TKP2021\tkp2021_084_Хруничева_MIC-036_Мартынов"/>
    <hyperlink ref="C77" r:id="rId75" display="\\fserv\e\MERA\TKP\TKP2021\tkp2021_032_Уралвагонзавод_MIC-036_Ежова"/>
    <hyperlink ref="C78" r:id="rId76" display="032_22"/>
    <hyperlink ref="C82" r:id="rId77" display="\\fserv\e\MERA\TKP\TKP2021\tkp2021_446_КБХМ_Модули_Мартынов"/>
    <hyperlink ref="C81" r:id="rId78" display="\\fserv\e\MERA\TKP\TKP2021\tkp2021_446_КБХМ_Модули_Мартынов"/>
    <hyperlink ref="C80" r:id="rId79" display="\\fserv\e\MERA\TKP\TKP2021\tkp2021_446_КБХМ_Модули_Мартынов"/>
    <hyperlink ref="C84" r:id="rId80"/>
    <hyperlink ref="C85" r:id="rId81" display="\\fserv\e\MERA\TKP\TKP2021\tkp2021_128_НПО_Машиностроения_Универсальные_измерительные_комплексы_Мартынов"/>
    <hyperlink ref="C83" r:id="rId82" display="\\fserv\e\MERA\TKP\TKP2021\tkp2021_208_ЦИАМ_MIC-553_Ежова"/>
    <hyperlink ref="C86" r:id="rId83" display="\\fserv\e\MERA\TKP\TKP2021\tkp2021_467_РСК_МИГ_MIC-036 _Сныгина"/>
    <hyperlink ref="C87" r:id="rId84" display="../../../../TKP/TKP2021/tkp2021_095_НИЦ_РКП_MIC-553_Сныгина"/>
    <hyperlink ref="C88" r:id="rId85" display="\\fserv\e\MERA\TKP\TKP2021\tkp2021_422_СИОН_MIC-170_Сныгина"/>
    <hyperlink ref="C192" r:id="rId86" display="\\fserv\e\MERA\TKP\TKP2021\tkp2021_173_ОДК_Сатурн_У5-ЛК_ПД-8_Ежова"/>
    <hyperlink ref="C193" r:id="rId87" display="\\fserv\e\MERA\TKP\TKP2021\tkp2021_293_Силовые_машины_MIC-1200_КуданКулам_Спиридонский"/>
    <hyperlink ref="I193" r:id="rId88" display="\\fserv\e\MERA\TKP\TKP2021\tkp2021_293_Силовые_машины_MIC-1200_КуданКулам_Спиридонский\ТКП_293_21_статус.xlsm"/>
    <hyperlink ref="C198" r:id="rId89"/>
    <hyperlink ref="L198" r:id="rId90"/>
    <hyperlink ref="N198" r:id="rId91"/>
    <hyperlink ref="C197" r:id="rId92" display="../../../../TKP/TKP2021/tkp2021_007_ПТГ_СУОСК_Спиридонский"/>
    <hyperlink ref="C199" r:id="rId93" display="../../../../TKP/TKP2020/tkp2020_164_КрасМаш_СУ_заправкой_Спиридонский/"/>
    <hyperlink ref="C195" r:id="rId94" display="../../../../TKP/TKP2021/tkp2021_262_КБХМ_Аналог_ЛИУС_РПИ_Мартынов"/>
    <hyperlink ref="C194" r:id="rId95" display="\\fserv\e\MERA\TKP\TKP2021\tkp2021_396_НИЦ_РКП_АКУ_РМ_Мартынов"/>
    <hyperlink ref="C196" r:id="rId96" display="\\fserv\e\MERA\TKP\TKP2020\tkp2020_245_НПП_Старт_Програмно-измерительный_комплекс_Мартынов"/>
    <hyperlink ref="C201" r:id="rId97" display="../../../../TKP/TKP2020/tkp2020_083_Сатурн_динамика_стенд 13_ПД-8_Ежова"/>
    <hyperlink ref="C202" r:id="rId98" display="../../../../TKP/TKP2020/tkp2020_571_ЦИАМ_Ц1А_Ц4_ЗИП_Спиридонский"/>
    <hyperlink ref="C204" r:id="rId99" display="\\fserv\e\MERA\TKP\TKP2021\tkp2021_304_Силовые_машины_Калининская_АЭС_MIC-1200_Спиридонский"/>
    <hyperlink ref="C203" r:id="rId100" display="\\fserv\e\MERA\TKP\TKP2021\tkp2021_375_УЗГА-АПД_Сила-500_Спиридонский"/>
    <hyperlink ref="C200" r:id="rId101" display="\\fserv\e\MERA\TKP\TKP2021\tkp2021_352_НПО_Энергомаш_САУ_сооружения 4_Ежова"/>
    <hyperlink ref="E205" r:id="rId102"/>
    <hyperlink ref="C205" r:id="rId103"/>
    <hyperlink ref="L205" r:id="rId104" display="\\fserv\e\MERA\TKP\TKP2020\tkp2020_109_Kingsly_MIC-1150_Спиридонский\Схема_соединений\Эскиз_Airworthy MIC1150_1500_v2.vsd"/>
    <hyperlink ref="C206" r:id="rId105" display="\\fserv\e\MERA\TKP\TKP2021\tkp2021_585_ОП Винтай ПАО Кузнецов_Проливочный стенд_РСС_Ежова"/>
    <hyperlink ref="C209" r:id="rId106" display="\\fserv\e\MERA\TKP\TKP2021\tkp2021_134_НПО_Лавочкина_Насосная_гидравлическая_станция_Мартынов"/>
    <hyperlink ref="C208" r:id="rId107" display="\\fserv\e\MERA\TKP\TKP2021\tkp2021_619_ЦИАМ_система_измерений_Ежова"/>
    <hyperlink ref="C207" r:id="rId108" display="\\fserv\e\MERA\TKP\TKP2021\tkp2021_596_СИС60кг_КБХМ_РСС"/>
    <hyperlink ref="C210" r:id="rId109" display="\\fserv\e\MERA\TKP\TKP2021\tkp2021_266_НАЗ_им.Чкалова(Сухой)_АСУ_Мартынов_РСС"/>
    <hyperlink ref="C211" r:id="rId110" display="\\fserv\e\MERA\TKP\TKP2021\tkp2021_437_ЦИАМ_Пульт_Ц3Б_Сныгина"/>
    <hyperlink ref="C212" r:id="rId111" display="\\fserv\e\MERA\TKP\TKP2021\tkp2021_630_ОДК_Салют_КИС-500_Ежова"/>
    <hyperlink ref="C213" r:id="rId112" display="\\fserv\e\MERA\TKP\TKP2020\tkp2020_454_Уфа_Авиагаз_СУОСК_Спиридонский"/>
    <hyperlink ref="R213" r:id="rId113" display="\\fserv\e\MERA\TKP\TKP2020\tkp2020_454_Уфа_Авиагаз_СУОСК_Спиридонский\ТЗ\МЕРА\"/>
    <hyperlink ref="L213" r:id="rId114"/>
    <hyperlink ref="C214" r:id="rId115" display="025_22"/>
    <hyperlink ref="C215" r:id="rId116" display="\\fserv\e\MERA\TKP\TKP2021\tkp2021_047_ОДК_Климов_MIC-1500_Ежова"/>
    <hyperlink ref="C216" r:id="rId117" display="\\fserv\e\MERA\TKP\TKP2021\tkp2021_291_ОДК-Авиадвигатель_РТС_статодинамика_Ежова"/>
    <hyperlink ref="C217" r:id="rId118" display="\\fserv\e\MERA\TKP\TKP2021\tkp2021_531_ОДК_Сатурн_MIC-036_Сныгина"/>
    <hyperlink ref="C218" r:id="rId119" display="\\fserv\e\MERA\TKP\TKP2021\tkp2021_238_ОДК-Сатурн_мобильный ИВК DDS-M_Ежова"/>
    <hyperlink ref="C223" r:id="rId120" display="../../../../TKP/TKP2021/tkp2021_061_ЦИАМ_Ц3_Ц4_Ц5_Сныгина"/>
    <hyperlink ref="C220" r:id="rId121" display="\\fserv\e\MERA\TKP\TKP2021\tkp2021_202_ПАО_Кузнецов_MIC-236_Сныгина"/>
    <hyperlink ref="C219" r:id="rId122" display="\\fserv\e\MERA\TKP\TKP2021\tkp2021_235_НИЦ_РКП_ЗИП_КИВИИС-2_Мартынов"/>
    <hyperlink ref="C222" r:id="rId123" display="\\fserv\e\MERA\TKP\TKP2021\tkp2021_335_УВЗ_Завод_9_MIC-200М_Сныгина"/>
    <hyperlink ref="C221" r:id="rId124" display="\\fserv\e\MERA\TKP\TKP2021\tkp2021_638_Нефтемонтаждиагностика_тензостанция_Ежова"/>
    <hyperlink ref="C224" r:id="rId125" display="\\fserv\e\MERA\TKP\TKP2023\tkp2023_182_ЦИАМ_АСУ_ТП_Ц17Г3_Ежова"/>
    <hyperlink ref="I224" r:id="rId126" display="\\fserv\e\MERA\TKP\TKP2023\tkp2023_182_ЦИАМ_АСУ_ТП_Ц17Г3_Ежова\ТКП_182_23_статус.xlsm"/>
    <hyperlink ref="C225" r:id="rId127" display="\\fserv\e\MERA\TKP\TKP2022\tkp2022_381_НИИПМ_МЕ-402_Сныгина"/>
    <hyperlink ref="C228" r:id="rId128" display="\\fserv\e\MERA\TKP\TKP2022\tkp2022_164_КБХМ_Модули_MR-227C2_Мартынов"/>
    <hyperlink ref="C227" r:id="rId129" display="\\fserv\e\MERA\TKP\TKP2022\tkp2022_164_КБХМ_Модули_MR-227C2_Мартынов"/>
    <hyperlink ref="C226" r:id="rId130" display="\\fserv\e\MERA\TKP\TKP2022\tkp2022_164_КБХМ_Модули_MR-227C2_Мартынов"/>
    <hyperlink ref="C229" r:id="rId131" display="\\fserv\e\MERA\TKP\TKP2021\tkp2021_315_Туполев_MIC-200_Сныгина"/>
    <hyperlink ref="C230" r:id="rId132" display="../../../../TKP/TKP2021/tkp2021_013_ООО_Вестерос_НДС_Трубопровода_Мартынов"/>
    <hyperlink ref="C231" r:id="rId133" display="\\fserv\e\MERA\TKP\TKP2022\tkp2022_194_Кронштадт_ТО_винтовые стенды_Ежова"/>
    <hyperlink ref="C232" r:id="rId134" display="\\fserv\e\MERA\TKP\TKP2021\tkp2021_099_Техприбор_MIC-036_Ежова"/>
    <hyperlink ref="C233" r:id="rId135" display="\\fserv\e\MERA\TKP\TKP2021\tkp2021_359_КБХМ_утверждениетипаСИ_Ежова"/>
    <hyperlink ref="C235" r:id="rId136" display="\\fserv\e\MERA\TKP\TKP2020\tkp2020_487_УЗГА_АПД_3 винтовых стенда_Спиридонский_РСС"/>
    <hyperlink ref="C234" r:id="rId137" display="\\fserv\e\MERA\TKP\TKP2021\tkp2021_232_ОДК-Сатурн_стенды 27,28_Ежова"/>
    <hyperlink ref="B236" r:id="rId138" display="\\fserv\e\MERA\TKP\TKP2022\tkp2022_414_ЗАО_Прочность_Тензостанция на базе MIC-224_Мелихов"/>
    <hyperlink ref="C237" r:id="rId139" display="\\Fserv\e\MERA\TKP\TKP2022\tkp2022_056_ГАП_союз_АСУТП_ЛВД_Спиридонский_РСС\"/>
    <hyperlink ref="C238" r:id="rId140" display="\\fserv\e\MERA\TKP\TKP2022\tkp2022_554_ ОДК-Сатурн_модернизация_стендов_19,20,21_Ежова"/>
    <hyperlink ref="C239" r:id="rId141" display="../../../../TKP/TKP2020/tkp2020_602_ЦИАМ_Викулина"/>
    <hyperlink ref="C240" r:id="rId142" display="\\fserv\e\MERA\TKP\TKP2021\tkp2021_374_Кронштадт_ИИС_АПД-140Т_Спиридонский"/>
    <hyperlink ref="C241" r:id="rId143" display="\\fserv\e\MERA\TKP\TKP2021\tkp2021_312_Силовые машины_ИС_вибро_гидротурбина_Ежова"/>
    <hyperlink ref="C242" r:id="rId144" display="\\fserv\e\MERA\TKP\TKP2021\tkp2021_384_Абаканвагонмаш_ИВК_Ежова"/>
    <hyperlink ref="C243" r:id="rId145" display="\\fserv\e\MERA\TKP\TKP2020\tkp2020_038_ОДК-ПМ_MIC-355M_Ежова"/>
    <hyperlink ref="C244" r:id="rId146" display="\\fserv\e\MERA\TKP\TKP2021\tkp2021_035_СКБ Турбина_MIC-036_Ежова"/>
    <hyperlink ref="C245" r:id="rId147" display="\\fserv\e\MERA\TKP\TKP2021\tkp2021_117_Пермский _пороховой_завод_MIC-200_MIC-026 _Сныгина"/>
    <hyperlink ref="C246" r:id="rId148" display="\\fserv\e\MERA\TKP\TKP2021\tkp2021_578_MIC-224_ОКБ_Сухого_Ежова"/>
    <hyperlink ref="C190" r:id="rId149" display="\\fserv\e\MERA\TKP\TKP2022\tkp2022_129_Kingsly_MIC-553_Ежова"/>
    <hyperlink ref="C191" r:id="rId150" display="\\fserv\e\MERA\TKP\TKP2022\tkp2022_357_ОДК-Климов_MIC-553_Ежова_РСС"/>
    <hyperlink ref="C189" r:id="rId151" display="\\fserv\e\MERA\TKP\TKP2023\tkp2023_072_УЗГА_Пополавок_Д_Спиридонский"/>
    <hyperlink ref="C188" r:id="rId152" display="\\fserv\e\MERA\TKP\TKP2022\tkp2022_139_ЭФКО_стенд_Ежова"/>
    <hyperlink ref="P188" r:id="rId153" display="&quot;\\Fserv\e\MERA\TKP\TKP2022\tkp2022_139_ЭФКО_стенд_Ежова\Исходные данные\ООО_ВХ_22_327_ЭФКО.pdf&quot; "/>
    <hyperlink ref="C187" r:id="rId154" display="\\fserv\e\MERA\TKP\TKP2022\tkp2022_347_НПО_Лавочкина_Центрифуга СУ-267 (система измерений), Вибромониторинг, Пиротехника_Мелихов"/>
    <hyperlink ref="C186" r:id="rId155" display="\\fserv\e\MERA\TKP\TKP2022\tkp2022_338_НПО_Лавочкина_Статзал_Мелихов"/>
    <hyperlink ref="C185" r:id="rId156" display="\\fserv\e\MERA\TKP\TKP2021\tkp2021_141_НПО_Лавочкина_Статзал_Мартынов"/>
    <hyperlink ref="C183" r:id="rId157" display="\\fserv\e\MERA\TKP\TKP2022\tkp2022_306_Kingsly_DAQ system_РСС_Ежова"/>
    <hyperlink ref="C184" r:id="rId158"/>
    <hyperlink ref="I180" r:id="rId159" display="../../../../TKP/TKP2022/tkp2022_588_Гипронииавиапром_ЦИАМ_3_Этап_Спиридонский/Схема_соединений/ТКП_588_22_статус.xlsm"/>
    <hyperlink ref="I182" r:id="rId160" display="../../../../TKP/TKP2022/tkp2022_522_ПАО_Кузнецов_Винтай_198_АСУТП_Спиридонский/ТКП_522_22_статус.xlsm"/>
    <hyperlink ref="C180" r:id="rId161"/>
    <hyperlink ref="D182" r:id="rId162" display="\\fserv\e\MERA\TKP\TKP2023\out2023\АО\201-300\исх.(АО)23_283.pdf"/>
    <hyperlink ref="C175" r:id="rId163"/>
    <hyperlink ref="C182" r:id="rId164" display=" "/>
    <hyperlink ref="C177" r:id="rId165" display="\\fserv\e\MERA\TKP\TKP2021\tkp2021_405_ИСК-энергопромстрой_модернизация_ЛВД_Союз Скопич Ц12_Спиридонский_РСС"/>
    <hyperlink ref="C176" r:id="rId166" display="\\fserv\e\MERA\TKP\TKP2021\tkp2021_098_Тулаоборонстрой_модернизация_ЛВД_Спиридонский"/>
    <hyperlink ref="C181" r:id="rId167" display="\\fserv\e\MERA\TKP\TKP2021\tkp2021_496_АО_Уралпромпроект_стенд_50_КБХА_Спиридонский"/>
    <hyperlink ref="C178" r:id="rId168" display="\\fserv\e\MERA\TKP\TKP2021\tkp2021_537_УЗГА_АПД_винтомоторный_стенд_АПД-500_Спиридонский"/>
    <hyperlink ref="C179" r:id="rId169"/>
    <hyperlink ref="C174" r:id="rId170" display="\\fserv\e\MERA\TKP\TKP2022\tkp2022_500_Авангард_Система_контроля_Сныгина"/>
    <hyperlink ref="C171" r:id="rId171" display="\\Fserv\e\MERA\TKP\TKP2022\tkp2022_197_Красмаш_СИУ_Ежова\"/>
    <hyperlink ref="C172" r:id="rId172" display="\\fserv\e\MERA\TKP\TKP2020\tkp2020_091_НПО_МАШ_СЧ_ОКР_Кремень_Мартынов"/>
    <hyperlink ref="C173" r:id="rId173" display="\\fserv\e\MERA\TKP\TKP2020\tkp2020_097_НПО_МАШ_СЧ_ОКР_Карагач_Мартынов"/>
    <hyperlink ref="C170" r:id="rId174" display="\\fserv\e\MERA\TKP\TKP2020\tkp2020_266_ОДК_УМПО_MIC-553_Спиридонский"/>
    <hyperlink ref="C167" r:id="rId175"/>
    <hyperlink ref="C168" r:id="rId176" display="\\fserv\e\MERA\TKP\TKP2022\tkp2022_342_ЦИАМ_АИИС Ц-17Г3_РСС"/>
    <hyperlink ref="C169" r:id="rId177" display="\\fserv\e\MERA\TKP\TKP2022\tkp2022_600_RIZZANI_DE_ECCHER_СОД_Мелихов"/>
    <hyperlink ref="C165" r:id="rId178" display="\\fserv\e\MERA\TKP\TKP2021\tkp2021_376_УЗГА-АПД_Фора-500_Спиридонский"/>
    <hyperlink ref="C164" r:id="rId179" display="\\fserv\e\MERA\TKP\TKP2022\tkp2022_117_Авиатест_SSJ NEW_Ежова_РСС"/>
    <hyperlink ref="L164" r:id="rId180" display="&quot;\\Fserv\e\MERA\TKP\TKP2022\tkp2022_117_Авиатест_SSJ NEW_Ежова_РСС\Схема соединений\v1_Схема.vsd&quot; "/>
    <hyperlink ref="P164" r:id="rId181" display="&quot;\\Fserv\e\MERA\TKP\TKP2022\tkp2022_117_Авиатест_SSJ NEW_Ежова_РСС\Исходные данные\ООО_ВХ_22_282_Авиатест.pdf&quot; "/>
    <hyperlink ref="C166" r:id="rId182" display="\\fserv\e\MERA\TKP\TKP2022\tkp2022_278_ОМК_Выкса_ПНР оборудования NI_Мелихов"/>
    <hyperlink ref="C163" r:id="rId183" display="\\fserv\e\MERA\TKP\TKP2022\tkp2022_203_УКБВ_ИВК_Ежова"/>
    <hyperlink ref="C158" r:id="rId184" display="\\fserv\e\MERA\TKP\TKP2022\tkp2022_271_УЗГА_АПД-85_Спиридонский"/>
    <hyperlink ref="C156" r:id="rId185" display="\\fserv\e\MERA\TKP\TKP2022\tkp2022_272_Иркут_СИМВ-ST-21_08a_Спиридонский"/>
    <hyperlink ref="C157" r:id="rId186" display="025_22"/>
    <hyperlink ref="C161" r:id="rId187"/>
    <hyperlink ref="C159" r:id="rId188" display="\\fserv\e\MERA\TKP\TKP2022\tkp2022_475_Kingsly_LPSC Bangalor DAS_РСС"/>
    <hyperlink ref="C160" r:id="rId189" display="\\fserv\e\MERA\TKP\TKP2022\tkp2022_515_Kingsly_NHDC ISPS Vibr Monit_РСС"/>
    <hyperlink ref="C162" r:id="rId190"/>
    <hyperlink ref="L162" r:id="rId191" display="&quot;\\Fserv\e\MERA\TKP\TKP2022\tkp2022_536_Эталон_Инновации_ИВК_статика_Ежова\Схема соединений\ткп536.vsdx&quot; "/>
    <hyperlink ref="C154" r:id="rId192" display="\\fserv\e\MERA\TKP\TKP2022\tkp2022_043_ЦИАМ_ОВИСТ_проектирование_Спиридонский"/>
    <hyperlink ref="C155" r:id="rId193" display="\\fserv\e\MERA\TKP\TKP2022\tkp2022_401_НПО_Автоматики_КСТ-2_Мартынов"/>
    <hyperlink ref="C152" r:id="rId194" display="\\fserv\e\MERA\TKP\TKP2022\tkp2022_307_ЦАГИ_MIC-553_Сныгина"/>
    <hyperlink ref="C153" r:id="rId195" display="\\fserv\e\MERA\TKP\TKP2022\tkp2022_527_ОНПП_Технология_MIC-236_Сныгина"/>
    <hyperlink ref="C151" r:id="rId196" display="\\fserv\e\MERA\TKP\TKP2022\tkp2022_153_ЦНИИМАШ_ИВК_Ежова"/>
    <hyperlink ref="P151" r:id="rId197" display="&quot;\\Fserv\e\MERA\TKP\TKP2022\tkp2022_153_ЦНИИМАШ_ИВК_Ежова\Исходные данные\ООО_ВХ_22_384_ЦНИИМАШ_мобильный ИВК.pdf&quot; "/>
    <hyperlink ref="C150" r:id="rId198" display="\\fserv\e\MERA\TKP\TKP2022\tkp2022_385_Казанский_пороховой_завод_MIC-355_Сныгина"/>
    <hyperlink ref="C149" r:id="rId199" display="\\fserv\e\MERA\TKP\TKP2022\tkp2022_385_Казанский_пороховой_завод_MIC-355_Сныгина"/>
    <hyperlink ref="C147" r:id="rId200" display="\\fserv\e\MERA\TKP\TKP2022\tkp2022_490_ГНЦ_Келдыша_Аналог_крейта_NI_Мелихов"/>
    <hyperlink ref="C148" r:id="rId201" display="\\fserv\e\MERA\TKP\TKP2022\tkp2022_350_Силовые_машины_Калининская_АЭС_MIC-1200_Спиридонский"/>
    <hyperlink ref="C142" r:id="rId202" display="\\fserv\e\MERA\TKP\TKP2022\tkp2022_228_НПК_УВЗ_стенд_ресурсных испытаний_Ежова"/>
    <hyperlink ref="C141" r:id="rId203"/>
    <hyperlink ref="C143" r:id="rId204" display="\\fserv\e\MERA\TKP\TKP2022\tkp2022_244_RIZZANI_DE_ECCHER_Система_обработки_Мартынов_РСС"/>
    <hyperlink ref="C145" r:id="rId205" display="\\fserv\e\MERA\TKP\TKP2022\tkp2022_351_Агрегат_Оборудование для испытаний маслоагрегата АБВ.0400_Мелихов"/>
    <hyperlink ref="C146" r:id="rId206"/>
    <hyperlink ref="C144" r:id="rId207" display="\\fserv\e\MERA\TKP\TKP2022\tkp2022_370_АДМ_СпецРТ_ЦНИИМАШ_акустическая_камера_Ежова_РСС"/>
    <hyperlink ref="C138" r:id="rId208" display="\\fserv\e\MERA\TKP\TKP2022\tkp2022_090_АО_ФНПЦ_Титан-Баррикады_mic-1150_Ежова"/>
    <hyperlink ref="C135" r:id="rId209" display="\\fserv\e\MERA\TKP\TKP2022\tkp2022_118_Протон-ПМ NI_Ежова_РСС"/>
    <hyperlink ref="C136" r:id="rId210" display="\\fserv\e\MERA\TKP\TKP2022\tkp2022_205_IRIT_MIC-1150_Сныгина"/>
    <hyperlink ref="C140" r:id="rId211" display="\\fserv\e\MERA\TKP\TKP2022\tkp2022_047_Казанский пороховой завод_MIC-355M_Сныгина"/>
    <hyperlink ref="C139" r:id="rId212" display="\\fserv\e\MERA\TKP\TKP2022\tkp2022_047_Казанский пороховой завод_MIC-355M_Сныгина"/>
    <hyperlink ref="C137" r:id="rId213" display="\\fserv\e\MERA\TKP\TKP2022\tkp2022_434_УЗГА (Синеркон)_тензостанция_200_каналов_Мелихов"/>
    <hyperlink ref="C128" r:id="rId214" display="\\Fserv\e\MERA\TKP\TKP2022\tkp2022_230_СКБМ_КурганМашЗавод_стенд испытаний ГМТ_Ежова_РСС\"/>
    <hyperlink ref="C129" r:id="rId215" display="\\fserv\e\MERA\TKP\TKP2022\tkp2022_464_РГАТУ_MIC-355_236_Сныгина"/>
    <hyperlink ref="C130" r:id="rId216" display="\\fserv\e\MERA\TKP\TKP2022\tkp2022_366_Kingsly_pressure_LabView_РСС"/>
    <hyperlink ref="I128" r:id="rId217" display="\\fserv\e\MERA\TKP\TKP2022\tkp2022_230_СКБМ_КурганМашЗавод_стенд испытаний ГМТ_Ежова_РСС\ТКП_230_22_статус.xlsm"/>
    <hyperlink ref="C124" r:id="rId218" display="\\fserv\e\MERA\TKP\TKP2022\tkp2022_047_Казанский пороховой завод_MIC-355M_Сныгина"/>
    <hyperlink ref="C123" r:id="rId219" display="\\fserv\e\MERA\TKP\TKP2022\tkp2022_047_Казанский пороховой завод_MIC-355M_Сныгина"/>
    <hyperlink ref="C127" r:id="rId220" display="\\fserv\e\MERA\TKP\TKP2022\tkp2022_330_Пневмакс_САУ_стенда_испытаний_приводов_Ежова"/>
    <hyperlink ref="C125" r:id="rId221"/>
    <hyperlink ref="C126" r:id="rId222" display="\\fserv\e\MERA\TKP\TKP2022\tkp2022_451_НПО_Лавочкина_MIC-200_Мелихов"/>
    <hyperlink ref="C270" r:id="rId223" display="\\fserv\e\MERA\TKP\TKP2021\tkp2021_182_ОДК-Авиадвигатель_ПО_стенда_статиспытаний_Мартынов"/>
    <hyperlink ref="C261" r:id="rId224" display="\\fserv\e\MERA\TKP\TKP2021\tkp2021_211_КХЗ_МIC-236 _Сныгина"/>
    <hyperlink ref="C259" r:id="rId225" display="\\fserv\e\MERA\TKP\TKP2021\tkp2021_607_НПП_РИСАЛ_тензостанция_Ежова"/>
    <hyperlink ref="C257" r:id="rId226" display="\\fserv\e\MERA\TKP\TKP2022\tkp2022_003_Микроника_Кабели_Бодров"/>
    <hyperlink ref="C256" r:id="rId227" display="\\fserv\e\MERA\TKP\TKP2022\tkp2022_016_ЦИАМ_АИИС Ц-17Т_Бодров"/>
    <hyperlink ref="C268" r:id="rId228" display="\\fserv\e\MERA\TKP\TKP2022\tkp2022_055_Авиадвигатель_ME-005_Бодров"/>
    <hyperlink ref="C254" r:id="rId229" display="\\fserv\e\MERA\TKP\TKP2022\tkp2022_049_КБХМ_Оборудование_для_АСПУ-КДУ_Мартынов"/>
    <hyperlink ref="C269" r:id="rId230" display="\\fserv\e\MERA\TKP\TKP2022\tkp2022_067_Титан-Баррикады_ИВК_Ежова"/>
    <hyperlink ref="C255" r:id="rId231" display="\\fserv\e\MERA\TKP\TKP2022\tkp2022_115_КБМ_MIC-026_Сныгина"/>
    <hyperlink ref="C253" r:id="rId232" display="\\fserv\e\MERA\TKP\TKP2022\tkp2022_156_Туполев_MIC-200_Ежова"/>
    <hyperlink ref="C251" r:id="rId233" display="\\fserv\e\MERA\TKP\TKP2022\tkp2022_058_НПО_Автоматики_MIC-700_Мартынов"/>
    <hyperlink ref="C265" r:id="rId234" display="\\fserv\e\MERA\TKP\TKP2022\tkp2022_074_Kingsly_Monitoring system"/>
    <hyperlink ref="C262" r:id="rId235" display="\\fserv\e\MERA\TKP\TKP2022\tkp2022_121_РегионСтройКомплект_MIC_Сныгина"/>
    <hyperlink ref="P262" r:id="rId236" display="&quot;\\Fserv\e\MERA\TKP\TKP2022\tkp2022_121_РегионСтройКомплект_MIC_Сныгина\ТЗ\ТЗ-требования (комплес тензометрирования).pdf&quot; "/>
    <hyperlink ref="C250" r:id="rId237" display="\\fserv\e\MERA\TKP\TKP2022\tkp2022_058_НПО_Автоматики_MIC-700_Мартынов"/>
    <hyperlink ref="C271" r:id="rId238" display="\\fserv\e\MERA\TKP\TKP2022\tkp2022_199_Криогенмаш_РСУ_Мелихов"/>
    <hyperlink ref="C272" r:id="rId239" display="\\fserv\e\MERA\TKP\TKP2022\tkp2022_206_НПО Лавочкина_Мелихов"/>
    <hyperlink ref="C266" r:id="rId240" display="\\fserv\e\MERA\TKP\TKP2022\tkp2022_224_Красмаш_модуль _Сныгина"/>
    <hyperlink ref="C252" r:id="rId241" display="\\fserv\e\MERA\TKP\TKP2022\tkp2022_240_НПП_Парк-Центр_MIC-236_Мелихов"/>
    <hyperlink ref="C267" r:id="rId242" display="\\fserv\e\MERA\TKP\TKP2022\tkp2022_381_НИИПМ_МЕ-402_Сныгина"/>
    <hyperlink ref="C264" r:id="rId243" display="\\fserv\e\MERA\TKP\TKP2022\tkp2022_381_НИИПМ_МЕ-402_Сныгина"/>
    <hyperlink ref="C263" r:id="rId244" display="\\fserv\e\MERA\TKP\TKP2022\tkp2022_382_AdayGroup_MIC-185_Сныгина"/>
    <hyperlink ref="C249" r:id="rId245" display="\\Fserv\e\MERA\TKP\TKP2022\tkp2022_483_Тензо-Инжиниринг_Тензо-телеметрия_Мелихов\"/>
    <hyperlink ref="C248" r:id="rId246" display="\\fserv\e\MERA\TKP\TKP2022\tkp2022_368_НПП Старт_РСС"/>
    <hyperlink ref="C247" r:id="rId247" display="\\fserv\e\MERA\TKP\TKP2022\tkp2022_502_Кронштадт_переезд_винтового_стенда_Ежова"/>
    <hyperlink ref="C260" r:id="rId248" display="\\fserv\e\MERA\TKP\TKP2022\tkp2022_543_Воткинский_завод_МС-227U_Сныгина"/>
    <hyperlink ref="C258" r:id="rId249" display="\\fserv\e\MERA\TKP\TKP2022\tkp2022_011_КГТУ_поверка_Сныгина"/>
    <hyperlink ref="C273" r:id="rId250"/>
    <hyperlink ref="P273" r:id="rId251" display="&quot;\\Fserv\e\MERA\TKP\TKP2022\tkp2022_196_НИЦ РКП_КТВИ КА_РСС\Исходные данные\ООО_ВХ_22_464.pdf&quot; "/>
    <hyperlink ref="C274" r:id="rId252" display="\\fserv\e\MERA\TKP\TKP2022\tkp2022_325_НИЦ_РКП_КИВИИС-2_Мартынов"/>
    <hyperlink ref="C275" r:id="rId253" display="\\fserv\e\MERA\TKP\TKP2022\tkp2022_214_ФордСоллерс_Мелихов"/>
    <hyperlink ref="C280" r:id="rId254"/>
    <hyperlink ref="P280" r:id="rId255" display="&quot;\\Fserv\e\MERA\TKP\TKP2022\tkp2022_336_РЭПХ_вибродиагностика_ГПА_ГТУ_Мелихов\Исходные данные\2022-07-04 Технические требования к системе вибрационной диагностики (1)(1).docx&quot; "/>
    <hyperlink ref="L280" r:id="rId256" display="&quot;\\Fserv\e\MERA\TKP\TKP2022\tkp2022_336_РЭПХ_вибродиагностика_ГПА_ГТУ_Мелихов\Схема соединений\v1_Схема.vsd&quot; "/>
    <hyperlink ref="C276" r:id="rId257" display="\\fserv\e\MERA\TKP\TKP2022\tkp2022_424_НИЦ_Строительство_РСС_Мелихов"/>
    <hyperlink ref="C277" r:id="rId258" display="\\fserv\e\MERA\TKP\TKP2022\tkp2022_448_Kingsly_Rocket_Motor_static_fire_test_bench_Ежова"/>
    <hyperlink ref="C278" r:id="rId259"/>
    <hyperlink ref="C279" r:id="rId260" display="\\fserv\e\MERA\TKP\TKP2022\tkp2022_494_КБХМ_МЕ-927_Сныгина"/>
    <hyperlink ref="C281" r:id="rId261" display="\\Fserv\e\MERA\TKP\TKP2022\tkp2022_541_ КурганМашЗавод_8 стендов_РСС_Мелихов\"/>
    <hyperlink ref="L281" r:id="rId262" display="\\Fserv\e\MERA\TKP\TKP2022\tkp2022_541_ КурганМашЗавод_8 стендов_РСС_Мелихов\"/>
    <hyperlink ref="C282" r:id="rId263" display="\\fserv\e\MERA\TKP\TKP2022\tkp2022_572_УГАТУ_Аналог_AVL_Мелихов"/>
    <hyperlink ref="C283" r:id="rId264"/>
    <hyperlink ref="C284" r:id="rId265" display="\\fserv\e\MERA\TKP\TKP2022\tkp2022_593_Kingsly_Rocket Transport_РСС_Ежова"/>
    <hyperlink ref="C285" r:id="rId266"/>
    <hyperlink ref="C286" r:id="rId267" display="597_22"/>
    <hyperlink ref="C287" r:id="rId268" display="\\fserv\e\MERA\TKP\TKP2022\tkp2022_601_Ф.Мартынов_оборудование_Ежова"/>
    <hyperlink ref="I285" r:id="rId269" display="..\..\..\..\TKP\TKP2022\tkp2022_596_УМПО_Стенд_испытания_АПД_Мелихов_Земских\ТКП_596_22_статус.xlsm"/>
    <hyperlink ref="I281" r:id="rId270" display="../../../../TKP/TKP2022/tkp2022_541_ КурганМашЗавод_8 стендов_РСС_Мелихов/ТКП_541_22_статус.xlsm"/>
    <hyperlink ref="C119" r:id="rId271" display="\\fserv\e\MERA\TKP\TKP2023\tkp2023_457_Силовые_машины_АИС_ГТЭ-65.1_Мелихов\"/>
    <hyperlink ref="I119" r:id="rId272" display="\\fserv\e\MERA\TKP\TKP2023\tkp2023_457_Силовые_машины_АИС_ГТЭ-65.1_Мелихов\ТКП_457_23_статус.xlsm"/>
    <hyperlink ref="C118" r:id="rId273" display="\\fserv\e\MERA\TKP\TKP2022\tkp2022_264_НПП Звезда_Стенд АСС_Мелихов"/>
    <hyperlink ref="I118" r:id="rId274" display="../../../../TKP/TKP2022/tkp2022_264_НПП Звезда_Стенд АСС_Мелихов/ТКП_264_22_статус.xlsm"/>
    <hyperlink ref="C117" r:id="rId275" display="\\fserv\e\MERA\TKP\TKP2024\tkp2024_334_УЗГА_АПД-500_2_стенда_РСС_Буряк\"/>
    <hyperlink ref="I117" r:id="rId276" display="\\fserv\e\MERA\TKP\TKP2024\tkp2024_334_УЗГА_АПД-500_2_стенда_РСС_Буряк\ТКП_334_24_статус.xlsm"/>
    <hyperlink ref="D117" r:id="rId277" display="\\fserv\e\CLIENTS\FORMULYA\2025\p3209_УЗГА_АПД-500_Скрипник_РСС.xls"/>
    <hyperlink ref="C116" r:id="rId278" display="\\fserv\e\MERA\TKP\TKP2023\in2023\ООО\101-200\ООО_ВХ_23_174.pdf"/>
    <hyperlink ref="C115" r:id="rId279" display="\\fserv\e\MERA\TKP\TKP2023\tkp2023_099_МГАП_АСУТП_ЛИВУП_Спиридонский"/>
    <hyperlink ref="C114" r:id="rId280" display="\\192.168.3.9\e\MERA\TKP\TKP2023\tkp2023_026_ЦНИИМАШ_РСС "/>
    <hyperlink ref="I114" r:id="rId281" display="\\Fserv\e\MERA\TKP\TKP2023\tkp2023_026_ЦНИИМАШ_РСС\ТКП_026_23_статус.xlsm"/>
    <hyperlink ref="C113" r:id="rId282" display="\\fserv\e\MERA\TKP\TKP2021\tkp2021_168_Силовые машины_MIC-1500_Ежова"/>
    <hyperlink ref="C111" r:id="rId283"/>
    <hyperlink ref="L111" r:id="rId284" display="\\Fserv\e\MERA\TKP\TKP2022\tkp2022_212_Кузнецов_АСИ_БМП_Спиридонский\Схема_соединений\"/>
    <hyperlink ref="C112" r:id="rId285" display="\\fserv\e\MERA\TKP\TKP2022\tkp2022_184_ОДК_Сатурн_MIC-185, MIC-355M_Ежова"/>
    <hyperlink ref="I111" r:id="rId286" display="..\..\..\..\TKP\TKP2022\tkp2022_212_Кузнецов_Винтай_АСИ_БМП_Спиридонский_РСС\ТКП_212_22_статус.xlsm"/>
    <hyperlink ref="C109" r:id="rId287" display="\\fserv\e\MERA\TKP\TKP2023\tkp2023_008_Вотинский завод_MIC-236_Ежова"/>
    <hyperlink ref="C110" r:id="rId288" display="\\Fserv\e\MERA\TKP\TKP2023\tkp2023_230_Техностиль_Спиридонский_РСС\"/>
    <hyperlink ref="I110" r:id="rId289" display="\\fserv\e\MERA\TKP\TKP2023\tkp2023_230_Техностиль_Спиридонский_РСС\ТКП_230_23_статус.xlsm"/>
    <hyperlink ref="C107" r:id="rId290" display="\\fserv\e\MERA\TKP\TKP2023\tkp2023_059_ЦИАМ_АИИС_Ц-17Г3_2_часть_Ежова"/>
    <hyperlink ref="C108" r:id="rId291" display="\\fserv\e\MERA\TKP\TKP2023\tkp2023_034_ТАНТК_им_Бериева_MIC-224_Сныгина"/>
    <hyperlink ref="C106" r:id="rId292" display="\\fserv\e\MERA\TKP\TKP2023\tkp2023_019_Ил_Авиастар_MIC-185_Сныгина\"/>
    <hyperlink ref="C105" r:id="rId293" display="\\fserv\e\MERA\TKP\TKP2021\tkp2021_140_УКБТМ_MIC-200_Сныгина"/>
    <hyperlink ref="C104" r:id="rId294" display="\\fserv\e\MERA\TKP\TKP2020\tkp2020_184_НПО_Лавочкина_Блок_контроля_и_управления_током_Мартынов"/>
    <hyperlink ref="C103" r:id="rId295" display="\\fserv\e\MERA\TKP\TKP2022\tkp2022_427_Красмаш_ЗИП_КИВИИС-2_Ежова"/>
    <hyperlink ref="C100" r:id="rId296" display="\\fserv\e\MERA\TKP\TKP2023\tkp2023_045_ОДК_Сатурн_MIC-185_Ежова"/>
    <hyperlink ref="C102" r:id="rId297" display="\\fserv\e\MERA\TKP\TKP2023\tkp2023_073_Kingsly_DAS_Ежова"/>
    <hyperlink ref="C99" r:id="rId298"/>
    <hyperlink ref="I99" r:id="rId299" display="\\Fserv\e\MERA\TKP\TKP2023\tkp2023_221_Ил-Авиастар_4-канальная_система_нагружения_Мелихов\ТКП_221_23_статус.xlsm"/>
    <hyperlink ref="C96" r:id="rId300" display="\\fserv\e\MERA\TKP\TKP2023\tkp2023_124_ПНИПУ_MIC-236_Ежова"/>
    <hyperlink ref="C97" r:id="rId301" display="\\fserv\e\MERA\TKP\TKP2023\tkp2023_139_Иркут_ОКР_ИВК_анализ_коррозии_Ежова"/>
    <hyperlink ref="C98" r:id="rId302" display="\\fserv\e\MERA\TKP\TKP2023\tkp2023_142_ОКБ_Союз_MIC-036_Сныгина"/>
    <hyperlink ref="I97" r:id="rId303" display="\\fserv\e\MERA\TKP\TKP2023\tkp2023_139_Иркут_ОКР_ИВК_анализ_коррозии_Ежова\ТКП_139_23_статус.xlsm"/>
    <hyperlink ref="C93" r:id="rId304" display="\\fserv\e\MERA\TKP\TKP2023\tkp2023_183_Ровер_работы_СУОСК_Ежова"/>
    <hyperlink ref="C94" r:id="rId305" display="\\fserv\e\MERA\TKP\TKP2023\tkp2023_176_НПО_Автоматики_MIC-700_Мартынов"/>
    <hyperlink ref="I94" r:id="rId306" display="\\Fserv\e\MERA\TKP\TKP2023\tkp2023_176_НПО_Автоматики_MIC-700_Мартынов\ТКП_176_23_статус.xlsm"/>
    <hyperlink ref="I93" r:id="rId307" display="\\fserv\e\MERA\TKP\TKP2023\tkp2023_183_Ровер_работы_СУОСК_Ежова\ТКП_183_23_статус.xlsm"/>
    <hyperlink ref="C95" r:id="rId308"/>
    <hyperlink ref="I95" r:id="rId309" display="\\fserv\e\MERA\TKP\TKP2023\tkp2023_001_ГБИП_MIC-355_Сныгина\ТКП_001_23_статус.xlsm"/>
    <hyperlink ref="C92" r:id="rId310"/>
    <hyperlink ref="I92" r:id="rId311" display="\\fserv\e\MERA\TKP\TKP2023\tkp2023_363_ЦНИИМаш_модули_Маслова\ТКП_363_23_статус.xlsm"/>
    <hyperlink ref="C91" r:id="rId312" display="\\fserv\e\MERA\TKP\TKP2023\tkp2023_231_БИС-РУС_Измеритель_вибрации_для_электрокомпрессора_АНХК_Мелихов\"/>
    <hyperlink ref="I91" r:id="rId313" display="\\fserv\e\MERA\TKP\TKP2023\tkp2023_231_БИС-РУС_Измеритель_вибрации_для_электрокомпрессора_АНХК_Мелихов\ТКП_231_23_статус.xlsm"/>
    <hyperlink ref="I90" r:id="rId314" display="\\fserv\e\MERA\TKP\TKP2023\tkp2023_505_ЦНИИМАШ_Доработка_баллистического_маятника_Мартынов\ТКП_505_23_статус.xlsm"/>
    <hyperlink ref="C90" r:id="rId315" display="\\fserv\e\MERA\TKP\TKP2023\tkp2023_505_ЦНИИМАШ_Доработка_баллистического_маятника_Мартынов\"/>
    <hyperlink ref="C89" r:id="rId316"/>
    <hyperlink ref="I89" r:id="rId317" display="..\..\..\..\TKP\TKP2023\tkp2023_395_ЦНИИМаш_Система_измерений_200_каналов_РСС_Мелихов\ТКП_395_23_статус.xlsm"/>
    <hyperlink ref="C288" r:id="rId318" display="\\fserv\e\MERA\TKP\TKP2025\tkp2025_112_НПП_Старт_Яскина_Модернизация_системы_Островская\"/>
    <hyperlink ref="I288" r:id="rId319" display="\\fserv\e\MERA\TKP\TKP2025\tkp2025_112_НПП_Старт_Яскина_Модернизация_системы_Островская\ТКП_112_25_статус.xlsm"/>
    <hyperlink ref="C289" r:id="rId320" display="\\fserv\e\MERA\TKP\TKP2023\tkp2023_547_ПНЕВМАКС_СИСТЕМЫ_ИВК_MIC-236_Мелихов\"/>
    <hyperlink ref="I289" r:id="rId321" display="\\fserv\e\MERA\TKP\TKP2023\tkp2023_547_ПНЕВМАКС_СИСТЕМЫ_ИВК_MIC-236_Мелихов\ТКП_547_23_статус .xlsm"/>
    <hyperlink ref="C290" r:id="rId322" display="\\fserv\e\MERA\TKP\TKP2023\tkp2023_569_Пневмакс_МГТУ Баумана_статзал кабина_РСС_Потолочин\"/>
    <hyperlink ref="I290" r:id="rId323" display="\\fserv\e\MERA\TKP\TKP2023\tkp2023_569_Пневмакс_МГТУ Баумана_статзал кабина_РСС_Потолочин\ТКП_569_23_статус.xlsm"/>
    <hyperlink ref="C291" r:id="rId324" display="\\fserv\e\MERA\TKP\TKP2024\tkp2024_003_Уральский турбинный завод_диафрагмы прогиб_Маслова\"/>
    <hyperlink ref="C292" r:id="rId325" display="\\fserv\e\MERA\TKP\TKP2022\tkp2022_568_ВМЗ_Усталостные испытания_РСС_Филимонов"/>
    <hyperlink ref="I292" r:id="rId326" display="\\fserv\e\MERA\TKP\TKP2022\tkp2022_568_ВМЗ_Усталостные испытания_РСС_Филимонов\ТКП_568_22_статус.xlsm"/>
    <hyperlink ref="C9" r:id="rId327" display="\\fserv\e\MERA\TKP\TKP2023\tkp2023_361_Силовые_машины_MIC-1200_компрессор_ГТЭ-65.1_Ежова\"/>
    <hyperlink ref="I9" r:id="rId328" display="\\fserv\e\MERA\TKP\TKP2023\tkp2023_361_Силовые_машины_MIC-1200_компрессор_ГТЭ-65.1_Ежова\ТКП_361_23_статус.xlsm"/>
    <hyperlink ref="C8" r:id="rId329" display="\\fserv\e\MERA\TKP\TKP2023\tkp2023_435_Силовые машины_mic1200_рсс_Ежова\"/>
    <hyperlink ref="I8" r:id="rId330" display="\\fserv\e\MERA\TKP\TKP2023\tkp2023_435_Силовые машины_mic1200_рсс_Ежова\ТКП_435_23_статус.xlsm"/>
    <hyperlink ref="C7" r:id="rId331" display="\\fserv\e\MERA\TKP\TKP2023\tkp2023_479_ЦИАМ_MIC-1200_Маслова\"/>
    <hyperlink ref="I7" r:id="rId332" display="\\fserv\e\MERA\TKP\TKP2023\tkp2023_479_ЦИАМ_MIC-1200_Маслова\ТКП_479_23_статус.xlsm"/>
    <hyperlink ref="C6" r:id="rId333" display="\\fserv\e\MERA\TKP\TKP2024\tkp2024_289_ЦИАМ_ОВИСТ_проектирование_Буряк\"/>
    <hyperlink ref="I6" r:id="rId334" display="\\fserv\e\MERA\TKP\TKP2024\tkp2024_289_ЦИАМ_ОВИСТ_проектирование_Буряк\ТКП_289_24_статус.xlsm"/>
    <hyperlink ref="C5" r:id="rId335" display="\\fserv\e\MERA\TKP\TKP2024\tkp2024_283_Силовые машины_MIC-1200_Маслова\"/>
    <hyperlink ref="I5" r:id="rId336" display="\\fserv\e\MERA\TKP\TKP2024\tkp2024_283_Силовые машины_MIC-1200_Маслова\ТКП_283_24_статус.xlsm"/>
    <hyperlink ref="D5" r:id="rId337" display="\\fserv\e\CLIENTS\FORMULYA\2024\p3151_ЛМЗ_MIC-1200_Лазарев_РСС.xls"/>
    <hyperlink ref="C3" r:id="rId338" display="\\fserv\e\MERA\TKP\TKP2024\tkp2024_293_ЛМЗ_Доработка ПО BladeBox_ЛАЭС-2_РСС_Ежова\"/>
    <hyperlink ref="I3" r:id="rId339" display="\\fserv\e\MERA\TKP\TKP2024\tkp2024_293_ЛМЗ_Доработка ПО BladeBox_ЛАЭС-2_РСС_Ежова\ТКП_293_24_статус.xlsm"/>
  </hyperlinks>
  <pageMargins left="0.7" right="0.7" top="0.75" bottom="0.75" header="0.3" footer="0.3"/>
  <legacyDrawing r:id="rId34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B1:E14"/>
  <sheetViews>
    <sheetView zoomScale="145" zoomScaleNormal="145" workbookViewId="0">
      <selection activeCell="E5" sqref="E5"/>
    </sheetView>
  </sheetViews>
  <sheetFormatPr defaultRowHeight="15" x14ac:dyDescent="0.25"/>
  <cols>
    <col min="1" max="1" width="3.7109375" customWidth="1"/>
    <col min="2" max="2" width="5.140625" customWidth="1"/>
    <col min="3" max="3" width="64.28515625" customWidth="1"/>
    <col min="4" max="4" width="4" customWidth="1"/>
    <col min="5" max="5" width="20.85546875" customWidth="1"/>
  </cols>
  <sheetData>
    <row r="1" spans="2:5" x14ac:dyDescent="0.25">
      <c r="C1" t="str">
        <f ca="1">CELL("имяфайла")</f>
        <v>\\FSERV\e\MERA\WORKS\ДСИ\РСС\ТКП\[Сводная по ТКП РСС v.1.6.14.xlsm]Лист1</v>
      </c>
    </row>
    <row r="2" spans="2:5" ht="13.9" customHeight="1" x14ac:dyDescent="0.25">
      <c r="B2" s="1900" t="s">
        <v>1959</v>
      </c>
      <c r="C2" s="1900"/>
      <c r="E2" s="903" t="s">
        <v>1686</v>
      </c>
    </row>
    <row r="3" spans="2:5" ht="26.45" customHeight="1" x14ac:dyDescent="0.25">
      <c r="B3" s="198" t="s">
        <v>0</v>
      </c>
      <c r="C3" s="198" t="s">
        <v>966</v>
      </c>
      <c r="E3" s="1699" t="s">
        <v>1791</v>
      </c>
    </row>
    <row r="4" spans="2:5" ht="28.9" customHeight="1" x14ac:dyDescent="0.25">
      <c r="B4" s="819"/>
      <c r="C4" s="819" t="s">
        <v>967</v>
      </c>
      <c r="E4" s="903" t="s">
        <v>1960</v>
      </c>
    </row>
    <row r="5" spans="2:5" ht="33.75" customHeight="1" x14ac:dyDescent="0.25">
      <c r="B5" s="825">
        <f t="shared" ref="B5:B11" si="0">ROW()-ROW($B$4)</f>
        <v>1</v>
      </c>
      <c r="C5" s="826" t="s">
        <v>1609</v>
      </c>
      <c r="E5" s="1700"/>
    </row>
    <row r="6" spans="2:5" ht="32.450000000000003" customHeight="1" x14ac:dyDescent="0.25">
      <c r="B6" s="825">
        <f t="shared" si="0"/>
        <v>2</v>
      </c>
      <c r="C6" s="826" t="s">
        <v>1608</v>
      </c>
      <c r="E6" s="328"/>
    </row>
    <row r="7" spans="2:5" ht="42" customHeight="1" x14ac:dyDescent="0.25">
      <c r="B7" s="825">
        <f t="shared" si="0"/>
        <v>3</v>
      </c>
      <c r="C7" s="826" t="s">
        <v>1610</v>
      </c>
    </row>
    <row r="8" spans="2:5" ht="75.599999999999994" customHeight="1" x14ac:dyDescent="0.25">
      <c r="B8" s="825">
        <f t="shared" si="0"/>
        <v>4</v>
      </c>
      <c r="C8" s="826" t="s">
        <v>2054</v>
      </c>
    </row>
    <row r="9" spans="2:5" ht="22.9" customHeight="1" x14ac:dyDescent="0.25">
      <c r="B9" s="825">
        <f t="shared" si="0"/>
        <v>5</v>
      </c>
      <c r="C9" s="827" t="s">
        <v>998</v>
      </c>
    </row>
    <row r="10" spans="2:5" ht="27" customHeight="1" x14ac:dyDescent="0.25">
      <c r="B10" s="825">
        <f t="shared" si="0"/>
        <v>6</v>
      </c>
      <c r="C10" s="827" t="s">
        <v>999</v>
      </c>
      <c r="E10" s="329"/>
    </row>
    <row r="11" spans="2:5" x14ac:dyDescent="0.25">
      <c r="B11" s="825">
        <f t="shared" si="0"/>
        <v>7</v>
      </c>
      <c r="C11" s="827"/>
    </row>
    <row r="14" spans="2:5" x14ac:dyDescent="0.25">
      <c r="E14" s="329"/>
    </row>
  </sheetData>
  <mergeCells count="1">
    <mergeCell ref="B2:C2"/>
  </mergeCells>
  <hyperlinks>
    <hyperlink ref="E2" r:id="rId1"/>
    <hyperlink ref="E3" r:id="rId2"/>
    <hyperlink ref="E4" r:id="rId3"/>
  </hyperlinks>
  <pageMargins left="0.7" right="0.7" top="0.75" bottom="0.75" header="0.3" footer="0.3"/>
  <pageSetup paperSize="9"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Листы</vt:lpstr>
      </vt:variant>
      <vt:variant>
        <vt:i4>3</vt:i4>
      </vt:variant>
      <vt:variant>
        <vt:lpstr>Именованные диапазоны</vt:lpstr>
      </vt:variant>
      <vt:variant>
        <vt:i4>20</vt:i4>
      </vt:variant>
    </vt:vector>
  </HeadingPairs>
  <TitlesOfParts>
    <vt:vector size="23" baseType="lpstr">
      <vt:lpstr>Лист1</vt:lpstr>
      <vt:lpstr>old</vt:lpstr>
      <vt:lpstr>Правила</vt:lpstr>
      <vt:lpstr>c_comment</vt:lpstr>
      <vt:lpstr>c_Control</vt:lpstr>
      <vt:lpstr>c_date</vt:lpstr>
      <vt:lpstr>c_naimenovanie</vt:lpstr>
      <vt:lpstr>c_OM_Comment</vt:lpstr>
      <vt:lpstr>c_process</vt:lpstr>
      <vt:lpstr>c_zakazchik</vt:lpstr>
      <vt:lpstr>email_from</vt:lpstr>
      <vt:lpstr>email_frompass</vt:lpstr>
      <vt:lpstr>email_log</vt:lpstr>
      <vt:lpstr>email_to</vt:lpstr>
      <vt:lpstr>Local_File_Path</vt:lpstr>
      <vt:lpstr>Local_File_Sheet</vt:lpstr>
      <vt:lpstr>Priority</vt:lpstr>
      <vt:lpstr>Tematika</vt:lpstr>
      <vt:lpstr>TKP</vt:lpstr>
      <vt:lpstr>WasteTimeMs</vt:lpstr>
      <vt:lpstr>Лист1!Область_печати</vt:lpstr>
      <vt:lpstr>Темысвод</vt:lpstr>
      <vt:lpstr>Шаблон</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Skripnik</dc:creator>
  <cp:lastModifiedBy>SkripnikAA</cp:lastModifiedBy>
  <cp:lastPrinted>2024-02-08T07:52:17Z</cp:lastPrinted>
  <dcterms:created xsi:type="dcterms:W3CDTF">2015-06-05T18:19:34Z</dcterms:created>
  <dcterms:modified xsi:type="dcterms:W3CDTF">2026-09-16T10:08:06Z</dcterms:modified>
</cp:coreProperties>
</file>