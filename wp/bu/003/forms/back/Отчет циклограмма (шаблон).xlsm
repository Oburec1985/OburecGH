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Oburec\delphi\2011\installer\wpExtPack\source\"/>
    </mc:Choice>
  </mc:AlternateContent>
  <bookViews>
    <workbookView xWindow="120" yWindow="75" windowWidth="28635" windowHeight="12165" activeTab="1"/>
  </bookViews>
  <sheets>
    <sheet name="1" sheetId="1" r:id="rId1"/>
    <sheet name="Отчет" sheetId="2" r:id="rId2"/>
  </sheets>
  <calcPr calcId="152511"/>
</workbook>
</file>

<file path=xl/calcChain.xml><?xml version="1.0" encoding="utf-8"?>
<calcChain xmlns="http://schemas.openxmlformats.org/spreadsheetml/2006/main">
  <c r="B7" i="2" l="1"/>
  <c r="C7" i="2"/>
  <c r="D7" i="2"/>
  <c r="E7" i="2"/>
  <c r="F7" i="2"/>
  <c r="B8" i="2"/>
  <c r="C8" i="2"/>
  <c r="D8" i="2"/>
  <c r="E8" i="2"/>
  <c r="F8" i="2"/>
  <c r="B9" i="2"/>
  <c r="C9" i="2"/>
  <c r="D9" i="2"/>
  <c r="E9" i="2"/>
  <c r="F9" i="2"/>
  <c r="B10" i="2"/>
  <c r="C10" i="2"/>
  <c r="D10" i="2"/>
  <c r="E10" i="2"/>
  <c r="F10" i="2"/>
  <c r="B11" i="2"/>
  <c r="C11" i="2"/>
  <c r="D11" i="2"/>
  <c r="E11" i="2"/>
  <c r="F11" i="2"/>
  <c r="B12" i="2"/>
  <c r="C12" i="2"/>
  <c r="D12" i="2"/>
  <c r="E12" i="2"/>
  <c r="F12" i="2"/>
  <c r="B13" i="2"/>
  <c r="C13" i="2"/>
  <c r="D13" i="2"/>
  <c r="E13" i="2"/>
  <c r="F13" i="2"/>
  <c r="B14" i="2"/>
  <c r="C14" i="2"/>
  <c r="D14" i="2"/>
  <c r="E14" i="2"/>
  <c r="F14" i="2"/>
  <c r="B15" i="2"/>
  <c r="C15" i="2"/>
  <c r="D15" i="2"/>
  <c r="E15" i="2"/>
  <c r="F15" i="2"/>
  <c r="B16" i="2"/>
  <c r="C16" i="2"/>
  <c r="D16" i="2"/>
  <c r="E16" i="2"/>
  <c r="F16" i="2"/>
  <c r="B17" i="2"/>
  <c r="C17" i="2"/>
  <c r="D17" i="2"/>
  <c r="E17" i="2"/>
  <c r="F17" i="2"/>
  <c r="B18" i="2"/>
  <c r="C18" i="2"/>
  <c r="D18" i="2"/>
  <c r="E18" i="2"/>
  <c r="F18" i="2"/>
  <c r="B19" i="2"/>
  <c r="C19" i="2"/>
  <c r="D19" i="2"/>
  <c r="E19" i="2"/>
  <c r="F19" i="2"/>
  <c r="B20" i="2"/>
  <c r="C20" i="2"/>
  <c r="D20" i="2"/>
  <c r="E20" i="2"/>
  <c r="F20" i="2"/>
  <c r="B21" i="2"/>
  <c r="C21" i="2"/>
  <c r="D21" i="2"/>
  <c r="E21" i="2"/>
  <c r="F21" i="2"/>
  <c r="B22" i="2"/>
  <c r="C22" i="2"/>
  <c r="D22" i="2"/>
  <c r="E22" i="2"/>
  <c r="F22" i="2"/>
  <c r="B23" i="2"/>
  <c r="C23" i="2"/>
  <c r="D23" i="2"/>
  <c r="E23" i="2"/>
  <c r="F23" i="2"/>
  <c r="B24" i="2"/>
  <c r="C24" i="2"/>
  <c r="D24" i="2"/>
  <c r="E24" i="2"/>
  <c r="F24" i="2"/>
  <c r="B25" i="2"/>
  <c r="C25" i="2"/>
  <c r="D25" i="2"/>
  <c r="E25" i="2"/>
  <c r="F25" i="2"/>
  <c r="B26" i="2"/>
  <c r="C26" i="2"/>
  <c r="D26" i="2"/>
  <c r="E26" i="2"/>
  <c r="F26" i="2"/>
  <c r="B27" i="2"/>
  <c r="C27" i="2"/>
  <c r="D27" i="2"/>
  <c r="E27" i="2"/>
  <c r="F27" i="2"/>
  <c r="B28" i="2"/>
  <c r="C28" i="2"/>
  <c r="D28" i="2"/>
  <c r="E28" i="2"/>
  <c r="F28" i="2"/>
  <c r="B29" i="2"/>
  <c r="C29" i="2"/>
  <c r="D29" i="2"/>
  <c r="E29" i="2"/>
  <c r="F29" i="2"/>
  <c r="B30" i="2"/>
  <c r="C30" i="2"/>
  <c r="D30" i="2"/>
  <c r="E30" i="2"/>
  <c r="F30" i="2"/>
  <c r="B31" i="2"/>
  <c r="C31" i="2"/>
  <c r="D31" i="2"/>
  <c r="E31" i="2"/>
  <c r="F31" i="2"/>
  <c r="B32" i="2"/>
  <c r="C32" i="2"/>
  <c r="D32" i="2"/>
  <c r="E32" i="2"/>
  <c r="F32" i="2"/>
  <c r="B33" i="2"/>
  <c r="C33" i="2"/>
  <c r="D33" i="2"/>
  <c r="E33" i="2"/>
  <c r="F33" i="2"/>
  <c r="B34" i="2"/>
  <c r="C34" i="2"/>
  <c r="D34" i="2"/>
  <c r="E34" i="2"/>
  <c r="F34" i="2"/>
  <c r="B35" i="2"/>
  <c r="C35" i="2"/>
  <c r="D35" i="2"/>
  <c r="E35" i="2"/>
  <c r="F35" i="2"/>
  <c r="B36" i="2"/>
  <c r="C36" i="2"/>
  <c r="D36" i="2"/>
  <c r="E36" i="2"/>
  <c r="F36" i="2"/>
  <c r="B37" i="2"/>
  <c r="C37" i="2"/>
  <c r="D37" i="2"/>
  <c r="E37" i="2"/>
  <c r="F37" i="2"/>
  <c r="B38" i="2"/>
  <c r="C38" i="2"/>
  <c r="D38" i="2"/>
  <c r="E38" i="2"/>
  <c r="F38" i="2"/>
  <c r="B39" i="2"/>
  <c r="C39" i="2"/>
  <c r="D39" i="2"/>
  <c r="E39" i="2"/>
  <c r="F39" i="2"/>
  <c r="B40" i="2"/>
  <c r="C40" i="2"/>
  <c r="D40" i="2"/>
  <c r="E40" i="2"/>
  <c r="F40" i="2"/>
  <c r="B41" i="2"/>
  <c r="C41" i="2"/>
  <c r="D41" i="2"/>
  <c r="E41" i="2"/>
  <c r="F41" i="2"/>
  <c r="B42" i="2"/>
  <c r="C42" i="2"/>
  <c r="D42" i="2"/>
  <c r="E42" i="2"/>
  <c r="F42" i="2"/>
  <c r="B43" i="2"/>
  <c r="C43" i="2"/>
  <c r="D43" i="2"/>
  <c r="E43" i="2"/>
  <c r="F43" i="2"/>
  <c r="A7" i="2" l="1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6" i="2"/>
  <c r="B6" i="2" l="1"/>
  <c r="B1" i="2"/>
  <c r="B3" i="2"/>
  <c r="B2" i="2"/>
  <c r="F6" i="2" l="1"/>
  <c r="E6" i="2"/>
  <c r="C6" i="2"/>
  <c r="D6" i="2"/>
  <c r="D5" i="2"/>
</calcChain>
</file>

<file path=xl/sharedStrings.xml><?xml version="1.0" encoding="utf-8"?>
<sst xmlns="http://schemas.openxmlformats.org/spreadsheetml/2006/main" count="81" uniqueCount="55">
  <si>
    <t>Отчет</t>
  </si>
  <si>
    <t>Дата</t>
  </si>
  <si>
    <t>Время</t>
  </si>
  <si>
    <t>Таблица регистрации времени выдачи команд и срабатывания концевых выключателей элементов автоматики</t>
  </si>
  <si>
    <t>Название элемента</t>
  </si>
  <si>
    <t>Состояние</t>
  </si>
  <si>
    <t>Время КВ, с</t>
  </si>
  <si>
    <t>Время срабатывания, с</t>
  </si>
  <si>
    <t>dT КВ, с</t>
  </si>
  <si>
    <t>Имя файла</t>
  </si>
  <si>
    <t>21.08.2018</t>
  </si>
  <si>
    <t>09:34:56.881</t>
  </si>
  <si>
    <t>C:\USML\signal0274\signal0274.mera</t>
  </si>
  <si>
    <t>Сигнал</t>
  </si>
  <si>
    <t>Значение</t>
  </si>
  <si>
    <t>Время, сек.</t>
  </si>
  <si>
    <t>dT, сек.</t>
  </si>
  <si>
    <t>Обратная связь</t>
  </si>
  <si>
    <t>Вещущий инженер</t>
  </si>
  <si>
    <t>Начальник группы эл.автоматики</t>
  </si>
  <si>
    <t>Вед. инженер группы эл.автоматики</t>
  </si>
  <si>
    <t>Оператор</t>
  </si>
  <si>
    <t>Азот на изделие</t>
  </si>
  <si>
    <t>Прод. Изд. О5</t>
  </si>
  <si>
    <t>Прод. Изд. Г5</t>
  </si>
  <si>
    <t>охл.датчиков</t>
  </si>
  <si>
    <t>98с</t>
  </si>
  <si>
    <t>Обдув изд.</t>
  </si>
  <si>
    <t>Концевой О5</t>
  </si>
  <si>
    <t>137с</t>
  </si>
  <si>
    <t>Концевой Г5</t>
  </si>
  <si>
    <t>38с</t>
  </si>
  <si>
    <t>Дрен. Маг. О9</t>
  </si>
  <si>
    <t>69с</t>
  </si>
  <si>
    <t>Др. маг. Г9</t>
  </si>
  <si>
    <t>Впр. Вод. В газ</t>
  </si>
  <si>
    <t>Вода на душ</t>
  </si>
  <si>
    <t>90с</t>
  </si>
  <si>
    <t>Общая готовность</t>
  </si>
  <si>
    <t>Разрешение</t>
  </si>
  <si>
    <t>Расходный Г9</t>
  </si>
  <si>
    <t>107с</t>
  </si>
  <si>
    <t>111с</t>
  </si>
  <si>
    <t>65с</t>
  </si>
  <si>
    <t>115с</t>
  </si>
  <si>
    <t>79с</t>
  </si>
  <si>
    <t>Расходный О9</t>
  </si>
  <si>
    <t>130с</t>
  </si>
  <si>
    <t>Пуск_изд</t>
  </si>
  <si>
    <t>Старт на РВК-5</t>
  </si>
  <si>
    <t>Старт в ИВК</t>
  </si>
  <si>
    <t>упр БКПО</t>
  </si>
  <si>
    <t>162с</t>
  </si>
  <si>
    <t>упр БКПГ</t>
  </si>
  <si>
    <t>163с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</si>
</sst>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0" fontId="0" fillId="0" borderId="10" xfId="0" applyBorder="1"/>
    <xf numFmtId="0" fontId="0" fillId="0" borderId="10" xfId="0" applyFill="1" applyBorder="1"/>
    <xf numFmtId="49" fontId="0" fillId="0" borderId="10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10" xfId="0" applyNumberFormat="1" applyBorder="1"/>
    <xf numFmtId="1" fontId="0" fillId="0" borderId="0" xfId="0" applyNumberFormat="1"/>
    <xf numFmtId="2" fontId="0" fillId="0" borderId="10" xfId="0" applyNumberFormat="1" applyBorder="1"/>
    <xf numFmtId="2" fontId="0" fillId="0" borderId="10" xfId="0" applyNumberFormat="1" applyBorder="1" applyAlignment="1">
      <alignment horizontal="left"/>
    </xf>
    <xf numFmtId="1" fontId="0" fillId="0" borderId="10" xfId="0" applyNumberFormat="1" applyBorder="1" applyAlignment="1">
      <alignment horizontal="center"/>
    </xf>
    <xf numFmtId="2" fontId="0" fillId="0" borderId="10" xfId="0" applyNumberFormat="1" applyBorder="1" applyAlignment="1">
      <alignment wrapText="1"/>
    </xf>
    <xf numFmtId="0" fontId="0" fillId="0" borderId="0" xfId="0" quotePrefix="1"/>
    <xf numFmtId="0" fontId="0" fillId="0" borderId="10" xfId="0" applyNumberFormat="1" applyBorder="1" applyAlignment="1">
      <alignment horizontal="left"/>
    </xf>
    <xf numFmtId="49" fontId="0" fillId="33" borderId="11" xfId="0" applyNumberFormat="1" applyFill="1" applyBorder="1" applyAlignment="1">
      <alignment horizontal="left"/>
    </xf>
    <xf numFmtId="49" fontId="0" fillId="33" borderId="12" xfId="0" applyNumberFormat="1" applyFill="1" applyBorder="1" applyAlignment="1">
      <alignment horizontal="left"/>
    </xf>
    <xf numFmtId="49" fontId="0" fillId="33" borderId="13" xfId="0" applyNumberFormat="1" applyFill="1" applyBorder="1" applyAlignment="1">
      <alignment horizontal="left"/>
    </xf>
    <xf numFmtId="2" fontId="0" fillId="33" borderId="10" xfId="0" applyNumberFormat="1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1" fontId="0" fillId="0" borderId="0" xfId="0" applyNumberFormat="1" applyAlignment="1">
      <alignment horizontal="left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"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40"/>
  <sheetViews>
    <sheetView workbookViewId="0">
      <selection activeCell="G33" sqref="G33"/>
    </sheetView>
  </sheetViews>
  <sheetFormatPr defaultRowHeight="15" x14ac:dyDescent="0.25"/>
  <cols>
    <col min="2" max="2" width="21.85546875" customWidth="1"/>
    <col min="3" max="3" width="13.42578125" customWidth="1"/>
    <col min="4" max="4" width="0.140625" customWidth="1"/>
    <col min="5" max="5" width="14.85546875" customWidth="1"/>
    <col min="7" max="7" width="76" customWidth="1"/>
  </cols>
  <sheetData>
    <row r="1" spans="1:6" x14ac:dyDescent="0.25">
      <c r="A1" t="s">
        <v>0</v>
      </c>
      <c r="B1" t="s">
        <v>10</v>
      </c>
      <c r="C1" s="11" t="s">
        <v>11</v>
      </c>
      <c r="D1" s="11" t="s">
        <v>12</v>
      </c>
    </row>
    <row r="2" spans="1:6" x14ac:dyDescent="0.25">
      <c r="A2" t="s">
        <v>13</v>
      </c>
      <c r="B2" t="s">
        <v>14</v>
      </c>
      <c r="C2" t="s">
        <v>15</v>
      </c>
      <c r="D2" t="s">
        <v>17</v>
      </c>
      <c r="E2" t="s">
        <v>15</v>
      </c>
      <c r="F2" t="s">
        <v>16</v>
      </c>
    </row>
    <row r="3" spans="1:6" x14ac:dyDescent="0.25">
      <c r="A3" t="s">
        <v>22</v>
      </c>
      <c r="B3">
        <v>1</v>
      </c>
      <c r="C3">
        <v>9.9999997764825821E-3</v>
      </c>
    </row>
    <row r="4" spans="1:6" x14ac:dyDescent="0.25">
      <c r="A4" t="s">
        <v>23</v>
      </c>
      <c r="B4">
        <v>1</v>
      </c>
      <c r="C4">
        <v>9.9999997764825821E-3</v>
      </c>
    </row>
    <row r="5" spans="1:6" x14ac:dyDescent="0.25">
      <c r="A5" t="s">
        <v>24</v>
      </c>
      <c r="B5">
        <v>1</v>
      </c>
      <c r="C5">
        <v>9.9999997764825821E-3</v>
      </c>
    </row>
    <row r="6" spans="1:6" x14ac:dyDescent="0.25">
      <c r="A6" t="s">
        <v>25</v>
      </c>
      <c r="B6">
        <v>1</v>
      </c>
      <c r="C6">
        <v>9.9999997764825821E-3</v>
      </c>
      <c r="D6" t="s">
        <v>26</v>
      </c>
      <c r="E6">
        <v>9.9999997764825821E-3</v>
      </c>
      <c r="F6">
        <v>0</v>
      </c>
    </row>
    <row r="7" spans="1:6" x14ac:dyDescent="0.25">
      <c r="A7" t="s">
        <v>27</v>
      </c>
      <c r="B7">
        <v>1</v>
      </c>
      <c r="C7">
        <v>9.9999997764825821E-3</v>
      </c>
    </row>
    <row r="8" spans="1:6" x14ac:dyDescent="0.25">
      <c r="A8" t="s">
        <v>28</v>
      </c>
      <c r="B8">
        <v>1</v>
      </c>
      <c r="C8">
        <v>9.9999997764825821E-3</v>
      </c>
      <c r="D8" t="s">
        <v>29</v>
      </c>
      <c r="E8">
        <v>9.9999997764825821E-3</v>
      </c>
      <c r="F8">
        <v>0</v>
      </c>
    </row>
    <row r="9" spans="1:6" x14ac:dyDescent="0.25">
      <c r="A9" t="s">
        <v>30</v>
      </c>
      <c r="B9">
        <v>1</v>
      </c>
      <c r="C9">
        <v>9.9999997764825821E-3</v>
      </c>
      <c r="D9" t="s">
        <v>31</v>
      </c>
      <c r="E9">
        <v>9.9999997764825821E-3</v>
      </c>
      <c r="F9">
        <v>0</v>
      </c>
    </row>
    <row r="10" spans="1:6" x14ac:dyDescent="0.25">
      <c r="A10" t="s">
        <v>32</v>
      </c>
      <c r="B10">
        <v>1</v>
      </c>
      <c r="C10">
        <v>9.9999997764825821E-3</v>
      </c>
      <c r="D10" t="s">
        <v>33</v>
      </c>
      <c r="E10">
        <v>9.9999997764825821E-3</v>
      </c>
      <c r="F10">
        <v>0</v>
      </c>
    </row>
    <row r="11" spans="1:6" x14ac:dyDescent="0.25">
      <c r="A11" t="s">
        <v>34</v>
      </c>
      <c r="B11">
        <v>1</v>
      </c>
      <c r="C11">
        <v>9.9999997764825821E-3</v>
      </c>
    </row>
    <row r="12" spans="1:6" x14ac:dyDescent="0.25">
      <c r="A12" t="s">
        <v>35</v>
      </c>
      <c r="B12">
        <v>1</v>
      </c>
      <c r="C12">
        <v>9.9999997764825821E-3</v>
      </c>
    </row>
    <row r="13" spans="1:6" x14ac:dyDescent="0.25">
      <c r="A13" t="s">
        <v>36</v>
      </c>
      <c r="B13">
        <v>1</v>
      </c>
      <c r="C13">
        <v>9.9999997764825821E-3</v>
      </c>
      <c r="D13" t="s">
        <v>37</v>
      </c>
      <c r="E13">
        <v>9.9999997764825821E-3</v>
      </c>
      <c r="F13">
        <v>0</v>
      </c>
    </row>
    <row r="14" spans="1:6" x14ac:dyDescent="0.25">
      <c r="A14" t="s">
        <v>38</v>
      </c>
      <c r="B14">
        <v>1</v>
      </c>
      <c r="C14">
        <v>20.551241000145673</v>
      </c>
    </row>
    <row r="15" spans="1:6" x14ac:dyDescent="0.25">
      <c r="A15" t="s">
        <v>39</v>
      </c>
      <c r="B15">
        <v>1</v>
      </c>
      <c r="C15">
        <v>22.891241000145673</v>
      </c>
    </row>
    <row r="16" spans="1:6" x14ac:dyDescent="0.25">
      <c r="A16" t="s">
        <v>40</v>
      </c>
      <c r="B16">
        <v>1</v>
      </c>
      <c r="C16">
        <v>22.899999999776483</v>
      </c>
      <c r="D16" t="s">
        <v>41</v>
      </c>
      <c r="E16">
        <v>24.549999999776482</v>
      </c>
      <c r="F16">
        <v>1.6499999999999986</v>
      </c>
    </row>
    <row r="17" spans="1:6" x14ac:dyDescent="0.25">
      <c r="A17" t="s">
        <v>24</v>
      </c>
      <c r="B17">
        <v>0</v>
      </c>
      <c r="C17">
        <v>22.899999999776483</v>
      </c>
      <c r="D17" t="s">
        <v>42</v>
      </c>
      <c r="E17">
        <v>23.219999999776483</v>
      </c>
      <c r="F17">
        <v>0.32000000000000028</v>
      </c>
    </row>
    <row r="18" spans="1:6" x14ac:dyDescent="0.25">
      <c r="A18" t="s">
        <v>22</v>
      </c>
      <c r="B18">
        <v>0</v>
      </c>
      <c r="C18">
        <v>22.899999999776483</v>
      </c>
      <c r="D18" t="s">
        <v>43</v>
      </c>
      <c r="E18">
        <v>23.319999999776481</v>
      </c>
      <c r="F18">
        <v>0.41999999999999815</v>
      </c>
    </row>
    <row r="19" spans="1:6" x14ac:dyDescent="0.25">
      <c r="A19" t="s">
        <v>27</v>
      </c>
      <c r="B19">
        <v>0</v>
      </c>
      <c r="C19">
        <v>22.899999999776483</v>
      </c>
      <c r="D19" t="s">
        <v>44</v>
      </c>
      <c r="E19">
        <v>23.379999999776484</v>
      </c>
      <c r="F19">
        <v>0.48000000000000043</v>
      </c>
    </row>
    <row r="20" spans="1:6" x14ac:dyDescent="0.25">
      <c r="A20" t="s">
        <v>23</v>
      </c>
      <c r="B20">
        <v>0</v>
      </c>
      <c r="C20">
        <v>22.899999999776483</v>
      </c>
      <c r="D20" t="s">
        <v>45</v>
      </c>
      <c r="E20">
        <v>23.269999999776484</v>
      </c>
      <c r="F20">
        <v>0.37000000000000099</v>
      </c>
    </row>
    <row r="21" spans="1:6" x14ac:dyDescent="0.25">
      <c r="A21" t="s">
        <v>46</v>
      </c>
      <c r="B21">
        <v>1</v>
      </c>
      <c r="C21">
        <v>22.899999999776483</v>
      </c>
      <c r="D21" t="s">
        <v>47</v>
      </c>
      <c r="E21">
        <v>24.449999999776484</v>
      </c>
      <c r="F21">
        <v>1.5500000000000007</v>
      </c>
    </row>
    <row r="22" spans="1:6" x14ac:dyDescent="0.25">
      <c r="A22" t="s">
        <v>39</v>
      </c>
      <c r="B22">
        <v>0</v>
      </c>
      <c r="C22">
        <v>25.891241000145673</v>
      </c>
    </row>
    <row r="23" spans="1:6" x14ac:dyDescent="0.25">
      <c r="A23" t="s">
        <v>48</v>
      </c>
      <c r="B23">
        <v>1</v>
      </c>
      <c r="C23">
        <v>28.601241000145674</v>
      </c>
    </row>
    <row r="24" spans="1:6" x14ac:dyDescent="0.25">
      <c r="A24" t="s">
        <v>49</v>
      </c>
      <c r="B24">
        <v>1</v>
      </c>
      <c r="C24">
        <v>0</v>
      </c>
    </row>
    <row r="25" spans="1:6" x14ac:dyDescent="0.25">
      <c r="A25" t="s">
        <v>50</v>
      </c>
      <c r="B25">
        <v>1</v>
      </c>
      <c r="C25">
        <v>0</v>
      </c>
    </row>
    <row r="26" spans="1:6" x14ac:dyDescent="0.25">
      <c r="A26" t="s">
        <v>39</v>
      </c>
      <c r="B26">
        <v>1</v>
      </c>
      <c r="C26">
        <v>3.810003399848938E-4</v>
      </c>
    </row>
    <row r="27" spans="1:6" x14ac:dyDescent="0.25">
      <c r="A27" t="s">
        <v>38</v>
      </c>
      <c r="B27">
        <v>0</v>
      </c>
      <c r="C27">
        <v>3.810003399848938E-4</v>
      </c>
    </row>
    <row r="28" spans="1:6" x14ac:dyDescent="0.25">
      <c r="A28" t="s">
        <v>39</v>
      </c>
      <c r="B28">
        <v>0</v>
      </c>
      <c r="C28">
        <v>2.9903810003399833</v>
      </c>
    </row>
    <row r="29" spans="1:6" x14ac:dyDescent="0.25">
      <c r="A29" t="s">
        <v>51</v>
      </c>
      <c r="B29">
        <v>1</v>
      </c>
      <c r="C29">
        <v>9.6898249998316182</v>
      </c>
      <c r="D29" t="s">
        <v>52</v>
      </c>
      <c r="E29">
        <v>9.7391399999707922</v>
      </c>
      <c r="F29">
        <v>4.9315000139174003E-2</v>
      </c>
    </row>
    <row r="30" spans="1:6" x14ac:dyDescent="0.25">
      <c r="A30" t="s">
        <v>53</v>
      </c>
      <c r="B30">
        <v>1</v>
      </c>
      <c r="C30">
        <v>9.9898249998316153</v>
      </c>
      <c r="D30" t="s">
        <v>54</v>
      </c>
      <c r="E30">
        <v>10.049139999970794</v>
      </c>
      <c r="F30">
        <v>5.9315000139179119E-2</v>
      </c>
    </row>
    <row r="31" spans="1:6" x14ac:dyDescent="0.25">
      <c r="A31" t="s">
        <v>23</v>
      </c>
      <c r="B31">
        <v>1</v>
      </c>
      <c r="C31">
        <v>109.29913999997081</v>
      </c>
      <c r="D31" t="s">
        <v>45</v>
      </c>
      <c r="E31">
        <v>109.81913999997079</v>
      </c>
      <c r="F31">
        <v>0.51999999999998181</v>
      </c>
    </row>
    <row r="32" spans="1:6" x14ac:dyDescent="0.25">
      <c r="A32" t="s">
        <v>24</v>
      </c>
      <c r="B32">
        <v>1</v>
      </c>
      <c r="C32">
        <v>109.29913999997081</v>
      </c>
      <c r="D32" t="s">
        <v>42</v>
      </c>
      <c r="E32">
        <v>109.81913999997079</v>
      </c>
      <c r="F32">
        <v>0.51999999999998181</v>
      </c>
    </row>
    <row r="33" spans="1:6" x14ac:dyDescent="0.25">
      <c r="A33" t="s">
        <v>27</v>
      </c>
      <c r="B33">
        <v>1</v>
      </c>
      <c r="C33">
        <v>109.99913999997079</v>
      </c>
      <c r="D33" t="s">
        <v>44</v>
      </c>
      <c r="E33">
        <v>110.6491399999708</v>
      </c>
      <c r="F33">
        <v>0.65000000000000568</v>
      </c>
    </row>
    <row r="34" spans="1:6" x14ac:dyDescent="0.25">
      <c r="A34" t="s">
        <v>51</v>
      </c>
      <c r="B34">
        <v>0</v>
      </c>
      <c r="C34">
        <v>109.99982499983162</v>
      </c>
      <c r="D34" t="s">
        <v>52</v>
      </c>
      <c r="E34">
        <v>110.0191399999708</v>
      </c>
      <c r="F34">
        <v>1.9315000139187077E-2</v>
      </c>
    </row>
    <row r="35" spans="1:6" x14ac:dyDescent="0.25">
      <c r="A35" t="s">
        <v>53</v>
      </c>
      <c r="B35">
        <v>0</v>
      </c>
      <c r="C35">
        <v>109.99982499983162</v>
      </c>
      <c r="D35" t="s">
        <v>54</v>
      </c>
      <c r="E35">
        <v>110.0191399999708</v>
      </c>
      <c r="F35">
        <v>1.9315000139187077E-2</v>
      </c>
    </row>
    <row r="36" spans="1:6" x14ac:dyDescent="0.25">
      <c r="A36" t="s">
        <v>49</v>
      </c>
      <c r="B36">
        <v>0</v>
      </c>
      <c r="C36">
        <v>110</v>
      </c>
    </row>
    <row r="37" spans="1:6" x14ac:dyDescent="0.25">
      <c r="A37" t="s">
        <v>48</v>
      </c>
      <c r="B37">
        <v>0</v>
      </c>
      <c r="C37">
        <v>110.00038100033998</v>
      </c>
    </row>
    <row r="38" spans="1:6" x14ac:dyDescent="0.25">
      <c r="A38" t="s">
        <v>50</v>
      </c>
      <c r="B38">
        <v>0</v>
      </c>
      <c r="C38">
        <v>120</v>
      </c>
    </row>
    <row r="39" spans="1:6" x14ac:dyDescent="0.25">
      <c r="A39" t="s">
        <v>24</v>
      </c>
      <c r="B39">
        <v>0</v>
      </c>
      <c r="C39">
        <v>149.99913999997079</v>
      </c>
      <c r="D39" t="s">
        <v>42</v>
      </c>
      <c r="E39">
        <v>150.31913999997079</v>
      </c>
      <c r="F39">
        <v>0.31999999999999318</v>
      </c>
    </row>
    <row r="40" spans="1:6" x14ac:dyDescent="0.25">
      <c r="A40" t="s">
        <v>23</v>
      </c>
      <c r="B40">
        <v>0</v>
      </c>
      <c r="C40">
        <v>149.99913999997079</v>
      </c>
      <c r="D40" t="s">
        <v>45</v>
      </c>
      <c r="E40">
        <v>150.3691399999708</v>
      </c>
      <c r="F40">
        <v>0.37000000000000455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47"/>
  <sheetViews>
    <sheetView tabSelected="1" workbookViewId="0">
      <selection activeCell="L12" sqref="L12"/>
    </sheetView>
  </sheetViews>
  <sheetFormatPr defaultRowHeight="15" x14ac:dyDescent="0.25"/>
  <cols>
    <col min="1" max="1" width="37.28515625" style="4" customWidth="1"/>
    <col min="2" max="2" width="10.140625" style="6" customWidth="1"/>
    <col min="3" max="3" width="14.28515625" customWidth="1"/>
    <col min="4" max="4" width="3.28515625" style="4" hidden="1" customWidth="1"/>
    <col min="5" max="5" width="12" customWidth="1"/>
    <col min="7" max="7" width="0.28515625" hidden="1" customWidth="1"/>
  </cols>
  <sheetData>
    <row r="1" spans="1:7" x14ac:dyDescent="0.25">
      <c r="A1" s="4" t="s">
        <v>9</v>
      </c>
      <c r="B1" s="20" t="str">
        <f>'1'!D1</f>
        <v>C:\USML\signal0274\signal0274.mera</v>
      </c>
      <c r="C1" s="20"/>
      <c r="D1" s="20"/>
      <c r="E1" s="20"/>
      <c r="F1" s="20"/>
    </row>
    <row r="2" spans="1:7" x14ac:dyDescent="0.25">
      <c r="A2" s="4" t="s">
        <v>1</v>
      </c>
      <c r="B2" s="6" t="str">
        <f>'1'!B1</f>
        <v>21.08.2018</v>
      </c>
    </row>
    <row r="3" spans="1:7" x14ac:dyDescent="0.25">
      <c r="A3" s="4" t="s">
        <v>2</v>
      </c>
      <c r="B3" s="6" t="str">
        <f>'1'!C1</f>
        <v>09:34:56.881</v>
      </c>
    </row>
    <row r="4" spans="1:7" ht="30.75" customHeight="1" x14ac:dyDescent="0.25">
      <c r="A4" s="17" t="s">
        <v>3</v>
      </c>
      <c r="B4" s="18"/>
      <c r="C4" s="18"/>
      <c r="D4" s="18"/>
      <c r="E4" s="18"/>
      <c r="F4" s="19"/>
      <c r="G4" s="1"/>
    </row>
    <row r="5" spans="1:7" ht="45" x14ac:dyDescent="0.25">
      <c r="A5" s="3" t="s">
        <v>4</v>
      </c>
      <c r="B5" s="5" t="s">
        <v>5</v>
      </c>
      <c r="C5" s="10" t="s">
        <v>7</v>
      </c>
      <c r="D5" s="8" t="str">
        <f>'1'!D2</f>
        <v>Обратная связь</v>
      </c>
      <c r="E5" s="7" t="s">
        <v>6</v>
      </c>
      <c r="F5" s="7" t="s">
        <v>8</v>
      </c>
      <c r="G5" s="2"/>
    </row>
    <row r="6" spans="1:7" x14ac:dyDescent="0.25">
      <c r="A6" s="12" t="str">
        <f>'1'!A3</f>
        <v>Азот на изделие</v>
      </c>
      <c r="B6" s="9" t="str">
        <f>IF('1'!B3=1,"Вкл.",IF('1'!B3="0","","Выкл."))</f>
        <v>Вкл.</v>
      </c>
      <c r="C6" s="7">
        <f>'1'!C3</f>
        <v>9.9999997764825821E-3</v>
      </c>
      <c r="D6" s="8">
        <f>'1'!D3</f>
        <v>0</v>
      </c>
      <c r="E6" s="7">
        <f>'1'!E3</f>
        <v>0</v>
      </c>
      <c r="F6" s="7">
        <f>'1'!F3</f>
        <v>0</v>
      </c>
      <c r="G6" s="1"/>
    </row>
    <row r="7" spans="1:7" x14ac:dyDescent="0.25">
      <c r="A7" s="12" t="str">
        <f>'1'!A4</f>
        <v>Прод. Изд. О5</v>
      </c>
      <c r="B7" s="9" t="str">
        <f>IF('1'!B4=1,"Вкл.",IF('1'!B4="0","","Выкл."))</f>
        <v>Вкл.</v>
      </c>
      <c r="C7" s="7">
        <f>'1'!C4</f>
        <v>9.9999997764825821E-3</v>
      </c>
      <c r="D7" s="8">
        <f>'1'!D4</f>
        <v>0</v>
      </c>
      <c r="E7" s="7">
        <f>'1'!E4</f>
        <v>0</v>
      </c>
      <c r="F7" s="7">
        <f>'1'!F4</f>
        <v>0</v>
      </c>
      <c r="G7" s="1"/>
    </row>
    <row r="8" spans="1:7" x14ac:dyDescent="0.25">
      <c r="A8" s="12" t="str">
        <f>'1'!A5</f>
        <v>Прод. Изд. Г5</v>
      </c>
      <c r="B8" s="9" t="str">
        <f>IF('1'!B5=1,"Вкл.",IF('1'!B5="0","","Выкл."))</f>
        <v>Вкл.</v>
      </c>
      <c r="C8" s="7">
        <f>'1'!C5</f>
        <v>9.9999997764825821E-3</v>
      </c>
      <c r="D8" s="8">
        <f>'1'!D5</f>
        <v>0</v>
      </c>
      <c r="E8" s="7">
        <f>'1'!E5</f>
        <v>0</v>
      </c>
      <c r="F8" s="7">
        <f>'1'!F5</f>
        <v>0</v>
      </c>
      <c r="G8" s="1"/>
    </row>
    <row r="9" spans="1:7" x14ac:dyDescent="0.25">
      <c r="A9" s="12" t="str">
        <f>'1'!A6</f>
        <v>охл.датчиков</v>
      </c>
      <c r="B9" s="9" t="str">
        <f>IF('1'!B6=1,"Вкл.",IF('1'!B6="0","","Выкл."))</f>
        <v>Вкл.</v>
      </c>
      <c r="C9" s="7">
        <f>'1'!C6</f>
        <v>9.9999997764825821E-3</v>
      </c>
      <c r="D9" s="8" t="str">
        <f>'1'!D6</f>
        <v>98с</v>
      </c>
      <c r="E9" s="7">
        <f>'1'!E6</f>
        <v>9.9999997764825821E-3</v>
      </c>
      <c r="F9" s="7">
        <f>'1'!F6</f>
        <v>0</v>
      </c>
      <c r="G9" s="1"/>
    </row>
    <row r="10" spans="1:7" x14ac:dyDescent="0.25">
      <c r="A10" s="12" t="str">
        <f>'1'!A7</f>
        <v>Обдув изд.</v>
      </c>
      <c r="B10" s="9" t="str">
        <f>IF('1'!B7=1,"Вкл.",IF('1'!B7="0","","Выкл."))</f>
        <v>Вкл.</v>
      </c>
      <c r="C10" s="7">
        <f>'1'!C7</f>
        <v>9.9999997764825821E-3</v>
      </c>
      <c r="D10" s="8">
        <f>'1'!D7</f>
        <v>0</v>
      </c>
      <c r="E10" s="7">
        <f>'1'!E7</f>
        <v>0</v>
      </c>
      <c r="F10" s="7">
        <f>'1'!F7</f>
        <v>0</v>
      </c>
      <c r="G10" s="1"/>
    </row>
    <row r="11" spans="1:7" x14ac:dyDescent="0.25">
      <c r="A11" s="12" t="str">
        <f>'1'!A8</f>
        <v>Концевой О5</v>
      </c>
      <c r="B11" s="9" t="str">
        <f>IF('1'!B8=1,"Вкл.",IF('1'!B8="0","","Выкл."))</f>
        <v>Вкл.</v>
      </c>
      <c r="C11" s="7">
        <f>'1'!C8</f>
        <v>9.9999997764825821E-3</v>
      </c>
      <c r="D11" s="8" t="str">
        <f>'1'!D8</f>
        <v>137с</v>
      </c>
      <c r="E11" s="7">
        <f>'1'!E8</f>
        <v>9.9999997764825821E-3</v>
      </c>
      <c r="F11" s="7">
        <f>'1'!F8</f>
        <v>0</v>
      </c>
      <c r="G11" s="1"/>
    </row>
    <row r="12" spans="1:7" x14ac:dyDescent="0.25">
      <c r="A12" s="12" t="str">
        <f>'1'!A9</f>
        <v>Концевой Г5</v>
      </c>
      <c r="B12" s="9" t="str">
        <f>IF('1'!B9=1,"Вкл.",IF('1'!B9="0","","Выкл."))</f>
        <v>Вкл.</v>
      </c>
      <c r="C12" s="7">
        <f>'1'!C9</f>
        <v>9.9999997764825821E-3</v>
      </c>
      <c r="D12" s="8" t="str">
        <f>'1'!D9</f>
        <v>38с</v>
      </c>
      <c r="E12" s="7">
        <f>'1'!E9</f>
        <v>9.9999997764825821E-3</v>
      </c>
      <c r="F12" s="7">
        <f>'1'!F9</f>
        <v>0</v>
      </c>
      <c r="G12" s="1"/>
    </row>
    <row r="13" spans="1:7" x14ac:dyDescent="0.25">
      <c r="A13" s="12" t="str">
        <f>'1'!A10</f>
        <v>Дрен. Маг. О9</v>
      </c>
      <c r="B13" s="9" t="str">
        <f>IF('1'!B10=1,"Вкл.",IF('1'!B10="0","","Выкл."))</f>
        <v>Вкл.</v>
      </c>
      <c r="C13" s="7">
        <f>'1'!C10</f>
        <v>9.9999997764825821E-3</v>
      </c>
      <c r="D13" s="8" t="str">
        <f>'1'!D10</f>
        <v>69с</v>
      </c>
      <c r="E13" s="7">
        <f>'1'!E10</f>
        <v>9.9999997764825821E-3</v>
      </c>
      <c r="F13" s="7">
        <f>'1'!F10</f>
        <v>0</v>
      </c>
      <c r="G13" s="1"/>
    </row>
    <row r="14" spans="1:7" x14ac:dyDescent="0.25">
      <c r="A14" s="12" t="str">
        <f>'1'!A11</f>
        <v>Др. маг. Г9</v>
      </c>
      <c r="B14" s="9" t="str">
        <f>IF('1'!B11=1,"Вкл.",IF('1'!B11="0","","Выкл."))</f>
        <v>Вкл.</v>
      </c>
      <c r="C14" s="7">
        <f>'1'!C11</f>
        <v>9.9999997764825821E-3</v>
      </c>
      <c r="D14" s="8">
        <f>'1'!D11</f>
        <v>0</v>
      </c>
      <c r="E14" s="7">
        <f>'1'!E11</f>
        <v>0</v>
      </c>
      <c r="F14" s="7">
        <f>'1'!F11</f>
        <v>0</v>
      </c>
      <c r="G14" s="1"/>
    </row>
    <row r="15" spans="1:7" x14ac:dyDescent="0.25">
      <c r="A15" s="12" t="str">
        <f>'1'!A12</f>
        <v>Впр. Вод. В газ</v>
      </c>
      <c r="B15" s="9" t="str">
        <f>IF('1'!B12=1,"Вкл.",IF('1'!B12="0","","Выкл."))</f>
        <v>Вкл.</v>
      </c>
      <c r="C15" s="7">
        <f>'1'!C12</f>
        <v>9.9999997764825821E-3</v>
      </c>
      <c r="D15" s="8">
        <f>'1'!D12</f>
        <v>0</v>
      </c>
      <c r="E15" s="7">
        <f>'1'!E12</f>
        <v>0</v>
      </c>
      <c r="F15" s="7">
        <f>'1'!F12</f>
        <v>0</v>
      </c>
      <c r="G15" s="1"/>
    </row>
    <row r="16" spans="1:7" x14ac:dyDescent="0.25">
      <c r="A16" s="12" t="str">
        <f>'1'!A13</f>
        <v>Вода на душ</v>
      </c>
      <c r="B16" s="9" t="str">
        <f>IF('1'!B13=1,"Вкл.",IF('1'!B13="0","","Выкл."))</f>
        <v>Вкл.</v>
      </c>
      <c r="C16" s="7">
        <f>'1'!C13</f>
        <v>9.9999997764825821E-3</v>
      </c>
      <c r="D16" s="8" t="str">
        <f>'1'!D13</f>
        <v>90с</v>
      </c>
      <c r="E16" s="7">
        <f>'1'!E13</f>
        <v>9.9999997764825821E-3</v>
      </c>
      <c r="F16" s="7">
        <f>'1'!F13</f>
        <v>0</v>
      </c>
      <c r="G16" s="1"/>
    </row>
    <row r="17" spans="1:7" x14ac:dyDescent="0.25">
      <c r="A17" s="12" t="str">
        <f>'1'!A14</f>
        <v>Общая готовность</v>
      </c>
      <c r="B17" s="9" t="str">
        <f>IF('1'!B14=1,"Вкл.",IF('1'!B14="0","","Выкл."))</f>
        <v>Вкл.</v>
      </c>
      <c r="C17" s="7">
        <f>'1'!C14</f>
        <v>20.551241000145673</v>
      </c>
      <c r="D17" s="8">
        <f>'1'!D14</f>
        <v>0</v>
      </c>
      <c r="E17" s="7">
        <f>'1'!E14</f>
        <v>0</v>
      </c>
      <c r="F17" s="7">
        <f>'1'!F14</f>
        <v>0</v>
      </c>
      <c r="G17" s="1"/>
    </row>
    <row r="18" spans="1:7" x14ac:dyDescent="0.25">
      <c r="A18" s="12" t="str">
        <f>'1'!A15</f>
        <v>Разрешение</v>
      </c>
      <c r="B18" s="9" t="str">
        <f>IF('1'!B15=1,"Вкл.",IF('1'!B15="0","","Выкл."))</f>
        <v>Вкл.</v>
      </c>
      <c r="C18" s="7">
        <f>'1'!C15</f>
        <v>22.891241000145673</v>
      </c>
      <c r="D18" s="8">
        <f>'1'!D15</f>
        <v>0</v>
      </c>
      <c r="E18" s="7">
        <f>'1'!E15</f>
        <v>0</v>
      </c>
      <c r="F18" s="7">
        <f>'1'!F15</f>
        <v>0</v>
      </c>
      <c r="G18" s="1"/>
    </row>
    <row r="19" spans="1:7" x14ac:dyDescent="0.25">
      <c r="A19" s="12" t="str">
        <f>'1'!A16</f>
        <v>Расходный Г9</v>
      </c>
      <c r="B19" s="9" t="str">
        <f>IF('1'!B16=1,"Вкл.",IF('1'!B16="0","","Выкл."))</f>
        <v>Вкл.</v>
      </c>
      <c r="C19" s="7">
        <f>'1'!C16</f>
        <v>22.899999999776483</v>
      </c>
      <c r="D19" s="8" t="str">
        <f>'1'!D16</f>
        <v>107с</v>
      </c>
      <c r="E19" s="7">
        <f>'1'!E16</f>
        <v>24.549999999776482</v>
      </c>
      <c r="F19" s="7">
        <f>'1'!F16</f>
        <v>1.6499999999999986</v>
      </c>
      <c r="G19" s="1"/>
    </row>
    <row r="20" spans="1:7" x14ac:dyDescent="0.25">
      <c r="A20" s="12" t="str">
        <f>'1'!A17</f>
        <v>Прод. Изд. Г5</v>
      </c>
      <c r="B20" s="9" t="str">
        <f>IF('1'!B17=1,"Вкл.",IF('1'!B17="0","","Выкл."))</f>
        <v>Выкл.</v>
      </c>
      <c r="C20" s="7">
        <f>'1'!C17</f>
        <v>22.899999999776483</v>
      </c>
      <c r="D20" s="8" t="str">
        <f>'1'!D17</f>
        <v>111с</v>
      </c>
      <c r="E20" s="7">
        <f>'1'!E17</f>
        <v>23.219999999776483</v>
      </c>
      <c r="F20" s="7">
        <f>'1'!F17</f>
        <v>0.32000000000000028</v>
      </c>
      <c r="G20" s="1"/>
    </row>
    <row r="21" spans="1:7" x14ac:dyDescent="0.25">
      <c r="A21" s="12" t="str">
        <f>'1'!A18</f>
        <v>Азот на изделие</v>
      </c>
      <c r="B21" s="9" t="str">
        <f>IF('1'!B18=1,"Вкл.",IF('1'!B18="0","","Выкл."))</f>
        <v>Выкл.</v>
      </c>
      <c r="C21" s="7">
        <f>'1'!C18</f>
        <v>22.899999999776483</v>
      </c>
      <c r="D21" s="8" t="str">
        <f>'1'!D18</f>
        <v>65с</v>
      </c>
      <c r="E21" s="7">
        <f>'1'!E18</f>
        <v>23.319999999776481</v>
      </c>
      <c r="F21" s="7">
        <f>'1'!F18</f>
        <v>0.41999999999999815</v>
      </c>
      <c r="G21" s="1"/>
    </row>
    <row r="22" spans="1:7" x14ac:dyDescent="0.25">
      <c r="A22" s="12" t="str">
        <f>'1'!A19</f>
        <v>Обдув изд.</v>
      </c>
      <c r="B22" s="9" t="str">
        <f>IF('1'!B19=1,"Вкл.",IF('1'!B19="0","","Выкл."))</f>
        <v>Выкл.</v>
      </c>
      <c r="C22" s="7">
        <f>'1'!C19</f>
        <v>22.899999999776483</v>
      </c>
      <c r="D22" s="8" t="str">
        <f>'1'!D19</f>
        <v>115с</v>
      </c>
      <c r="E22" s="7">
        <f>'1'!E19</f>
        <v>23.379999999776484</v>
      </c>
      <c r="F22" s="7">
        <f>'1'!F19</f>
        <v>0.48000000000000043</v>
      </c>
      <c r="G22" s="1"/>
    </row>
    <row r="23" spans="1:7" x14ac:dyDescent="0.25">
      <c r="A23" s="12" t="str">
        <f>'1'!A20</f>
        <v>Прод. Изд. О5</v>
      </c>
      <c r="B23" s="9" t="str">
        <f>IF('1'!B20=1,"Вкл.",IF('1'!B20="0","","Выкл."))</f>
        <v>Выкл.</v>
      </c>
      <c r="C23" s="7">
        <f>'1'!C20</f>
        <v>22.899999999776483</v>
      </c>
      <c r="D23" s="8" t="str">
        <f>'1'!D20</f>
        <v>79с</v>
      </c>
      <c r="E23" s="7">
        <f>'1'!E20</f>
        <v>23.269999999776484</v>
      </c>
      <c r="F23" s="7">
        <f>'1'!F20</f>
        <v>0.37000000000000099</v>
      </c>
      <c r="G23" s="1"/>
    </row>
    <row r="24" spans="1:7" x14ac:dyDescent="0.25">
      <c r="A24" s="12" t="str">
        <f>'1'!A21</f>
        <v>Расходный О9</v>
      </c>
      <c r="B24" s="9" t="str">
        <f>IF('1'!B21=1,"Вкл.",IF('1'!B21="0","","Выкл."))</f>
        <v>Вкл.</v>
      </c>
      <c r="C24" s="7">
        <f>'1'!C21</f>
        <v>22.899999999776483</v>
      </c>
      <c r="D24" s="8" t="str">
        <f>'1'!D21</f>
        <v>130с</v>
      </c>
      <c r="E24" s="7">
        <f>'1'!E21</f>
        <v>24.449999999776484</v>
      </c>
      <c r="F24" s="7">
        <f>'1'!F21</f>
        <v>1.5500000000000007</v>
      </c>
      <c r="G24" s="1"/>
    </row>
    <row r="25" spans="1:7" x14ac:dyDescent="0.25">
      <c r="A25" s="12" t="str">
        <f>'1'!A22</f>
        <v>Разрешение</v>
      </c>
      <c r="B25" s="9" t="str">
        <f>IF('1'!B22=1,"Вкл.",IF('1'!B22="0","","Выкл."))</f>
        <v>Выкл.</v>
      </c>
      <c r="C25" s="7">
        <f>'1'!C22</f>
        <v>25.891241000145673</v>
      </c>
      <c r="D25" s="8">
        <f>'1'!D22</f>
        <v>0</v>
      </c>
      <c r="E25" s="7">
        <f>'1'!E22</f>
        <v>0</v>
      </c>
      <c r="F25" s="7">
        <f>'1'!F22</f>
        <v>0</v>
      </c>
      <c r="G25" s="1"/>
    </row>
    <row r="26" spans="1:7" x14ac:dyDescent="0.25">
      <c r="A26" s="12" t="str">
        <f>'1'!A23</f>
        <v>Пуск_изд</v>
      </c>
      <c r="B26" s="9" t="str">
        <f>IF('1'!B23=1,"Вкл.",IF('1'!B23="0","","Выкл."))</f>
        <v>Вкл.</v>
      </c>
      <c r="C26" s="7">
        <f>'1'!C23</f>
        <v>28.601241000145674</v>
      </c>
      <c r="D26" s="8">
        <f>'1'!D23</f>
        <v>0</v>
      </c>
      <c r="E26" s="7">
        <f>'1'!E23</f>
        <v>0</v>
      </c>
      <c r="F26" s="7">
        <f>'1'!F23</f>
        <v>0</v>
      </c>
      <c r="G26" s="1"/>
    </row>
    <row r="27" spans="1:7" x14ac:dyDescent="0.25">
      <c r="A27" s="12" t="str">
        <f>'1'!A24</f>
        <v>Старт на РВК-5</v>
      </c>
      <c r="B27" s="9" t="str">
        <f>IF('1'!B24=1,"Вкл.",IF('1'!B24="0","","Выкл."))</f>
        <v>Вкл.</v>
      </c>
      <c r="C27" s="7">
        <f>'1'!C24</f>
        <v>0</v>
      </c>
      <c r="D27" s="8">
        <f>'1'!D24</f>
        <v>0</v>
      </c>
      <c r="E27" s="7">
        <f>'1'!E24</f>
        <v>0</v>
      </c>
      <c r="F27" s="7">
        <f>'1'!F24</f>
        <v>0</v>
      </c>
      <c r="G27" s="1"/>
    </row>
    <row r="28" spans="1:7" x14ac:dyDescent="0.25">
      <c r="A28" s="12" t="str">
        <f>'1'!A25</f>
        <v>Старт в ИВК</v>
      </c>
      <c r="B28" s="9" t="str">
        <f>IF('1'!B25=1,"Вкл.",IF('1'!B25="0","","Выкл."))</f>
        <v>Вкл.</v>
      </c>
      <c r="C28" s="7">
        <f>'1'!C25</f>
        <v>0</v>
      </c>
      <c r="D28" s="8">
        <f>'1'!D25</f>
        <v>0</v>
      </c>
      <c r="E28" s="7">
        <f>'1'!E25</f>
        <v>0</v>
      </c>
      <c r="F28" s="7">
        <f>'1'!F25</f>
        <v>0</v>
      </c>
      <c r="G28" s="1"/>
    </row>
    <row r="29" spans="1:7" x14ac:dyDescent="0.25">
      <c r="A29" s="12" t="str">
        <f>'1'!A26</f>
        <v>Разрешение</v>
      </c>
      <c r="B29" s="9" t="str">
        <f>IF('1'!B26=1,"Вкл.",IF('1'!B26="0","","Выкл."))</f>
        <v>Вкл.</v>
      </c>
      <c r="C29" s="7">
        <f>'1'!C26</f>
        <v>3.810003399848938E-4</v>
      </c>
      <c r="D29" s="8">
        <f>'1'!D26</f>
        <v>0</v>
      </c>
      <c r="E29" s="7">
        <f>'1'!E26</f>
        <v>0</v>
      </c>
      <c r="F29" s="7">
        <f>'1'!F26</f>
        <v>0</v>
      </c>
      <c r="G29" s="1"/>
    </row>
    <row r="30" spans="1:7" x14ac:dyDescent="0.25">
      <c r="A30" s="12" t="str">
        <f>'1'!A27</f>
        <v>Общая готовность</v>
      </c>
      <c r="B30" s="9" t="str">
        <f>IF('1'!B27=1,"Вкл.",IF('1'!B27="0","","Выкл."))</f>
        <v>Выкл.</v>
      </c>
      <c r="C30" s="7">
        <f>'1'!C27</f>
        <v>3.810003399848938E-4</v>
      </c>
      <c r="D30" s="8">
        <f>'1'!D27</f>
        <v>0</v>
      </c>
      <c r="E30" s="7">
        <f>'1'!E27</f>
        <v>0</v>
      </c>
      <c r="F30" s="7">
        <f>'1'!F27</f>
        <v>0</v>
      </c>
      <c r="G30" s="1"/>
    </row>
    <row r="31" spans="1:7" x14ac:dyDescent="0.25">
      <c r="A31" s="12" t="str">
        <f>'1'!A28</f>
        <v>Разрешение</v>
      </c>
      <c r="B31" s="9" t="str">
        <f>IF('1'!B28=1,"Вкл.",IF('1'!B28="0","","Выкл."))</f>
        <v>Выкл.</v>
      </c>
      <c r="C31" s="7">
        <f>'1'!C28</f>
        <v>2.9903810003399833</v>
      </c>
      <c r="D31" s="8">
        <f>'1'!D28</f>
        <v>0</v>
      </c>
      <c r="E31" s="7">
        <f>'1'!E28</f>
        <v>0</v>
      </c>
      <c r="F31" s="7">
        <f>'1'!F28</f>
        <v>0</v>
      </c>
      <c r="G31" s="1"/>
    </row>
    <row r="32" spans="1:7" x14ac:dyDescent="0.25">
      <c r="A32" s="12" t="str">
        <f>'1'!A29</f>
        <v>упр БКПО</v>
      </c>
      <c r="B32" s="9" t="str">
        <f>IF('1'!B29=1,"Вкл.",IF('1'!B29="0","","Выкл."))</f>
        <v>Вкл.</v>
      </c>
      <c r="C32" s="7">
        <f>'1'!C29</f>
        <v>9.6898249998316182</v>
      </c>
      <c r="D32" s="8" t="str">
        <f>'1'!D29</f>
        <v>162с</v>
      </c>
      <c r="E32" s="7">
        <f>'1'!E29</f>
        <v>9.7391399999707922</v>
      </c>
      <c r="F32" s="7">
        <f>'1'!F29</f>
        <v>4.9315000139174003E-2</v>
      </c>
      <c r="G32" s="1"/>
    </row>
    <row r="33" spans="1:7" x14ac:dyDescent="0.25">
      <c r="A33" s="12" t="str">
        <f>'1'!A30</f>
        <v>упр БКПГ</v>
      </c>
      <c r="B33" s="9" t="str">
        <f>IF('1'!B30=1,"Вкл.",IF('1'!B30="0","","Выкл."))</f>
        <v>Вкл.</v>
      </c>
      <c r="C33" s="7">
        <f>'1'!C30</f>
        <v>9.9898249998316153</v>
      </c>
      <c r="D33" s="8" t="str">
        <f>'1'!D30</f>
        <v>163с</v>
      </c>
      <c r="E33" s="7">
        <f>'1'!E30</f>
        <v>10.049139999970794</v>
      </c>
      <c r="F33" s="7">
        <f>'1'!F30</f>
        <v>5.9315000139179119E-2</v>
      </c>
      <c r="G33" s="1"/>
    </row>
    <row r="34" spans="1:7" x14ac:dyDescent="0.25">
      <c r="A34" s="12" t="str">
        <f>'1'!A31</f>
        <v>Прод. Изд. О5</v>
      </c>
      <c r="B34" s="9" t="str">
        <f>IF('1'!B31=1,"Вкл.",IF('1'!B31="0","","Выкл."))</f>
        <v>Вкл.</v>
      </c>
      <c r="C34" s="7">
        <f>'1'!C31</f>
        <v>109.29913999997081</v>
      </c>
      <c r="D34" s="8" t="str">
        <f>'1'!D31</f>
        <v>79с</v>
      </c>
      <c r="E34" s="7">
        <f>'1'!E31</f>
        <v>109.81913999997079</v>
      </c>
      <c r="F34" s="7">
        <f>'1'!F31</f>
        <v>0.51999999999998181</v>
      </c>
      <c r="G34" s="1"/>
    </row>
    <row r="35" spans="1:7" x14ac:dyDescent="0.25">
      <c r="A35" s="12" t="str">
        <f>'1'!A32</f>
        <v>Прод. Изд. Г5</v>
      </c>
      <c r="B35" s="9" t="str">
        <f>IF('1'!B32=1,"Вкл.",IF('1'!B32="0","","Выкл."))</f>
        <v>Вкл.</v>
      </c>
      <c r="C35" s="7">
        <f>'1'!C32</f>
        <v>109.29913999997081</v>
      </c>
      <c r="D35" s="8" t="str">
        <f>'1'!D32</f>
        <v>111с</v>
      </c>
      <c r="E35" s="7">
        <f>'1'!E32</f>
        <v>109.81913999997079</v>
      </c>
      <c r="F35" s="7">
        <f>'1'!F32</f>
        <v>0.51999999999998181</v>
      </c>
      <c r="G35" s="1"/>
    </row>
    <row r="36" spans="1:7" x14ac:dyDescent="0.25">
      <c r="A36" s="12" t="str">
        <f>'1'!A33</f>
        <v>Обдув изд.</v>
      </c>
      <c r="B36" s="9" t="str">
        <f>IF('1'!B33=1,"Вкл.",IF('1'!B33="0","","Выкл."))</f>
        <v>Вкл.</v>
      </c>
      <c r="C36" s="7">
        <f>'1'!C33</f>
        <v>109.99913999997079</v>
      </c>
      <c r="D36" s="8" t="str">
        <f>'1'!D33</f>
        <v>115с</v>
      </c>
      <c r="E36" s="7">
        <f>'1'!E33</f>
        <v>110.6491399999708</v>
      </c>
      <c r="F36" s="7">
        <f>'1'!F33</f>
        <v>0.65000000000000568</v>
      </c>
      <c r="G36" s="1"/>
    </row>
    <row r="37" spans="1:7" x14ac:dyDescent="0.25">
      <c r="A37" s="12" t="str">
        <f>'1'!A34</f>
        <v>упр БКПО</v>
      </c>
      <c r="B37" s="9" t="str">
        <f>IF('1'!B34=1,"Вкл.",IF('1'!B34="0","","Выкл."))</f>
        <v>Выкл.</v>
      </c>
      <c r="C37" s="7">
        <f>'1'!C34</f>
        <v>109.99982499983162</v>
      </c>
      <c r="D37" s="8" t="str">
        <f>'1'!D34</f>
        <v>162с</v>
      </c>
      <c r="E37" s="7">
        <f>'1'!E34</f>
        <v>110.0191399999708</v>
      </c>
      <c r="F37" s="7">
        <f>'1'!F34</f>
        <v>1.9315000139187077E-2</v>
      </c>
      <c r="G37" s="1"/>
    </row>
    <row r="38" spans="1:7" x14ac:dyDescent="0.25">
      <c r="A38" s="12" t="str">
        <f>'1'!A35</f>
        <v>упр БКПГ</v>
      </c>
      <c r="B38" s="9" t="str">
        <f>IF('1'!B35=1,"Вкл.",IF('1'!B35="0","","Выкл."))</f>
        <v>Выкл.</v>
      </c>
      <c r="C38" s="7">
        <f>'1'!C35</f>
        <v>109.99982499983162</v>
      </c>
      <c r="D38" s="8" t="str">
        <f>'1'!D35</f>
        <v>163с</v>
      </c>
      <c r="E38" s="7">
        <f>'1'!E35</f>
        <v>110.0191399999708</v>
      </c>
      <c r="F38" s="7">
        <f>'1'!F35</f>
        <v>1.9315000139187077E-2</v>
      </c>
      <c r="G38" s="1"/>
    </row>
    <row r="39" spans="1:7" x14ac:dyDescent="0.25">
      <c r="A39" s="12" t="str">
        <f>'1'!A36</f>
        <v>Старт на РВК-5</v>
      </c>
      <c r="B39" s="9" t="str">
        <f>IF('1'!B36=1,"Вкл.",IF('1'!B36="0","","Выкл."))</f>
        <v>Выкл.</v>
      </c>
      <c r="C39" s="7">
        <f>'1'!C36</f>
        <v>110</v>
      </c>
      <c r="D39" s="8">
        <f>'1'!D36</f>
        <v>0</v>
      </c>
      <c r="E39" s="7">
        <f>'1'!E36</f>
        <v>0</v>
      </c>
      <c r="F39" s="7">
        <f>'1'!F36</f>
        <v>0</v>
      </c>
      <c r="G39" s="1"/>
    </row>
    <row r="40" spans="1:7" x14ac:dyDescent="0.25">
      <c r="A40" s="12" t="str">
        <f>'1'!A37</f>
        <v>Пуск_изд</v>
      </c>
      <c r="B40" s="9" t="str">
        <f>IF('1'!B37=1,"Вкл.",IF('1'!B37="0","","Выкл."))</f>
        <v>Выкл.</v>
      </c>
      <c r="C40" s="7">
        <f>'1'!C37</f>
        <v>110.00038100033998</v>
      </c>
      <c r="D40" s="8">
        <f>'1'!D37</f>
        <v>0</v>
      </c>
      <c r="E40" s="7">
        <f>'1'!E37</f>
        <v>0</v>
      </c>
      <c r="F40" s="7">
        <f>'1'!F37</f>
        <v>0</v>
      </c>
      <c r="G40" s="1"/>
    </row>
    <row r="41" spans="1:7" x14ac:dyDescent="0.25">
      <c r="A41" s="12" t="str">
        <f>'1'!A38</f>
        <v>Старт в ИВК</v>
      </c>
      <c r="B41" s="9" t="str">
        <f>IF('1'!B38=1,"Вкл.",IF('1'!B38="0","","Выкл."))</f>
        <v>Выкл.</v>
      </c>
      <c r="C41" s="7">
        <f>'1'!C38</f>
        <v>120</v>
      </c>
      <c r="D41" s="8">
        <f>'1'!D38</f>
        <v>0</v>
      </c>
      <c r="E41" s="7">
        <f>'1'!E38</f>
        <v>0</v>
      </c>
      <c r="F41" s="7">
        <f>'1'!F38</f>
        <v>0</v>
      </c>
      <c r="G41" s="1"/>
    </row>
    <row r="42" spans="1:7" x14ac:dyDescent="0.25">
      <c r="A42" s="12" t="str">
        <f>'1'!A39</f>
        <v>Прод. Изд. Г5</v>
      </c>
      <c r="B42" s="9" t="str">
        <f>IF('1'!B39=1,"Вкл.",IF('1'!B39="0","","Выкл."))</f>
        <v>Выкл.</v>
      </c>
      <c r="C42" s="7">
        <f>'1'!C39</f>
        <v>149.99913999997079</v>
      </c>
      <c r="D42" s="8" t="str">
        <f>'1'!D39</f>
        <v>111с</v>
      </c>
      <c r="E42" s="7">
        <f>'1'!E39</f>
        <v>150.31913999997079</v>
      </c>
      <c r="F42" s="7">
        <f>'1'!F39</f>
        <v>0.31999999999999318</v>
      </c>
      <c r="G42" s="1"/>
    </row>
    <row r="43" spans="1:7" x14ac:dyDescent="0.25">
      <c r="A43" s="12" t="str">
        <f>'1'!A40</f>
        <v>Прод. Изд. О5</v>
      </c>
      <c r="B43" s="9" t="str">
        <f>IF('1'!B40=1,"Вкл.",IF('1'!B40="0","","Выкл."))</f>
        <v>Выкл.</v>
      </c>
      <c r="C43" s="7">
        <f>'1'!C40</f>
        <v>149.99913999997079</v>
      </c>
      <c r="D43" s="8" t="str">
        <f>'1'!D40</f>
        <v>79с</v>
      </c>
      <c r="E43" s="7">
        <f>'1'!E40</f>
        <v>150.3691399999708</v>
      </c>
      <c r="F43" s="7">
        <f>'1'!F40</f>
        <v>0.37000000000000455</v>
      </c>
      <c r="G43" s="1"/>
    </row>
    <row r="44" spans="1:7" x14ac:dyDescent="0.25">
      <c r="A44" s="13" t="s">
        <v>18</v>
      </c>
      <c r="B44" s="14"/>
      <c r="C44" s="14"/>
      <c r="D44" s="15"/>
      <c r="E44" s="16"/>
      <c r="F44" s="16"/>
      <c r="G44" s="16"/>
    </row>
    <row r="45" spans="1:7" x14ac:dyDescent="0.25">
      <c r="A45" s="13" t="s">
        <v>19</v>
      </c>
      <c r="B45" s="14"/>
      <c r="C45" s="14"/>
      <c r="D45" s="15"/>
      <c r="E45" s="16"/>
      <c r="F45" s="16"/>
      <c r="G45" s="16"/>
    </row>
    <row r="46" spans="1:7" x14ac:dyDescent="0.25">
      <c r="A46" s="13" t="s">
        <v>20</v>
      </c>
      <c r="B46" s="14"/>
      <c r="C46" s="14"/>
      <c r="D46" s="15"/>
      <c r="E46" s="16"/>
      <c r="F46" s="16"/>
      <c r="G46" s="16"/>
    </row>
    <row r="47" spans="1:7" x14ac:dyDescent="0.25">
      <c r="A47" s="13" t="s">
        <v>21</v>
      </c>
      <c r="B47" s="14"/>
      <c r="C47" s="14"/>
      <c r="D47" s="15"/>
      <c r="E47" s="16"/>
      <c r="F47" s="16"/>
      <c r="G47" s="16"/>
    </row>
  </sheetData>
  <mergeCells count="10">
    <mergeCell ref="B1:F1"/>
    <mergeCell ref="A44:D44"/>
    <mergeCell ref="E44:G44"/>
    <mergeCell ref="A45:D45"/>
    <mergeCell ref="E45:G45"/>
    <mergeCell ref="A46:D46"/>
    <mergeCell ref="E46:G46"/>
    <mergeCell ref="A47:D47"/>
    <mergeCell ref="E47:G47"/>
    <mergeCell ref="A4:F4"/>
  </mergeCells>
  <conditionalFormatting sqref="F6:F43">
    <cfRule type="cellIs" dxfId="1" priority="2" operator="greaterThan">
      <formula>$F$5</formula>
    </cfRule>
  </conditionalFormatting>
  <conditionalFormatting sqref="B1:B3 B5:B43 B48:B1048576">
    <cfRule type="cellIs" dxfId="0" priority="1" operator="equal">
      <formula>"Вкл."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Отчет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Скрипник</dc:creator>
  <cp:lastModifiedBy>Скрипник</cp:lastModifiedBy>
  <dcterms:created xsi:type="dcterms:W3CDTF">2016-01-26T15:38:27Z</dcterms:created>
  <dcterms:modified xsi:type="dcterms:W3CDTF">2018-09-04T09:47:28Z</dcterms:modified>
</cp:coreProperties>
</file>